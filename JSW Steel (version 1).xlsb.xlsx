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C61B612-2DEC-4A62-A2CA-04F170AB3FF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inancial&gt;" sheetId="12" r:id="rId1"/>
    <sheet name="Historical FS" sheetId="7" r:id="rId2"/>
    <sheet name="Ratio Analysis" sheetId="8" r:id="rId3"/>
    <sheet name="Common Size Statement" sheetId="14" r:id="rId4"/>
    <sheet name="Forcasting" sheetId="13" r:id="rId5"/>
    <sheet name="DCF&gt;" sheetId="16" r:id="rId6"/>
    <sheet name="Wacc" sheetId="15" r:id="rId7"/>
    <sheet name="Relative valuation" sheetId="24" r:id="rId8"/>
    <sheet name="Football Field Analysis" sheetId="26" r:id="rId9"/>
    <sheet name="Intrinsic Growth" sheetId="22" r:id="rId10"/>
    <sheet name="Peer Comps" sheetId="20" r:id="rId11"/>
    <sheet name="Raw FS" sheetId="23" r:id="rId12"/>
    <sheet name="Dupont Analysis" sheetId="27" r:id="rId13"/>
    <sheet name="Data Sheet" sheetId="6" r:id="rId14"/>
    <sheet name="Cash Flow demo" sheetId="10" r:id="rId15"/>
    <sheet name="Beta" sheetId="19" r:id="rId16"/>
    <sheet name="Rm" sheetId="17" r:id="rId17"/>
    <sheet name="Data" sheetId="18" r:id="rId18"/>
    <sheet name="Data2" sheetId="25" r:id="rId19"/>
  </sheets>
  <definedNames>
    <definedName name="_xlnm._FilterDatabase" localSheetId="15" hidden="1">Beta!$F$5:$G$5</definedName>
    <definedName name="UPDATE">'Data Sheet'!$E$1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8" l="1"/>
  <c r="C9" i="7"/>
  <c r="C17" i="8"/>
  <c r="D9" i="8"/>
  <c r="M6" i="7"/>
  <c r="H77" i="27"/>
  <c r="H83" i="27" s="1"/>
  <c r="G77" i="27"/>
  <c r="G83" i="27" s="1"/>
  <c r="F77" i="27"/>
  <c r="F83" i="27" s="1"/>
  <c r="E77" i="27"/>
  <c r="E83" i="27" s="1"/>
  <c r="D77" i="27"/>
  <c r="D83" i="27" s="1"/>
  <c r="C77" i="27"/>
  <c r="C83" i="27" s="1"/>
  <c r="I77" i="27"/>
  <c r="I83" i="27" s="1"/>
  <c r="B71" i="27"/>
  <c r="B70" i="27"/>
  <c r="H67" i="27"/>
  <c r="H70" i="27" s="1"/>
  <c r="G67" i="27"/>
  <c r="G89" i="27" s="1"/>
  <c r="F67" i="27"/>
  <c r="F70" i="27" s="1"/>
  <c r="E67" i="27"/>
  <c r="E70" i="27" s="1"/>
  <c r="D67" i="27"/>
  <c r="D70" i="27" s="1"/>
  <c r="C67" i="27"/>
  <c r="C79" i="27" s="1"/>
  <c r="I67" i="27"/>
  <c r="I70" i="27" s="1"/>
  <c r="H66" i="27"/>
  <c r="G66" i="27"/>
  <c r="F66" i="27"/>
  <c r="E66" i="27"/>
  <c r="D66" i="27"/>
  <c r="C66" i="27"/>
  <c r="I66" i="27"/>
  <c r="H63" i="27"/>
  <c r="H85" i="27" s="1"/>
  <c r="G63" i="27"/>
  <c r="G85" i="27" s="1"/>
  <c r="F63" i="27"/>
  <c r="F85" i="27" s="1"/>
  <c r="E63" i="27"/>
  <c r="E85" i="27" s="1"/>
  <c r="D63" i="27"/>
  <c r="D85" i="27" s="1"/>
  <c r="C63" i="27"/>
  <c r="I63" i="27"/>
  <c r="I85" i="27" s="1"/>
  <c r="H62" i="27"/>
  <c r="G62" i="27"/>
  <c r="G78" i="27" s="1"/>
  <c r="G84" i="27" s="1"/>
  <c r="F62" i="27"/>
  <c r="F78" i="27" s="1"/>
  <c r="F84" i="27" s="1"/>
  <c r="F88" i="27" s="1"/>
  <c r="E62" i="27"/>
  <c r="E78" i="27" s="1"/>
  <c r="E84" i="27" s="1"/>
  <c r="E88" i="27" s="1"/>
  <c r="D62" i="27"/>
  <c r="C62" i="27"/>
  <c r="C78" i="27" s="1"/>
  <c r="C84" i="27" s="1"/>
  <c r="I62" i="27"/>
  <c r="I78" i="27" s="1"/>
  <c r="H57" i="27"/>
  <c r="H71" i="27" s="1"/>
  <c r="G57" i="27"/>
  <c r="G71" i="27" s="1"/>
  <c r="F57" i="27"/>
  <c r="F71" i="27" s="1"/>
  <c r="E57" i="27"/>
  <c r="E71" i="27" s="1"/>
  <c r="D57" i="27"/>
  <c r="D71" i="27" s="1"/>
  <c r="C57" i="27"/>
  <c r="C71" i="27" s="1"/>
  <c r="I57" i="27"/>
  <c r="I71" i="27" s="1"/>
  <c r="I56" i="27"/>
  <c r="H56" i="27"/>
  <c r="H58" i="27" s="1"/>
  <c r="G56" i="27"/>
  <c r="G58" i="27" s="1"/>
  <c r="F56" i="27"/>
  <c r="E56" i="27"/>
  <c r="E58" i="27" s="1"/>
  <c r="D56" i="27"/>
  <c r="D58" i="27" s="1"/>
  <c r="C56" i="27"/>
  <c r="H55" i="27"/>
  <c r="H61" i="27" s="1"/>
  <c r="G55" i="27"/>
  <c r="G61" i="27" s="1"/>
  <c r="F55" i="27"/>
  <c r="F61" i="27" s="1"/>
  <c r="E55" i="27"/>
  <c r="E61" i="27" s="1"/>
  <c r="D55" i="27"/>
  <c r="D61" i="27" s="1"/>
  <c r="C55" i="27"/>
  <c r="C61" i="27" s="1"/>
  <c r="I55" i="27"/>
  <c r="I61" i="27" s="1"/>
  <c r="B3" i="27"/>
  <c r="B4" i="27"/>
  <c r="B2" i="27"/>
  <c r="O11" i="26"/>
  <c r="N11" i="26"/>
  <c r="Q11" i="26"/>
  <c r="P11" i="26"/>
  <c r="Q9" i="26"/>
  <c r="P9" i="26"/>
  <c r="O9" i="26"/>
  <c r="N9" i="26"/>
  <c r="Q10" i="26"/>
  <c r="P10" i="26"/>
  <c r="O10" i="26"/>
  <c r="N10" i="26"/>
  <c r="Q8" i="26"/>
  <c r="P8" i="26"/>
  <c r="O8" i="26"/>
  <c r="N8" i="26"/>
  <c r="C22" i="16"/>
  <c r="C58" i="27" l="1"/>
  <c r="F58" i="27"/>
  <c r="H64" i="27"/>
  <c r="D64" i="27"/>
  <c r="C64" i="27"/>
  <c r="D68" i="27"/>
  <c r="H68" i="27"/>
  <c r="D79" i="27"/>
  <c r="C68" i="27"/>
  <c r="G68" i="27"/>
  <c r="I72" i="27"/>
  <c r="I68" i="27"/>
  <c r="D78" i="27"/>
  <c r="D84" i="27" s="1"/>
  <c r="D86" i="27" s="1"/>
  <c r="E79" i="27"/>
  <c r="E80" i="27" s="1"/>
  <c r="C85" i="27"/>
  <c r="C86" i="27" s="1"/>
  <c r="D89" i="27"/>
  <c r="I58" i="27"/>
  <c r="D72" i="27"/>
  <c r="H72" i="27"/>
  <c r="H79" i="27"/>
  <c r="E89" i="27"/>
  <c r="E90" i="27" s="1"/>
  <c r="G64" i="27"/>
  <c r="H78" i="27"/>
  <c r="H84" i="27" s="1"/>
  <c r="H86" i="27" s="1"/>
  <c r="H89" i="27"/>
  <c r="I84" i="27"/>
  <c r="C88" i="27"/>
  <c r="C80" i="27"/>
  <c r="C89" i="27"/>
  <c r="G86" i="27"/>
  <c r="G88" i="27"/>
  <c r="G90" i="27" s="1"/>
  <c r="E72" i="27"/>
  <c r="C70" i="27"/>
  <c r="C72" i="27" s="1"/>
  <c r="G70" i="27"/>
  <c r="G72" i="27" s="1"/>
  <c r="I79" i="27"/>
  <c r="I80" i="27" s="1"/>
  <c r="F79" i="27"/>
  <c r="F80" i="27" s="1"/>
  <c r="F89" i="27"/>
  <c r="F90" i="27" s="1"/>
  <c r="G79" i="27"/>
  <c r="G80" i="27" s="1"/>
  <c r="I89" i="27"/>
  <c r="E64" i="27"/>
  <c r="I64" i="27"/>
  <c r="E86" i="27"/>
  <c r="F86" i="27"/>
  <c r="F72" i="27"/>
  <c r="E68" i="27"/>
  <c r="F68" i="27"/>
  <c r="F64" i="27"/>
  <c r="L29" i="7"/>
  <c r="M29" i="7" s="1"/>
  <c r="M9" i="24"/>
  <c r="M10" i="24"/>
  <c r="M11" i="24"/>
  <c r="M12" i="24"/>
  <c r="M13" i="24"/>
  <c r="M14" i="24"/>
  <c r="M8" i="24"/>
  <c r="K9" i="24"/>
  <c r="K10" i="24"/>
  <c r="K11" i="24"/>
  <c r="K12" i="24"/>
  <c r="K13" i="24"/>
  <c r="K14" i="24"/>
  <c r="K8" i="24"/>
  <c r="E9" i="24"/>
  <c r="E10" i="24"/>
  <c r="E11" i="24"/>
  <c r="E12" i="24"/>
  <c r="E13" i="24"/>
  <c r="E14" i="24"/>
  <c r="E8" i="24"/>
  <c r="P28" i="24" s="1"/>
  <c r="D9" i="24"/>
  <c r="D10" i="24"/>
  <c r="D11" i="24"/>
  <c r="D12" i="24"/>
  <c r="D13" i="24"/>
  <c r="D14" i="24"/>
  <c r="D8" i="24"/>
  <c r="B9" i="24"/>
  <c r="B10" i="24"/>
  <c r="B11" i="24"/>
  <c r="B12" i="24"/>
  <c r="B13" i="24"/>
  <c r="B14" i="24"/>
  <c r="B8" i="24"/>
  <c r="I4" i="25"/>
  <c r="G9" i="24" s="1"/>
  <c r="I5" i="25"/>
  <c r="G10" i="24" s="1"/>
  <c r="I6" i="25"/>
  <c r="G11" i="24" s="1"/>
  <c r="I7" i="25"/>
  <c r="G12" i="24" s="1"/>
  <c r="I8" i="25"/>
  <c r="G13" i="24" s="1"/>
  <c r="I9" i="25"/>
  <c r="G14" i="24" s="1"/>
  <c r="I3" i="25"/>
  <c r="G8" i="24" s="1"/>
  <c r="P26" i="24" s="1"/>
  <c r="F4" i="25"/>
  <c r="N4" i="25" s="1"/>
  <c r="F5" i="25"/>
  <c r="N5" i="25" s="1"/>
  <c r="F6" i="25"/>
  <c r="N6" i="25" s="1"/>
  <c r="F7" i="25"/>
  <c r="N7" i="25" s="1"/>
  <c r="F8" i="25"/>
  <c r="N8" i="25" s="1"/>
  <c r="F9" i="25"/>
  <c r="N9" i="25" s="1"/>
  <c r="F3" i="25"/>
  <c r="N3" i="25" s="1"/>
  <c r="H74" i="27" l="1"/>
  <c r="D74" i="27"/>
  <c r="H88" i="27"/>
  <c r="H90" i="27" s="1"/>
  <c r="H92" i="27" s="1"/>
  <c r="E92" i="27"/>
  <c r="H80" i="27"/>
  <c r="I74" i="27"/>
  <c r="G74" i="27"/>
  <c r="D88" i="27"/>
  <c r="D90" i="27" s="1"/>
  <c r="D92" i="27" s="1"/>
  <c r="D80" i="27"/>
  <c r="C74" i="27"/>
  <c r="C90" i="27"/>
  <c r="C92" i="27" s="1"/>
  <c r="F92" i="27"/>
  <c r="F74" i="27"/>
  <c r="G92" i="27"/>
  <c r="E74" i="27"/>
  <c r="I88" i="27"/>
  <c r="I90" i="27" s="1"/>
  <c r="I86" i="27"/>
  <c r="H12" i="24"/>
  <c r="O7" i="25"/>
  <c r="L12" i="24" s="1"/>
  <c r="O8" i="25"/>
  <c r="L13" i="24" s="1"/>
  <c r="H13" i="24"/>
  <c r="P13" i="24" s="1"/>
  <c r="O4" i="25"/>
  <c r="L9" i="24" s="1"/>
  <c r="H9" i="24"/>
  <c r="O3" i="25"/>
  <c r="L8" i="24" s="1"/>
  <c r="H8" i="24"/>
  <c r="P8" i="24" s="1"/>
  <c r="O6" i="25"/>
  <c r="L11" i="24" s="1"/>
  <c r="H11" i="24"/>
  <c r="O9" i="25"/>
  <c r="L14" i="24" s="1"/>
  <c r="H14" i="24"/>
  <c r="P14" i="24" s="1"/>
  <c r="O5" i="25"/>
  <c r="L10" i="24" s="1"/>
  <c r="H10" i="24"/>
  <c r="O9" i="24"/>
  <c r="P12" i="24"/>
  <c r="F14" i="24"/>
  <c r="Q14" i="24" s="1"/>
  <c r="F10" i="24"/>
  <c r="Q10" i="24" s="1"/>
  <c r="P11" i="24"/>
  <c r="P10" i="24"/>
  <c r="O26" i="24"/>
  <c r="F13" i="24"/>
  <c r="Q13" i="24" s="1"/>
  <c r="F9" i="24"/>
  <c r="Q9" i="24" s="1"/>
  <c r="Q19" i="24" s="1"/>
  <c r="Q27" i="24" s="1"/>
  <c r="Q26" i="24"/>
  <c r="O28" i="24"/>
  <c r="Q28" i="24"/>
  <c r="O11" i="24"/>
  <c r="F12" i="24"/>
  <c r="Q12" i="24" s="1"/>
  <c r="O14" i="24"/>
  <c r="F8" i="24"/>
  <c r="Q8" i="24" s="1"/>
  <c r="F11" i="24"/>
  <c r="Q11" i="24" s="1"/>
  <c r="O12" i="24"/>
  <c r="O8" i="24"/>
  <c r="P9" i="24"/>
  <c r="O10" i="24"/>
  <c r="I92" i="27" l="1"/>
  <c r="O13" i="24"/>
  <c r="Q16" i="24"/>
  <c r="Q20" i="24"/>
  <c r="Q30" i="24"/>
  <c r="Q25" i="24"/>
  <c r="P17" i="24"/>
  <c r="P16" i="24"/>
  <c r="Q18" i="24"/>
  <c r="Q17" i="24"/>
  <c r="Q21" i="24"/>
  <c r="O19" i="24"/>
  <c r="O25" i="24" s="1"/>
  <c r="O27" i="24" s="1"/>
  <c r="O30" i="24" s="1"/>
  <c r="O18" i="24"/>
  <c r="O20" i="24"/>
  <c r="O16" i="24"/>
  <c r="O17" i="24"/>
  <c r="O21" i="24"/>
  <c r="P18" i="24"/>
  <c r="P20" i="24"/>
  <c r="P21" i="24"/>
  <c r="P19" i="24"/>
  <c r="P25" i="24" s="1"/>
  <c r="P27" i="24" s="1"/>
  <c r="P30" i="24" s="1"/>
  <c r="P32" i="24" s="1"/>
  <c r="Q32" i="24" l="1"/>
  <c r="N7" i="26"/>
  <c r="O7" i="26"/>
  <c r="O32" i="24"/>
  <c r="P7" i="26"/>
  <c r="Q7" i="26"/>
  <c r="C38" i="16"/>
  <c r="C35" i="16"/>
  <c r="C32" i="16"/>
  <c r="C33" i="16"/>
  <c r="H9" i="16"/>
  <c r="I9" i="16" s="1"/>
  <c r="J9" i="16" s="1"/>
  <c r="G9" i="16"/>
  <c r="E7" i="16"/>
  <c r="F7" i="16" s="1"/>
  <c r="G7" i="16" l="1"/>
  <c r="H7" i="16" l="1"/>
  <c r="E5" i="16"/>
  <c r="F5" i="16" s="1"/>
  <c r="G5" i="16" s="1"/>
  <c r="H5" i="16" s="1"/>
  <c r="I5" i="16" s="1"/>
  <c r="J5" i="16" s="1"/>
  <c r="F2" i="16"/>
  <c r="G2" i="16" s="1"/>
  <c r="H2" i="16" s="1"/>
  <c r="I2" i="16" s="1"/>
  <c r="J2" i="16" s="1"/>
  <c r="E2" i="16"/>
  <c r="H56" i="22"/>
  <c r="H2" i="22"/>
  <c r="H39" i="22" s="1"/>
  <c r="I2" i="22"/>
  <c r="I39" i="22" s="1"/>
  <c r="J2" i="22"/>
  <c r="J39" i="22" s="1"/>
  <c r="K2" i="22"/>
  <c r="K39" i="22" s="1"/>
  <c r="G2" i="22"/>
  <c r="G39" i="22" s="1"/>
  <c r="H41" i="22"/>
  <c r="I41" i="22"/>
  <c r="J41" i="22"/>
  <c r="K41" i="22"/>
  <c r="G41" i="22"/>
  <c r="H32" i="22"/>
  <c r="H31" i="22"/>
  <c r="I31" i="22"/>
  <c r="J31" i="22"/>
  <c r="G31" i="22"/>
  <c r="K31" i="22"/>
  <c r="G30" i="22"/>
  <c r="G32" i="22" s="1"/>
  <c r="H30" i="22"/>
  <c r="I30" i="22"/>
  <c r="I32" i="22" s="1"/>
  <c r="J30" i="22"/>
  <c r="K30" i="22"/>
  <c r="K32" i="22" s="1"/>
  <c r="G23" i="22"/>
  <c r="H23" i="22"/>
  <c r="I23" i="22"/>
  <c r="J23" i="22"/>
  <c r="K23" i="22"/>
  <c r="G24" i="22"/>
  <c r="H24" i="22"/>
  <c r="I24" i="22"/>
  <c r="J24" i="22"/>
  <c r="K24" i="22"/>
  <c r="G25" i="22"/>
  <c r="H25" i="22"/>
  <c r="I25" i="22"/>
  <c r="J25" i="22"/>
  <c r="K25" i="22"/>
  <c r="G26" i="22"/>
  <c r="H26" i="22"/>
  <c r="I26" i="22"/>
  <c r="J26" i="22"/>
  <c r="K26" i="22"/>
  <c r="G27" i="22"/>
  <c r="H27" i="22"/>
  <c r="I27" i="22"/>
  <c r="J27" i="22"/>
  <c r="K27" i="22"/>
  <c r="G28" i="22"/>
  <c r="H28" i="22"/>
  <c r="I28" i="22"/>
  <c r="J28" i="22"/>
  <c r="K28" i="22"/>
  <c r="G29" i="22"/>
  <c r="H29" i="22"/>
  <c r="I29" i="22"/>
  <c r="J29" i="22"/>
  <c r="K29" i="22"/>
  <c r="H22" i="22"/>
  <c r="I22" i="22"/>
  <c r="J22" i="22"/>
  <c r="K22" i="22"/>
  <c r="G22" i="22"/>
  <c r="B23" i="22"/>
  <c r="B24" i="22"/>
  <c r="B25" i="22"/>
  <c r="B26" i="22"/>
  <c r="B27" i="22"/>
  <c r="B28" i="22"/>
  <c r="B29" i="22"/>
  <c r="B30" i="22"/>
  <c r="B31" i="22"/>
  <c r="B22" i="22"/>
  <c r="G14" i="22"/>
  <c r="H14" i="22"/>
  <c r="I14" i="22"/>
  <c r="J14" i="22"/>
  <c r="K14" i="22"/>
  <c r="G15" i="22"/>
  <c r="H15" i="22"/>
  <c r="I15" i="22"/>
  <c r="J15" i="22"/>
  <c r="K15" i="22"/>
  <c r="G16" i="22"/>
  <c r="H16" i="22"/>
  <c r="I16" i="22"/>
  <c r="J16" i="22"/>
  <c r="K16" i="22"/>
  <c r="H13" i="22"/>
  <c r="I13" i="22"/>
  <c r="J13" i="22"/>
  <c r="J17" i="22" s="1"/>
  <c r="K13" i="22"/>
  <c r="G13" i="22"/>
  <c r="B14" i="22"/>
  <c r="B15" i="22"/>
  <c r="B16" i="22"/>
  <c r="B13" i="22"/>
  <c r="G6" i="22"/>
  <c r="H6" i="22"/>
  <c r="I6" i="22"/>
  <c r="J6" i="22"/>
  <c r="K6" i="22"/>
  <c r="G7" i="22"/>
  <c r="H7" i="22"/>
  <c r="I7" i="22"/>
  <c r="J7" i="22"/>
  <c r="K7" i="22"/>
  <c r="G8" i="22"/>
  <c r="H8" i="22"/>
  <c r="I8" i="22"/>
  <c r="J8" i="22"/>
  <c r="K8" i="22"/>
  <c r="G9" i="22"/>
  <c r="H9" i="22"/>
  <c r="I9" i="22"/>
  <c r="J9" i="22"/>
  <c r="K9" i="22"/>
  <c r="H5" i="22"/>
  <c r="I5" i="22"/>
  <c r="J5" i="22"/>
  <c r="K5" i="22"/>
  <c r="G5" i="22"/>
  <c r="B6" i="22"/>
  <c r="B7" i="22"/>
  <c r="B8" i="22"/>
  <c r="B9" i="22"/>
  <c r="B5" i="22"/>
  <c r="D31" i="23"/>
  <c r="E31" i="23"/>
  <c r="F31" i="23"/>
  <c r="G31" i="23"/>
  <c r="H31" i="23"/>
  <c r="I31" i="23"/>
  <c r="J31" i="23"/>
  <c r="K31" i="23"/>
  <c r="L31" i="23"/>
  <c r="M31" i="23"/>
  <c r="N31" i="23"/>
  <c r="O31" i="23"/>
  <c r="C31" i="23"/>
  <c r="F2" i="23"/>
  <c r="G2" i="23" s="1"/>
  <c r="H2" i="23" s="1"/>
  <c r="I2" i="23" s="1"/>
  <c r="J2" i="23" s="1"/>
  <c r="K2" i="23" s="1"/>
  <c r="L2" i="23" s="1"/>
  <c r="M2" i="23" s="1"/>
  <c r="N2" i="23" s="1"/>
  <c r="O2" i="23" s="1"/>
  <c r="E2" i="23"/>
  <c r="G10" i="15"/>
  <c r="G11" i="15"/>
  <c r="G12" i="15"/>
  <c r="G9" i="15"/>
  <c r="M20" i="15"/>
  <c r="G5" i="17"/>
  <c r="E9" i="17"/>
  <c r="C7" i="17" s="1"/>
  <c r="C6" i="17"/>
  <c r="C8" i="17"/>
  <c r="C9" i="17"/>
  <c r="C10" i="17"/>
  <c r="C12" i="17"/>
  <c r="C13" i="17"/>
  <c r="C14" i="17"/>
  <c r="C16" i="17"/>
  <c r="C17" i="17"/>
  <c r="C18" i="17"/>
  <c r="C20" i="17"/>
  <c r="C21" i="17"/>
  <c r="C22" i="17"/>
  <c r="C24" i="17"/>
  <c r="C25" i="17"/>
  <c r="C26" i="17"/>
  <c r="C28" i="17"/>
  <c r="C29" i="17"/>
  <c r="C5" i="17"/>
  <c r="M25" i="7"/>
  <c r="M21" i="7"/>
  <c r="M19" i="7"/>
  <c r="F20" i="15" s="1"/>
  <c r="M9" i="7"/>
  <c r="M12" i="7"/>
  <c r="M17" i="7" s="1"/>
  <c r="M23" i="7" s="1"/>
  <c r="M27" i="7" s="1"/>
  <c r="M31" i="7" s="1"/>
  <c r="M35" i="7" l="1"/>
  <c r="M34" i="7"/>
  <c r="G17" i="22"/>
  <c r="H17" i="22"/>
  <c r="G56" i="22"/>
  <c r="J10" i="22"/>
  <c r="J19" i="22" s="1"/>
  <c r="K10" i="22"/>
  <c r="G10" i="22"/>
  <c r="G19" i="22" s="1"/>
  <c r="H10" i="22"/>
  <c r="I10" i="22"/>
  <c r="K17" i="22"/>
  <c r="C27" i="17"/>
  <c r="C23" i="17"/>
  <c r="C19" i="17"/>
  <c r="C15" i="17"/>
  <c r="C11" i="17"/>
  <c r="G4" i="17" s="1"/>
  <c r="G6" i="17" s="1"/>
  <c r="M21" i="15" s="1"/>
  <c r="I17" i="22"/>
  <c r="J32" i="22"/>
  <c r="J34" i="22" s="1"/>
  <c r="I56" i="22"/>
  <c r="I7" i="16"/>
  <c r="J56" i="22"/>
  <c r="G34" i="22"/>
  <c r="K56" i="22"/>
  <c r="K19" i="22" l="1"/>
  <c r="I19" i="22"/>
  <c r="H19" i="22"/>
  <c r="J7" i="16"/>
  <c r="K42" i="22" l="1"/>
  <c r="K48" i="22" s="1"/>
  <c r="K34" i="22"/>
  <c r="H34" i="22"/>
  <c r="H42" i="22"/>
  <c r="H48" i="22" s="1"/>
  <c r="I42" i="22"/>
  <c r="I48" i="22" s="1"/>
  <c r="I34" i="22"/>
  <c r="J42" i="22"/>
  <c r="J48" i="22" s="1"/>
  <c r="I15" i="15" l="1"/>
  <c r="I14" i="15"/>
  <c r="H12" i="15"/>
  <c r="H10" i="15"/>
  <c r="J10" i="15" s="1"/>
  <c r="H11" i="15"/>
  <c r="H9" i="15"/>
  <c r="K10" i="15"/>
  <c r="D28" i="15"/>
  <c r="B10" i="15"/>
  <c r="B11" i="15"/>
  <c r="B12" i="15"/>
  <c r="B9" i="15"/>
  <c r="D29" i="15" l="1"/>
  <c r="J9" i="15"/>
  <c r="F21" i="15"/>
  <c r="F22" i="15" s="1"/>
  <c r="M34" i="15" s="1"/>
  <c r="M29" i="15"/>
  <c r="J11" i="15"/>
  <c r="K11" i="15"/>
  <c r="K12" i="15"/>
  <c r="J12" i="15"/>
  <c r="M12" i="15" s="1"/>
  <c r="M11" i="15"/>
  <c r="M10" i="15"/>
  <c r="K9" i="15"/>
  <c r="D30" i="15"/>
  <c r="E28" i="15" s="1"/>
  <c r="B6" i="17" a="1"/>
  <c r="B6" i="17" s="1"/>
  <c r="B7" i="17" a="1"/>
  <c r="B7" i="17" s="1"/>
  <c r="B8" i="17" a="1"/>
  <c r="B8" i="17" s="1"/>
  <c r="B9" i="17" a="1"/>
  <c r="B9" i="17"/>
  <c r="B10" i="17" a="1"/>
  <c r="B10" i="17" s="1"/>
  <c r="B11" i="17" a="1"/>
  <c r="B11" i="17"/>
  <c r="B12" i="17" a="1"/>
  <c r="B12" i="17" s="1"/>
  <c r="B13" i="17" a="1"/>
  <c r="B13" i="17" s="1"/>
  <c r="B14" i="17" a="1"/>
  <c r="B14" i="17" s="1"/>
  <c r="B15" i="17" a="1"/>
  <c r="B15" i="17" s="1"/>
  <c r="B16" i="17" a="1"/>
  <c r="B16" i="17" s="1"/>
  <c r="B17" i="17" a="1"/>
  <c r="B17" i="17"/>
  <c r="B18" i="17" a="1"/>
  <c r="B18" i="17" s="1"/>
  <c r="B19" i="17" a="1"/>
  <c r="B19" i="17"/>
  <c r="B20" i="17" a="1"/>
  <c r="B20" i="17" s="1"/>
  <c r="B21" i="17" a="1"/>
  <c r="B21" i="17" s="1"/>
  <c r="B22" i="17" a="1"/>
  <c r="B22" i="17" s="1"/>
  <c r="B23" i="17" a="1"/>
  <c r="B23" i="17" s="1"/>
  <c r="B24" i="17" a="1"/>
  <c r="B24" i="17" s="1"/>
  <c r="B25" i="17" a="1"/>
  <c r="B25" i="17"/>
  <c r="B26" i="17" a="1"/>
  <c r="B26" i="17" s="1"/>
  <c r="B27" i="17" a="1"/>
  <c r="B27" i="17"/>
  <c r="B28" i="17" a="1"/>
  <c r="B28" i="17" s="1"/>
  <c r="B29" i="17" a="1"/>
  <c r="B29" i="17"/>
  <c r="B5" i="17" a="1"/>
  <c r="B5" i="17" s="1"/>
  <c r="O5" i="19"/>
  <c r="L9" i="15" s="1"/>
  <c r="L14" i="15" l="1"/>
  <c r="L15" i="15"/>
  <c r="E29" i="15"/>
  <c r="E30" i="15" s="1"/>
  <c r="F30" i="15" s="1"/>
  <c r="K15" i="15"/>
  <c r="F28" i="15" s="1"/>
  <c r="K14" i="15"/>
  <c r="M9" i="15"/>
  <c r="J15" i="15"/>
  <c r="J14" i="15"/>
  <c r="G108" i="19"/>
  <c r="G107" i="19"/>
  <c r="G106" i="19"/>
  <c r="G105" i="19"/>
  <c r="H105" i="19" s="1"/>
  <c r="G104" i="19"/>
  <c r="G103" i="19"/>
  <c r="G102" i="19"/>
  <c r="G101" i="19"/>
  <c r="H101" i="19" s="1"/>
  <c r="G100" i="19"/>
  <c r="G99" i="19"/>
  <c r="G98" i="19"/>
  <c r="G97" i="19"/>
  <c r="H97" i="19" s="1"/>
  <c r="G96" i="19"/>
  <c r="G95" i="19"/>
  <c r="G94" i="19"/>
  <c r="G93" i="19"/>
  <c r="H93" i="19" s="1"/>
  <c r="G92" i="19"/>
  <c r="G91" i="19"/>
  <c r="G90" i="19"/>
  <c r="G89" i="19"/>
  <c r="H89" i="19" s="1"/>
  <c r="G88" i="19"/>
  <c r="G87" i="19"/>
  <c r="G86" i="19"/>
  <c r="G85" i="19"/>
  <c r="H85" i="19" s="1"/>
  <c r="G84" i="19"/>
  <c r="G83" i="19"/>
  <c r="G82" i="19"/>
  <c r="G81" i="19"/>
  <c r="H81" i="19" s="1"/>
  <c r="G80" i="19"/>
  <c r="G79" i="19"/>
  <c r="G78" i="19"/>
  <c r="G77" i="19"/>
  <c r="H77" i="19" s="1"/>
  <c r="G76" i="19"/>
  <c r="G75" i="19"/>
  <c r="G74" i="19"/>
  <c r="G73" i="19"/>
  <c r="H73" i="19" s="1"/>
  <c r="G72" i="19"/>
  <c r="G71" i="19"/>
  <c r="G70" i="19"/>
  <c r="G69" i="19"/>
  <c r="H69" i="19" s="1"/>
  <c r="G68" i="19"/>
  <c r="G67" i="19"/>
  <c r="G66" i="19"/>
  <c r="G65" i="19"/>
  <c r="H65" i="19" s="1"/>
  <c r="G64" i="19"/>
  <c r="G63" i="19"/>
  <c r="G62" i="19"/>
  <c r="G61" i="19"/>
  <c r="H61" i="19" s="1"/>
  <c r="G60" i="19"/>
  <c r="G59" i="19"/>
  <c r="G58" i="19"/>
  <c r="G57" i="19"/>
  <c r="H57" i="19" s="1"/>
  <c r="G56" i="19"/>
  <c r="G55" i="19"/>
  <c r="G54" i="19"/>
  <c r="G53" i="19"/>
  <c r="H53" i="19" s="1"/>
  <c r="G52" i="19"/>
  <c r="G51" i="19"/>
  <c r="G50" i="19"/>
  <c r="G49" i="19"/>
  <c r="H49" i="19" s="1"/>
  <c r="G48" i="19"/>
  <c r="G47" i="19"/>
  <c r="G46" i="19"/>
  <c r="G45" i="19"/>
  <c r="H45" i="19" s="1"/>
  <c r="G44" i="19"/>
  <c r="G43" i="19"/>
  <c r="G42" i="19"/>
  <c r="G41" i="19"/>
  <c r="H41" i="19" s="1"/>
  <c r="G40" i="19"/>
  <c r="G39" i="19"/>
  <c r="G38" i="19"/>
  <c r="G37" i="19"/>
  <c r="H37" i="19" s="1"/>
  <c r="G36" i="19"/>
  <c r="G35" i="19"/>
  <c r="G34" i="19"/>
  <c r="G33" i="19"/>
  <c r="H33" i="19" s="1"/>
  <c r="G32" i="19"/>
  <c r="G31" i="19"/>
  <c r="G30" i="19"/>
  <c r="G29" i="19"/>
  <c r="H29" i="19" s="1"/>
  <c r="G28" i="19"/>
  <c r="G27" i="19"/>
  <c r="G26" i="19"/>
  <c r="G25" i="19"/>
  <c r="H25" i="19" s="1"/>
  <c r="G24" i="19"/>
  <c r="G23" i="19"/>
  <c r="G22" i="19"/>
  <c r="G21" i="19"/>
  <c r="H21" i="19" s="1"/>
  <c r="G20" i="19"/>
  <c r="G19" i="19"/>
  <c r="G18" i="19"/>
  <c r="G17" i="19"/>
  <c r="H17" i="19" s="1"/>
  <c r="G16" i="19"/>
  <c r="G15" i="19"/>
  <c r="G14" i="19"/>
  <c r="G13" i="19"/>
  <c r="H13" i="19" s="1"/>
  <c r="G12" i="19"/>
  <c r="G11" i="19"/>
  <c r="G10" i="19"/>
  <c r="G9" i="19"/>
  <c r="H9" i="19" s="1"/>
  <c r="G8" i="19"/>
  <c r="G7" i="19"/>
  <c r="G6" i="19"/>
  <c r="G5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B5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2" i="19"/>
  <c r="H7" i="19" l="1"/>
  <c r="H11" i="19"/>
  <c r="H15" i="19"/>
  <c r="H19" i="19"/>
  <c r="H23" i="19"/>
  <c r="H27" i="19"/>
  <c r="H31" i="19"/>
  <c r="H35" i="19"/>
  <c r="H39" i="19"/>
  <c r="H43" i="19"/>
  <c r="H47" i="19"/>
  <c r="H51" i="19"/>
  <c r="H55" i="19"/>
  <c r="H59" i="19"/>
  <c r="H63" i="19"/>
  <c r="H67" i="19"/>
  <c r="H71" i="19"/>
  <c r="H75" i="19"/>
  <c r="H79" i="19"/>
  <c r="H83" i="19"/>
  <c r="H87" i="19"/>
  <c r="D9" i="19"/>
  <c r="D13" i="19"/>
  <c r="D17" i="19"/>
  <c r="D21" i="19"/>
  <c r="D25" i="19"/>
  <c r="D29" i="19"/>
  <c r="D33" i="19"/>
  <c r="D37" i="19"/>
  <c r="D41" i="19"/>
  <c r="D45" i="19"/>
  <c r="D49" i="19"/>
  <c r="D53" i="19"/>
  <c r="D57" i="19"/>
  <c r="D61" i="19"/>
  <c r="D65" i="19"/>
  <c r="D69" i="19"/>
  <c r="D73" i="19"/>
  <c r="D77" i="19"/>
  <c r="D81" i="19"/>
  <c r="D85" i="19"/>
  <c r="D89" i="19"/>
  <c r="E32" i="15"/>
  <c r="M35" i="15"/>
  <c r="M14" i="15"/>
  <c r="M15" i="15"/>
  <c r="M27" i="15" s="1"/>
  <c r="F29" i="15"/>
  <c r="M38" i="15" s="1"/>
  <c r="D12" i="19"/>
  <c r="D16" i="19"/>
  <c r="D20" i="19"/>
  <c r="D24" i="19"/>
  <c r="D28" i="19"/>
  <c r="D32" i="19"/>
  <c r="D36" i="19"/>
  <c r="D40" i="19"/>
  <c r="D44" i="19"/>
  <c r="D48" i="19"/>
  <c r="D52" i="19"/>
  <c r="D56" i="19"/>
  <c r="H91" i="19"/>
  <c r="H95" i="19"/>
  <c r="H103" i="19"/>
  <c r="H107" i="19"/>
  <c r="D93" i="19"/>
  <c r="D97" i="19"/>
  <c r="D101" i="19"/>
  <c r="D105" i="19"/>
  <c r="H8" i="19"/>
  <c r="H12" i="19"/>
  <c r="H16" i="19"/>
  <c r="H20" i="19"/>
  <c r="H24" i="19"/>
  <c r="H28" i="19"/>
  <c r="H32" i="19"/>
  <c r="H36" i="19"/>
  <c r="H40" i="19"/>
  <c r="H44" i="19"/>
  <c r="H48" i="19"/>
  <c r="H52" i="19"/>
  <c r="H56" i="19"/>
  <c r="H60" i="19"/>
  <c r="H64" i="19"/>
  <c r="H68" i="19"/>
  <c r="H72" i="19"/>
  <c r="H76" i="19"/>
  <c r="H80" i="19"/>
  <c r="H84" i="19"/>
  <c r="H88" i="19"/>
  <c r="H92" i="19"/>
  <c r="H100" i="19"/>
  <c r="H104" i="19"/>
  <c r="H108" i="19"/>
  <c r="D60" i="19"/>
  <c r="D64" i="19"/>
  <c r="D68" i="19"/>
  <c r="D76" i="19"/>
  <c r="D80" i="19"/>
  <c r="D84" i="19"/>
  <c r="D88" i="19"/>
  <c r="D92" i="19"/>
  <c r="D100" i="19"/>
  <c r="D104" i="19"/>
  <c r="H18" i="19"/>
  <c r="H22" i="19"/>
  <c r="H34" i="19"/>
  <c r="H38" i="19"/>
  <c r="H50" i="19"/>
  <c r="H54" i="19"/>
  <c r="H66" i="19"/>
  <c r="H70" i="19"/>
  <c r="H82" i="19"/>
  <c r="H86" i="19"/>
  <c r="H98" i="19"/>
  <c r="H102" i="19"/>
  <c r="H99" i="19"/>
  <c r="H96" i="19"/>
  <c r="D107" i="19"/>
  <c r="H6" i="19"/>
  <c r="H90" i="19"/>
  <c r="H42" i="19"/>
  <c r="H10" i="19"/>
  <c r="D7" i="19"/>
  <c r="D71" i="19"/>
  <c r="D95" i="19"/>
  <c r="H106" i="19"/>
  <c r="H74" i="19"/>
  <c r="H58" i="19"/>
  <c r="H26" i="19"/>
  <c r="H94" i="19"/>
  <c r="H78" i="19"/>
  <c r="H62" i="19"/>
  <c r="H46" i="19"/>
  <c r="H30" i="19"/>
  <c r="H14" i="19"/>
  <c r="D8" i="19"/>
  <c r="D6" i="19"/>
  <c r="D10" i="19"/>
  <c r="D14" i="19"/>
  <c r="D18" i="19"/>
  <c r="D22" i="19"/>
  <c r="D26" i="19"/>
  <c r="D30" i="19"/>
  <c r="D34" i="19"/>
  <c r="D38" i="19"/>
  <c r="D42" i="19"/>
  <c r="D46" i="19"/>
  <c r="D50" i="19"/>
  <c r="D54" i="19"/>
  <c r="D58" i="19"/>
  <c r="D62" i="19"/>
  <c r="D66" i="19"/>
  <c r="D70" i="19"/>
  <c r="D74" i="19"/>
  <c r="D78" i="19"/>
  <c r="D82" i="19"/>
  <c r="D86" i="19"/>
  <c r="D90" i="19"/>
  <c r="D94" i="19"/>
  <c r="D98" i="19"/>
  <c r="D102" i="19"/>
  <c r="D106" i="19"/>
  <c r="D108" i="19"/>
  <c r="D96" i="19"/>
  <c r="D72" i="19"/>
  <c r="D103" i="19"/>
  <c r="D99" i="19"/>
  <c r="D91" i="19"/>
  <c r="D87" i="19"/>
  <c r="D83" i="19"/>
  <c r="D79" i="19"/>
  <c r="D75" i="19"/>
  <c r="D67" i="19"/>
  <c r="D63" i="19"/>
  <c r="D59" i="19"/>
  <c r="D55" i="19"/>
  <c r="D51" i="19"/>
  <c r="D47" i="19"/>
  <c r="D43" i="19"/>
  <c r="D39" i="19"/>
  <c r="D35" i="19"/>
  <c r="D31" i="19"/>
  <c r="D27" i="19"/>
  <c r="D23" i="19"/>
  <c r="D19" i="19"/>
  <c r="D15" i="19"/>
  <c r="D11" i="19"/>
  <c r="F32" i="15" l="1"/>
  <c r="M28" i="15" s="1"/>
  <c r="M30" i="15" s="1"/>
  <c r="M22" i="15" s="1"/>
  <c r="M23" i="15" s="1"/>
  <c r="M37" i="15" s="1"/>
  <c r="M40" i="15" s="1"/>
  <c r="C16" i="16" s="1"/>
  <c r="O3" i="19"/>
  <c r="O4" i="19"/>
  <c r="C21" i="16" l="1"/>
  <c r="H10" i="16"/>
  <c r="G10" i="16"/>
  <c r="I10" i="16"/>
  <c r="J10" i="16"/>
  <c r="F10" i="16"/>
  <c r="D35" i="14"/>
  <c r="E35" i="14"/>
  <c r="F35" i="14"/>
  <c r="G35" i="14"/>
  <c r="H35" i="14"/>
  <c r="I35" i="14"/>
  <c r="J35" i="14"/>
  <c r="K35" i="14"/>
  <c r="L35" i="14"/>
  <c r="D36" i="14"/>
  <c r="E36" i="14"/>
  <c r="F36" i="14"/>
  <c r="G36" i="14"/>
  <c r="H36" i="14"/>
  <c r="I36" i="14"/>
  <c r="J36" i="14"/>
  <c r="K36" i="14"/>
  <c r="L36" i="14"/>
  <c r="C35" i="14"/>
  <c r="C36" i="14"/>
  <c r="D34" i="14"/>
  <c r="E34" i="14"/>
  <c r="F34" i="14"/>
  <c r="G34" i="14"/>
  <c r="H34" i="14"/>
  <c r="I34" i="14"/>
  <c r="J34" i="14"/>
  <c r="K34" i="14"/>
  <c r="L34" i="14"/>
  <c r="C34" i="14"/>
  <c r="C31" i="14"/>
  <c r="D31" i="14"/>
  <c r="E31" i="14"/>
  <c r="F31" i="14"/>
  <c r="G31" i="14"/>
  <c r="H31" i="14"/>
  <c r="I31" i="14"/>
  <c r="J31" i="14"/>
  <c r="K31" i="14"/>
  <c r="L31" i="14"/>
  <c r="C32" i="14"/>
  <c r="D32" i="14"/>
  <c r="E32" i="14"/>
  <c r="F32" i="14"/>
  <c r="G32" i="14"/>
  <c r="H32" i="14"/>
  <c r="I32" i="14"/>
  <c r="J32" i="14"/>
  <c r="K32" i="14"/>
  <c r="L32" i="14"/>
  <c r="D30" i="14"/>
  <c r="E30" i="14"/>
  <c r="F30" i="14"/>
  <c r="G30" i="14"/>
  <c r="H30" i="14"/>
  <c r="I30" i="14"/>
  <c r="J30" i="14"/>
  <c r="K30" i="14"/>
  <c r="L30" i="14"/>
  <c r="C30" i="14"/>
  <c r="D29" i="14"/>
  <c r="E29" i="14"/>
  <c r="F29" i="14"/>
  <c r="G29" i="14"/>
  <c r="H29" i="14"/>
  <c r="I29" i="14"/>
  <c r="J29" i="14"/>
  <c r="K29" i="14"/>
  <c r="L29" i="14"/>
  <c r="C29" i="14"/>
  <c r="D24" i="14"/>
  <c r="E24" i="14"/>
  <c r="F24" i="14"/>
  <c r="G24" i="14"/>
  <c r="H24" i="14"/>
  <c r="I24" i="14"/>
  <c r="J24" i="14"/>
  <c r="K24" i="14"/>
  <c r="L24" i="14"/>
  <c r="D25" i="14"/>
  <c r="E25" i="14"/>
  <c r="F25" i="14"/>
  <c r="G25" i="14"/>
  <c r="H25" i="14"/>
  <c r="I25" i="14"/>
  <c r="J25" i="14"/>
  <c r="K25" i="14"/>
  <c r="L25" i="14"/>
  <c r="D26" i="14"/>
  <c r="E26" i="14"/>
  <c r="F26" i="14"/>
  <c r="G26" i="14"/>
  <c r="H26" i="14"/>
  <c r="I26" i="14"/>
  <c r="J26" i="14"/>
  <c r="K26" i="14"/>
  <c r="L26" i="14"/>
  <c r="D27" i="14"/>
  <c r="E27" i="14"/>
  <c r="F27" i="14"/>
  <c r="G27" i="14"/>
  <c r="H27" i="14"/>
  <c r="I27" i="14"/>
  <c r="J27" i="14"/>
  <c r="K27" i="14"/>
  <c r="L27" i="14"/>
  <c r="C25" i="14"/>
  <c r="C26" i="14"/>
  <c r="C27" i="14"/>
  <c r="C24" i="14"/>
  <c r="D23" i="14"/>
  <c r="E23" i="14"/>
  <c r="F23" i="14"/>
  <c r="G23" i="14"/>
  <c r="H23" i="14"/>
  <c r="I23" i="14"/>
  <c r="J23" i="14"/>
  <c r="K23" i="14"/>
  <c r="L23" i="14"/>
  <c r="C23" i="14"/>
  <c r="B25" i="14"/>
  <c r="B26" i="14"/>
  <c r="B27" i="14"/>
  <c r="B30" i="14"/>
  <c r="B31" i="14"/>
  <c r="B32" i="14"/>
  <c r="B33" i="14"/>
  <c r="B34" i="14"/>
  <c r="B35" i="14"/>
  <c r="B36" i="14"/>
  <c r="B24" i="14"/>
  <c r="B21" i="14"/>
  <c r="B19" i="14"/>
  <c r="D5" i="14"/>
  <c r="E5" i="14"/>
  <c r="F5" i="14"/>
  <c r="G5" i="14"/>
  <c r="H5" i="14"/>
  <c r="I5" i="14"/>
  <c r="J5" i="14"/>
  <c r="K5" i="14"/>
  <c r="L5" i="14"/>
  <c r="D6" i="14"/>
  <c r="E6" i="14"/>
  <c r="F6" i="14"/>
  <c r="G6" i="14"/>
  <c r="H6" i="14"/>
  <c r="I6" i="14"/>
  <c r="J6" i="14"/>
  <c r="K6" i="14"/>
  <c r="L6" i="14"/>
  <c r="D7" i="14"/>
  <c r="E7" i="14"/>
  <c r="F7" i="14"/>
  <c r="G7" i="14"/>
  <c r="H7" i="14"/>
  <c r="I7" i="14"/>
  <c r="J7" i="14"/>
  <c r="K7" i="14"/>
  <c r="L7" i="14"/>
  <c r="D8" i="14"/>
  <c r="E8" i="14"/>
  <c r="F8" i="14"/>
  <c r="G8" i="14"/>
  <c r="H8" i="14"/>
  <c r="I8" i="14"/>
  <c r="J8" i="14"/>
  <c r="K8" i="14"/>
  <c r="L8" i="14"/>
  <c r="D9" i="14"/>
  <c r="E9" i="14"/>
  <c r="F9" i="14"/>
  <c r="G9" i="14"/>
  <c r="H9" i="14"/>
  <c r="I9" i="14"/>
  <c r="J9" i="14"/>
  <c r="K9" i="14"/>
  <c r="L9" i="14"/>
  <c r="D10" i="14"/>
  <c r="E10" i="14"/>
  <c r="F10" i="14"/>
  <c r="G10" i="14"/>
  <c r="H10" i="14"/>
  <c r="I10" i="14"/>
  <c r="J10" i="14"/>
  <c r="K10" i="14"/>
  <c r="L10" i="14"/>
  <c r="D11" i="14"/>
  <c r="E11" i="14"/>
  <c r="F11" i="14"/>
  <c r="G11" i="14"/>
  <c r="H11" i="14"/>
  <c r="I11" i="14"/>
  <c r="J11" i="14"/>
  <c r="K11" i="14"/>
  <c r="L11" i="14"/>
  <c r="D12" i="14"/>
  <c r="E12" i="14"/>
  <c r="F12" i="14"/>
  <c r="G12" i="14"/>
  <c r="H12" i="14"/>
  <c r="I12" i="14"/>
  <c r="J12" i="14"/>
  <c r="K12" i="14"/>
  <c r="L12" i="14"/>
  <c r="D13" i="14"/>
  <c r="E13" i="14"/>
  <c r="F13" i="14"/>
  <c r="G13" i="14"/>
  <c r="H13" i="14"/>
  <c r="I13" i="14"/>
  <c r="J13" i="14"/>
  <c r="K13" i="14"/>
  <c r="L13" i="14"/>
  <c r="D14" i="14"/>
  <c r="E14" i="14"/>
  <c r="F14" i="14"/>
  <c r="G14" i="14"/>
  <c r="H14" i="14"/>
  <c r="I14" i="14"/>
  <c r="J14" i="14"/>
  <c r="K14" i="14"/>
  <c r="L14" i="14"/>
  <c r="D15" i="14"/>
  <c r="E15" i="14"/>
  <c r="F15" i="14"/>
  <c r="G15" i="14"/>
  <c r="H15" i="14"/>
  <c r="I15" i="14"/>
  <c r="J15" i="14"/>
  <c r="K15" i="14"/>
  <c r="L15" i="14"/>
  <c r="D16" i="14"/>
  <c r="E16" i="14"/>
  <c r="F16" i="14"/>
  <c r="G16" i="14"/>
  <c r="H16" i="14"/>
  <c r="I16" i="14"/>
  <c r="J16" i="14"/>
  <c r="K16" i="14"/>
  <c r="L16" i="14"/>
  <c r="D17" i="14"/>
  <c r="E17" i="14"/>
  <c r="F17" i="14"/>
  <c r="G17" i="14"/>
  <c r="H17" i="14"/>
  <c r="I17" i="14"/>
  <c r="J17" i="14"/>
  <c r="K17" i="14"/>
  <c r="L17" i="14"/>
  <c r="D18" i="14"/>
  <c r="E18" i="14"/>
  <c r="F18" i="14"/>
  <c r="G18" i="14"/>
  <c r="H18" i="14"/>
  <c r="I18" i="14"/>
  <c r="J18" i="14"/>
  <c r="K18" i="14"/>
  <c r="L18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5" i="14"/>
  <c r="B2" i="14"/>
  <c r="L2" i="13"/>
  <c r="G4" i="13" l="1"/>
  <c r="L4" i="13" s="1"/>
  <c r="G2" i="13"/>
  <c r="B2" i="13"/>
  <c r="D4" i="13" a="1"/>
  <c r="D5" i="13" s="1"/>
  <c r="C4" i="13"/>
  <c r="H4" i="13" s="1"/>
  <c r="M4" i="13" s="1"/>
  <c r="C5" i="13"/>
  <c r="H5" i="13" s="1"/>
  <c r="M5" i="13" s="1"/>
  <c r="B6" i="13"/>
  <c r="G6" i="13" s="1"/>
  <c r="L6" i="13" s="1"/>
  <c r="B5" i="13"/>
  <c r="G5" i="13" s="1"/>
  <c r="L5" i="13" s="1"/>
  <c r="B7" i="13" l="1"/>
  <c r="C6" i="13"/>
  <c r="D12" i="13"/>
  <c r="E12" i="13" s="1"/>
  <c r="D8" i="13"/>
  <c r="D4" i="13"/>
  <c r="D11" i="13"/>
  <c r="D7" i="13"/>
  <c r="E7" i="13" s="1"/>
  <c r="D10" i="13"/>
  <c r="D6" i="13"/>
  <c r="E6" i="13" s="1"/>
  <c r="D13" i="13"/>
  <c r="D9" i="13"/>
  <c r="E9" i="13" l="1"/>
  <c r="B8" i="13"/>
  <c r="G7" i="13"/>
  <c r="L7" i="13" s="1"/>
  <c r="E10" i="13"/>
  <c r="E8" i="13"/>
  <c r="E13" i="13"/>
  <c r="E11" i="13"/>
  <c r="H6" i="13"/>
  <c r="M6" i="13" s="1"/>
  <c r="C7" i="13"/>
  <c r="E5" i="13"/>
  <c r="B46" i="7"/>
  <c r="B2" i="8"/>
  <c r="L3" i="8"/>
  <c r="K3" i="8"/>
  <c r="J3" i="8"/>
  <c r="I3" i="8"/>
  <c r="H3" i="8"/>
  <c r="G3" i="8"/>
  <c r="F3" i="8"/>
  <c r="E3" i="8"/>
  <c r="D3" i="8"/>
  <c r="C3" i="8"/>
  <c r="J87" i="7"/>
  <c r="K87" i="7"/>
  <c r="L87" i="7"/>
  <c r="J88" i="7"/>
  <c r="K88" i="7"/>
  <c r="L88" i="7"/>
  <c r="J89" i="7"/>
  <c r="K89" i="7"/>
  <c r="L89" i="7"/>
  <c r="J90" i="7"/>
  <c r="K90" i="7"/>
  <c r="L90" i="7"/>
  <c r="L94" i="7" s="1"/>
  <c r="J91" i="7"/>
  <c r="K91" i="7"/>
  <c r="L91" i="7"/>
  <c r="J92" i="7"/>
  <c r="K92" i="7"/>
  <c r="L92" i="7"/>
  <c r="J93" i="7"/>
  <c r="K93" i="7"/>
  <c r="L93" i="7"/>
  <c r="K86" i="7"/>
  <c r="L86" i="7"/>
  <c r="J74" i="7"/>
  <c r="K74" i="7"/>
  <c r="L74" i="7"/>
  <c r="J75" i="7"/>
  <c r="K75" i="7"/>
  <c r="L75" i="7"/>
  <c r="J76" i="7"/>
  <c r="K76" i="7"/>
  <c r="L76" i="7"/>
  <c r="J77" i="7"/>
  <c r="K77" i="7"/>
  <c r="L77" i="7"/>
  <c r="J78" i="7"/>
  <c r="K78" i="7"/>
  <c r="L78" i="7"/>
  <c r="J79" i="7"/>
  <c r="K79" i="7"/>
  <c r="L79" i="7"/>
  <c r="J80" i="7"/>
  <c r="K80" i="7"/>
  <c r="L80" i="7"/>
  <c r="J81" i="7"/>
  <c r="K81" i="7"/>
  <c r="L81" i="7"/>
  <c r="J82" i="7"/>
  <c r="K82" i="7"/>
  <c r="L82" i="7"/>
  <c r="J83" i="7"/>
  <c r="K83" i="7"/>
  <c r="L83" i="7"/>
  <c r="K73" i="7"/>
  <c r="L73" i="7"/>
  <c r="L63" i="7"/>
  <c r="L71" i="7" s="1"/>
  <c r="L64" i="7"/>
  <c r="L65" i="7"/>
  <c r="L66" i="7"/>
  <c r="L67" i="7"/>
  <c r="L68" i="7"/>
  <c r="L69" i="7"/>
  <c r="L70" i="7"/>
  <c r="K64" i="7"/>
  <c r="K65" i="7"/>
  <c r="K66" i="7"/>
  <c r="K67" i="7"/>
  <c r="K68" i="7"/>
  <c r="K69" i="7"/>
  <c r="K70" i="7"/>
  <c r="J64" i="7"/>
  <c r="J65" i="7"/>
  <c r="J66" i="7"/>
  <c r="J67" i="7"/>
  <c r="J68" i="7"/>
  <c r="J69" i="7"/>
  <c r="J70" i="7"/>
  <c r="J73" i="7"/>
  <c r="J86" i="7"/>
  <c r="K63" i="7"/>
  <c r="K71" i="7" s="1"/>
  <c r="E39" i="7"/>
  <c r="D39" i="7"/>
  <c r="F39" i="7"/>
  <c r="G39" i="7"/>
  <c r="H39" i="7"/>
  <c r="I39" i="7"/>
  <c r="J39" i="7"/>
  <c r="K39" i="7"/>
  <c r="L39" i="7"/>
  <c r="C86" i="7"/>
  <c r="D86" i="7"/>
  <c r="E86" i="7"/>
  <c r="F86" i="7"/>
  <c r="G86" i="7"/>
  <c r="H86" i="7"/>
  <c r="I86" i="7"/>
  <c r="C87" i="7"/>
  <c r="D87" i="7"/>
  <c r="E87" i="7"/>
  <c r="F87" i="7"/>
  <c r="G87" i="7"/>
  <c r="H87" i="7"/>
  <c r="I87" i="7"/>
  <c r="C88" i="7"/>
  <c r="D88" i="7"/>
  <c r="E88" i="7"/>
  <c r="F88" i="7"/>
  <c r="G88" i="7"/>
  <c r="H88" i="7"/>
  <c r="I88" i="7"/>
  <c r="C89" i="7"/>
  <c r="D89" i="7"/>
  <c r="E89" i="7"/>
  <c r="F89" i="7"/>
  <c r="G89" i="7"/>
  <c r="H89" i="7"/>
  <c r="I89" i="7"/>
  <c r="C90" i="7"/>
  <c r="D90" i="7"/>
  <c r="E90" i="7"/>
  <c r="F90" i="7"/>
  <c r="G90" i="7"/>
  <c r="H90" i="7"/>
  <c r="I90" i="7"/>
  <c r="C91" i="7"/>
  <c r="D91" i="7"/>
  <c r="E91" i="7"/>
  <c r="F91" i="7"/>
  <c r="G91" i="7"/>
  <c r="H91" i="7"/>
  <c r="I91" i="7"/>
  <c r="C92" i="7"/>
  <c r="D92" i="7"/>
  <c r="E92" i="7"/>
  <c r="F92" i="7"/>
  <c r="G92" i="7"/>
  <c r="H92" i="7"/>
  <c r="I92" i="7"/>
  <c r="C93" i="7"/>
  <c r="D93" i="7"/>
  <c r="E93" i="7"/>
  <c r="F93" i="7"/>
  <c r="G93" i="7"/>
  <c r="H93" i="7"/>
  <c r="I93" i="7"/>
  <c r="B87" i="7"/>
  <c r="B88" i="7"/>
  <c r="B89" i="7"/>
  <c r="B90" i="7"/>
  <c r="B91" i="7"/>
  <c r="B92" i="7"/>
  <c r="B93" i="7"/>
  <c r="B86" i="7"/>
  <c r="C73" i="7"/>
  <c r="D73" i="7"/>
  <c r="E73" i="7"/>
  <c r="F73" i="7"/>
  <c r="G73" i="7"/>
  <c r="H73" i="7"/>
  <c r="I73" i="7"/>
  <c r="C74" i="7"/>
  <c r="D74" i="7"/>
  <c r="E74" i="7"/>
  <c r="F74" i="7"/>
  <c r="G74" i="7"/>
  <c r="H74" i="7"/>
  <c r="I74" i="7"/>
  <c r="C75" i="7"/>
  <c r="D75" i="7"/>
  <c r="E75" i="7"/>
  <c r="F75" i="7"/>
  <c r="G75" i="7"/>
  <c r="H75" i="7"/>
  <c r="I75" i="7"/>
  <c r="C76" i="7"/>
  <c r="D76" i="7"/>
  <c r="E76" i="7"/>
  <c r="F76" i="7"/>
  <c r="G76" i="7"/>
  <c r="H76" i="7"/>
  <c r="I76" i="7"/>
  <c r="C77" i="7"/>
  <c r="D77" i="7"/>
  <c r="E77" i="7"/>
  <c r="F77" i="7"/>
  <c r="G77" i="7"/>
  <c r="H77" i="7"/>
  <c r="I77" i="7"/>
  <c r="C78" i="7"/>
  <c r="D78" i="7"/>
  <c r="E78" i="7"/>
  <c r="F78" i="7"/>
  <c r="G78" i="7"/>
  <c r="H78" i="7"/>
  <c r="I78" i="7"/>
  <c r="C79" i="7"/>
  <c r="D79" i="7"/>
  <c r="E79" i="7"/>
  <c r="F79" i="7"/>
  <c r="G79" i="7"/>
  <c r="H79" i="7"/>
  <c r="I79" i="7"/>
  <c r="C80" i="7"/>
  <c r="D80" i="7"/>
  <c r="E80" i="7"/>
  <c r="F80" i="7"/>
  <c r="G80" i="7"/>
  <c r="H80" i="7"/>
  <c r="I80" i="7"/>
  <c r="C81" i="7"/>
  <c r="D81" i="7"/>
  <c r="E81" i="7"/>
  <c r="F81" i="7"/>
  <c r="G81" i="7"/>
  <c r="H81" i="7"/>
  <c r="I81" i="7"/>
  <c r="C82" i="7"/>
  <c r="D82" i="7"/>
  <c r="E82" i="7"/>
  <c r="F82" i="7"/>
  <c r="G82" i="7"/>
  <c r="H82" i="7"/>
  <c r="I82" i="7"/>
  <c r="C83" i="7"/>
  <c r="D83" i="7"/>
  <c r="E83" i="7"/>
  <c r="F83" i="7"/>
  <c r="G83" i="7"/>
  <c r="H83" i="7"/>
  <c r="I83" i="7"/>
  <c r="B74" i="7"/>
  <c r="B75" i="7"/>
  <c r="B76" i="7"/>
  <c r="B77" i="7"/>
  <c r="B78" i="7"/>
  <c r="B79" i="7"/>
  <c r="B80" i="7"/>
  <c r="B81" i="7"/>
  <c r="B82" i="7"/>
  <c r="B83" i="7"/>
  <c r="B73" i="7"/>
  <c r="C63" i="7"/>
  <c r="D63" i="7"/>
  <c r="D71" i="7" s="1"/>
  <c r="E63" i="7"/>
  <c r="E71" i="7" s="1"/>
  <c r="F63" i="7"/>
  <c r="G63" i="7"/>
  <c r="H63" i="7"/>
  <c r="H71" i="7" s="1"/>
  <c r="I63" i="7"/>
  <c r="I71" i="7" s="1"/>
  <c r="J63" i="7"/>
  <c r="C64" i="7"/>
  <c r="D64" i="7"/>
  <c r="E64" i="7"/>
  <c r="F64" i="7"/>
  <c r="G64" i="7"/>
  <c r="H64" i="7"/>
  <c r="I64" i="7"/>
  <c r="C65" i="7"/>
  <c r="D65" i="7"/>
  <c r="E65" i="7"/>
  <c r="F65" i="7"/>
  <c r="G65" i="7"/>
  <c r="H65" i="7"/>
  <c r="I65" i="7"/>
  <c r="C66" i="7"/>
  <c r="D66" i="7"/>
  <c r="E66" i="7"/>
  <c r="F66" i="7"/>
  <c r="G66" i="7"/>
  <c r="H66" i="7"/>
  <c r="I66" i="7"/>
  <c r="C67" i="7"/>
  <c r="D67" i="7"/>
  <c r="E67" i="7"/>
  <c r="F67" i="7"/>
  <c r="G67" i="7"/>
  <c r="H67" i="7"/>
  <c r="I67" i="7"/>
  <c r="C68" i="7"/>
  <c r="D68" i="7"/>
  <c r="E68" i="7"/>
  <c r="F68" i="7"/>
  <c r="G68" i="7"/>
  <c r="H68" i="7"/>
  <c r="I68" i="7"/>
  <c r="C69" i="7"/>
  <c r="D69" i="7"/>
  <c r="E69" i="7"/>
  <c r="F69" i="7"/>
  <c r="F71" i="7" s="1"/>
  <c r="G69" i="7"/>
  <c r="H69" i="7"/>
  <c r="I69" i="7"/>
  <c r="C70" i="7"/>
  <c r="D70" i="7"/>
  <c r="E70" i="7"/>
  <c r="F70" i="7"/>
  <c r="G70" i="7"/>
  <c r="H70" i="7"/>
  <c r="I70" i="7"/>
  <c r="B64" i="7"/>
  <c r="B65" i="7"/>
  <c r="B66" i="7"/>
  <c r="B67" i="7"/>
  <c r="B68" i="7"/>
  <c r="B69" i="7"/>
  <c r="B70" i="7"/>
  <c r="B63" i="7"/>
  <c r="D48" i="7"/>
  <c r="E48" i="7"/>
  <c r="H48" i="7"/>
  <c r="I48" i="7"/>
  <c r="L48" i="7"/>
  <c r="C48" i="7"/>
  <c r="C74" i="6"/>
  <c r="D33" i="14" s="1"/>
  <c r="D74" i="6"/>
  <c r="E33" i="14" s="1"/>
  <c r="E74" i="6"/>
  <c r="F33" i="14" s="1"/>
  <c r="F74" i="6"/>
  <c r="G33" i="14" s="1"/>
  <c r="G74" i="6"/>
  <c r="H33" i="14" s="1"/>
  <c r="H74" i="6"/>
  <c r="I33" i="14" s="1"/>
  <c r="I74" i="6"/>
  <c r="J33" i="14" s="1"/>
  <c r="J74" i="6"/>
  <c r="K33" i="14" s="1"/>
  <c r="K74" i="6"/>
  <c r="L33" i="14" s="1"/>
  <c r="B74" i="6"/>
  <c r="C33" i="14" s="1"/>
  <c r="D51" i="7"/>
  <c r="E51" i="7"/>
  <c r="F51" i="7"/>
  <c r="G51" i="7"/>
  <c r="H51" i="7"/>
  <c r="I51" i="7"/>
  <c r="J51" i="7"/>
  <c r="K51" i="7"/>
  <c r="L51" i="7"/>
  <c r="D52" i="7"/>
  <c r="E52" i="7"/>
  <c r="F52" i="7"/>
  <c r="G52" i="7"/>
  <c r="H52" i="7"/>
  <c r="I52" i="7"/>
  <c r="J52" i="7"/>
  <c r="K52" i="7"/>
  <c r="L52" i="7"/>
  <c r="D53" i="7"/>
  <c r="E53" i="7"/>
  <c r="F53" i="7"/>
  <c r="G53" i="7"/>
  <c r="H53" i="7"/>
  <c r="I53" i="7"/>
  <c r="J53" i="7"/>
  <c r="K53" i="7"/>
  <c r="L53" i="7"/>
  <c r="C52" i="7"/>
  <c r="C53" i="7"/>
  <c r="C51" i="7"/>
  <c r="D45" i="7"/>
  <c r="E45" i="7"/>
  <c r="F45" i="7"/>
  <c r="G45" i="7"/>
  <c r="H45" i="7"/>
  <c r="I45" i="7"/>
  <c r="J45" i="7"/>
  <c r="K45" i="7"/>
  <c r="L45" i="7"/>
  <c r="D46" i="7"/>
  <c r="E46" i="7"/>
  <c r="F46" i="7"/>
  <c r="G46" i="7"/>
  <c r="H46" i="7"/>
  <c r="I46" i="7"/>
  <c r="J46" i="7"/>
  <c r="K46" i="7"/>
  <c r="L46" i="7"/>
  <c r="D47" i="7"/>
  <c r="E47" i="7"/>
  <c r="F47" i="7"/>
  <c r="G47" i="7"/>
  <c r="H47" i="7"/>
  <c r="I47" i="7"/>
  <c r="J47" i="7"/>
  <c r="K47" i="7"/>
  <c r="L47" i="7"/>
  <c r="C46" i="7"/>
  <c r="C47" i="7"/>
  <c r="C45" i="7"/>
  <c r="D40" i="7"/>
  <c r="E40" i="7"/>
  <c r="F40" i="7"/>
  <c r="G40" i="7"/>
  <c r="H40" i="7"/>
  <c r="I40" i="7"/>
  <c r="J40" i="7"/>
  <c r="K40" i="7"/>
  <c r="L40" i="7"/>
  <c r="D41" i="7"/>
  <c r="D39" i="8" s="1"/>
  <c r="E41" i="7"/>
  <c r="F41" i="7"/>
  <c r="G41" i="7"/>
  <c r="H41" i="7"/>
  <c r="H39" i="8" s="1"/>
  <c r="I41" i="7"/>
  <c r="J41" i="7"/>
  <c r="K41" i="7"/>
  <c r="L41" i="7"/>
  <c r="L39" i="8" s="1"/>
  <c r="D42" i="7"/>
  <c r="E42" i="7"/>
  <c r="F42" i="7"/>
  <c r="G42" i="7"/>
  <c r="H42" i="7"/>
  <c r="I42" i="7"/>
  <c r="J42" i="7"/>
  <c r="K42" i="7"/>
  <c r="L42" i="7"/>
  <c r="C40" i="7"/>
  <c r="C41" i="7"/>
  <c r="C42" i="7"/>
  <c r="C39" i="7"/>
  <c r="B40" i="7"/>
  <c r="B41" i="7"/>
  <c r="B42" i="7"/>
  <c r="B47" i="7"/>
  <c r="B48" i="7"/>
  <c r="B51" i="7"/>
  <c r="B52" i="7"/>
  <c r="B53" i="7"/>
  <c r="B39" i="7"/>
  <c r="H84" i="7" l="1"/>
  <c r="I84" i="7"/>
  <c r="E84" i="7"/>
  <c r="E96" i="7" s="1"/>
  <c r="E94" i="7"/>
  <c r="K39" i="8"/>
  <c r="G94" i="7"/>
  <c r="C94" i="7"/>
  <c r="H94" i="7"/>
  <c r="H96" i="7" s="1"/>
  <c r="D94" i="7"/>
  <c r="J94" i="7"/>
  <c r="L84" i="7"/>
  <c r="C39" i="8"/>
  <c r="F39" i="8"/>
  <c r="K48" i="7"/>
  <c r="G48" i="7"/>
  <c r="G71" i="7"/>
  <c r="C71" i="7"/>
  <c r="G84" i="7"/>
  <c r="C84" i="7"/>
  <c r="K84" i="7"/>
  <c r="K94" i="7"/>
  <c r="B9" i="13"/>
  <c r="G8" i="13"/>
  <c r="L8" i="13" s="1"/>
  <c r="D84" i="7"/>
  <c r="I94" i="7"/>
  <c r="G39" i="8"/>
  <c r="I39" i="8"/>
  <c r="E39" i="8"/>
  <c r="J48" i="7"/>
  <c r="J49" i="7" s="1"/>
  <c r="J56" i="7" s="1"/>
  <c r="J38" i="8" s="1"/>
  <c r="F48" i="7"/>
  <c r="J71" i="7"/>
  <c r="J39" i="8" s="1"/>
  <c r="N39" i="8" s="1"/>
  <c r="F84" i="7"/>
  <c r="F94" i="7"/>
  <c r="F96" i="7" s="1"/>
  <c r="C8" i="13"/>
  <c r="H7" i="13"/>
  <c r="M7" i="13" s="1"/>
  <c r="C49" i="7"/>
  <c r="I49" i="7"/>
  <c r="E49" i="7"/>
  <c r="J54" i="7"/>
  <c r="K54" i="7"/>
  <c r="G54" i="7"/>
  <c r="F54" i="7"/>
  <c r="C43" i="7"/>
  <c r="J43" i="7"/>
  <c r="F43" i="7"/>
  <c r="F49" i="7"/>
  <c r="L49" i="7"/>
  <c r="H49" i="7"/>
  <c r="D49" i="7"/>
  <c r="K43" i="7"/>
  <c r="G43" i="7"/>
  <c r="E43" i="7"/>
  <c r="K49" i="7"/>
  <c r="K56" i="7" s="1"/>
  <c r="K38" i="8" s="1"/>
  <c r="G49" i="7"/>
  <c r="G56" i="7" s="1"/>
  <c r="G38" i="8" s="1"/>
  <c r="I54" i="7"/>
  <c r="E54" i="7"/>
  <c r="I43" i="7"/>
  <c r="D43" i="7"/>
  <c r="L43" i="7"/>
  <c r="H43" i="7"/>
  <c r="C54" i="7"/>
  <c r="C56" i="7" s="1"/>
  <c r="C38" i="8" s="1"/>
  <c r="L54" i="7"/>
  <c r="H54" i="7"/>
  <c r="D54" i="7"/>
  <c r="G96" i="7"/>
  <c r="C96" i="7"/>
  <c r="D96" i="7"/>
  <c r="I96" i="7"/>
  <c r="K96" i="7"/>
  <c r="L96" i="7"/>
  <c r="J84" i="7"/>
  <c r="J96" i="7" s="1"/>
  <c r="D29" i="7"/>
  <c r="D33" i="7" s="1"/>
  <c r="E29" i="7"/>
  <c r="E33" i="7" s="1"/>
  <c r="E9" i="8" s="1"/>
  <c r="F29" i="7"/>
  <c r="F33" i="7" s="1"/>
  <c r="G29" i="7"/>
  <c r="G33" i="7" s="1"/>
  <c r="H29" i="7"/>
  <c r="H33" i="7" s="1"/>
  <c r="I29" i="7"/>
  <c r="I33" i="7" s="1"/>
  <c r="I9" i="8" s="1"/>
  <c r="J29" i="7"/>
  <c r="J33" i="7" s="1"/>
  <c r="K29" i="7"/>
  <c r="K33" i="7" s="1"/>
  <c r="L33" i="7"/>
  <c r="C29" i="7"/>
  <c r="C33" i="7" s="1"/>
  <c r="D25" i="7"/>
  <c r="E25" i="7"/>
  <c r="F25" i="7"/>
  <c r="G25" i="7"/>
  <c r="H25" i="7"/>
  <c r="I25" i="7"/>
  <c r="J25" i="7"/>
  <c r="K25" i="7"/>
  <c r="L25" i="7"/>
  <c r="C25" i="7"/>
  <c r="D19" i="7"/>
  <c r="E19" i="7"/>
  <c r="F19" i="7"/>
  <c r="G19" i="7"/>
  <c r="H19" i="7"/>
  <c r="I19" i="7"/>
  <c r="J19" i="7"/>
  <c r="K19" i="7"/>
  <c r="L19" i="7"/>
  <c r="C19" i="7"/>
  <c r="D21" i="7"/>
  <c r="E21" i="7"/>
  <c r="F21" i="7"/>
  <c r="G21" i="7"/>
  <c r="H21" i="7"/>
  <c r="I21" i="7"/>
  <c r="J21" i="7"/>
  <c r="K21" i="7"/>
  <c r="L21" i="7"/>
  <c r="C21" i="7"/>
  <c r="B21" i="7"/>
  <c r="D15" i="7"/>
  <c r="E15" i="7"/>
  <c r="F15" i="7"/>
  <c r="G15" i="7"/>
  <c r="H15" i="7"/>
  <c r="I15" i="7"/>
  <c r="J15" i="7"/>
  <c r="K15" i="7"/>
  <c r="L15" i="7"/>
  <c r="C15" i="7"/>
  <c r="D9" i="7"/>
  <c r="E9" i="7"/>
  <c r="F9" i="7"/>
  <c r="G9" i="7"/>
  <c r="H9" i="7"/>
  <c r="I9" i="7"/>
  <c r="J9" i="7"/>
  <c r="K9" i="7"/>
  <c r="L9" i="7"/>
  <c r="D6" i="7"/>
  <c r="E6" i="7"/>
  <c r="F6" i="7"/>
  <c r="G6" i="7"/>
  <c r="H6" i="7"/>
  <c r="I6" i="7"/>
  <c r="J6" i="7"/>
  <c r="K6" i="7"/>
  <c r="L6" i="7"/>
  <c r="O39" i="8" l="1"/>
  <c r="B10" i="13"/>
  <c r="G9" i="13"/>
  <c r="L9" i="13" s="1"/>
  <c r="L9" i="8"/>
  <c r="I56" i="7"/>
  <c r="I38" i="8" s="1"/>
  <c r="C9" i="13"/>
  <c r="H8" i="13"/>
  <c r="M8" i="13" s="1"/>
  <c r="L37" i="8"/>
  <c r="L27" i="8"/>
  <c r="L33" i="8" s="1"/>
  <c r="H37" i="8"/>
  <c r="H27" i="8"/>
  <c r="H33" i="8" s="1"/>
  <c r="D37" i="8"/>
  <c r="D27" i="8"/>
  <c r="E56" i="7"/>
  <c r="E38" i="8" s="1"/>
  <c r="K27" i="8"/>
  <c r="K33" i="8" s="1"/>
  <c r="K37" i="8"/>
  <c r="J37" i="8"/>
  <c r="J27" i="8"/>
  <c r="J33" i="8" s="1"/>
  <c r="F56" i="7"/>
  <c r="F38" i="8" s="1"/>
  <c r="G27" i="8"/>
  <c r="G33" i="8" s="1"/>
  <c r="G37" i="8"/>
  <c r="F37" i="8"/>
  <c r="F27" i="8"/>
  <c r="F33" i="8" s="1"/>
  <c r="I37" i="8"/>
  <c r="I27" i="8"/>
  <c r="I33" i="8" s="1"/>
  <c r="E37" i="8"/>
  <c r="E27" i="8"/>
  <c r="E33" i="8" s="1"/>
  <c r="I58" i="7"/>
  <c r="H9" i="8"/>
  <c r="L29" i="8"/>
  <c r="L35" i="8" s="1"/>
  <c r="L28" i="8"/>
  <c r="L34" i="8" s="1"/>
  <c r="L26" i="8"/>
  <c r="L32" i="8" s="1"/>
  <c r="L30" i="8"/>
  <c r="H29" i="8"/>
  <c r="H35" i="8" s="1"/>
  <c r="H28" i="8"/>
  <c r="H34" i="8" s="1"/>
  <c r="H26" i="8"/>
  <c r="H32" i="8" s="1"/>
  <c r="H30" i="8"/>
  <c r="D29" i="8"/>
  <c r="D28" i="8"/>
  <c r="D26" i="8"/>
  <c r="D30" i="8"/>
  <c r="K26" i="8"/>
  <c r="K32" i="8" s="1"/>
  <c r="K30" i="8"/>
  <c r="K29" i="8"/>
  <c r="K35" i="8" s="1"/>
  <c r="K28" i="8"/>
  <c r="K34" i="8" s="1"/>
  <c r="G26" i="8"/>
  <c r="G32" i="8" s="1"/>
  <c r="G30" i="8"/>
  <c r="G29" i="8"/>
  <c r="G35" i="8" s="1"/>
  <c r="G28" i="8"/>
  <c r="G34" i="8" s="1"/>
  <c r="G58" i="7"/>
  <c r="L56" i="7"/>
  <c r="J58" i="7"/>
  <c r="J22" i="7"/>
  <c r="J18" i="8" s="1"/>
  <c r="J29" i="8"/>
  <c r="J35" i="8" s="1"/>
  <c r="J28" i="8"/>
  <c r="J34" i="8" s="1"/>
  <c r="J26" i="8"/>
  <c r="J32" i="8" s="1"/>
  <c r="J30" i="8"/>
  <c r="F22" i="7"/>
  <c r="F18" i="8" s="1"/>
  <c r="F29" i="8"/>
  <c r="F35" i="8" s="1"/>
  <c r="F28" i="8"/>
  <c r="F34" i="8" s="1"/>
  <c r="F26" i="8"/>
  <c r="F32" i="8" s="1"/>
  <c r="F30" i="8"/>
  <c r="K9" i="8"/>
  <c r="G9" i="8"/>
  <c r="K58" i="7"/>
  <c r="C58" i="7"/>
  <c r="J9" i="8"/>
  <c r="F9" i="8"/>
  <c r="D56" i="7"/>
  <c r="I29" i="8"/>
  <c r="I35" i="8" s="1"/>
  <c r="I28" i="8"/>
  <c r="I34" i="8" s="1"/>
  <c r="I26" i="8"/>
  <c r="I32" i="8" s="1"/>
  <c r="I30" i="8"/>
  <c r="E29" i="8"/>
  <c r="E35" i="8" s="1"/>
  <c r="E28" i="8"/>
  <c r="E34" i="8" s="1"/>
  <c r="E26" i="8"/>
  <c r="E32" i="8" s="1"/>
  <c r="E30" i="8"/>
  <c r="E58" i="7"/>
  <c r="H56" i="7"/>
  <c r="H12" i="7"/>
  <c r="H17" i="7" s="1"/>
  <c r="L12" i="7"/>
  <c r="L13" i="7" s="1"/>
  <c r="L11" i="8" s="1"/>
  <c r="D12" i="7"/>
  <c r="D13" i="7" s="1"/>
  <c r="D11" i="8" s="1"/>
  <c r="I10" i="7"/>
  <c r="E10" i="7"/>
  <c r="I20" i="7"/>
  <c r="E20" i="7"/>
  <c r="I12" i="7"/>
  <c r="I13" i="7" s="1"/>
  <c r="I11" i="8" s="1"/>
  <c r="E12" i="7"/>
  <c r="E17" i="7" s="1"/>
  <c r="K7" i="7"/>
  <c r="K5" i="8" s="1"/>
  <c r="G7" i="7"/>
  <c r="G5" i="8" s="1"/>
  <c r="J7" i="7"/>
  <c r="J5" i="8" s="1"/>
  <c r="K12" i="7"/>
  <c r="K17" i="7" s="1"/>
  <c r="G10" i="7"/>
  <c r="L16" i="7"/>
  <c r="L17" i="8" s="1"/>
  <c r="H16" i="7"/>
  <c r="H17" i="8" s="1"/>
  <c r="D16" i="7"/>
  <c r="D17" i="8" s="1"/>
  <c r="F7" i="7"/>
  <c r="F5" i="8" s="1"/>
  <c r="J10" i="7"/>
  <c r="F10" i="7"/>
  <c r="K16" i="7"/>
  <c r="K17" i="8" s="1"/>
  <c r="G16" i="7"/>
  <c r="G17" i="8" s="1"/>
  <c r="J16" i="7"/>
  <c r="J17" i="8" s="1"/>
  <c r="F16" i="7"/>
  <c r="F17" i="8" s="1"/>
  <c r="I22" i="7"/>
  <c r="I18" i="8" s="1"/>
  <c r="E22" i="7"/>
  <c r="E18" i="8" s="1"/>
  <c r="K20" i="7"/>
  <c r="G20" i="7"/>
  <c r="I16" i="7"/>
  <c r="I17" i="8" s="1"/>
  <c r="E16" i="7"/>
  <c r="E17" i="8" s="1"/>
  <c r="L22" i="7"/>
  <c r="L18" i="8" s="1"/>
  <c r="H22" i="7"/>
  <c r="H18" i="8" s="1"/>
  <c r="D22" i="7"/>
  <c r="D18" i="8" s="1"/>
  <c r="J20" i="7"/>
  <c r="F20" i="7"/>
  <c r="I17" i="7"/>
  <c r="E13" i="7"/>
  <c r="E11" i="8" s="1"/>
  <c r="H13" i="7"/>
  <c r="H11" i="8" s="1"/>
  <c r="G12" i="7"/>
  <c r="I7" i="7"/>
  <c r="I5" i="8" s="1"/>
  <c r="L10" i="7"/>
  <c r="H10" i="7"/>
  <c r="H7" i="7"/>
  <c r="H5" i="8" s="1"/>
  <c r="K10" i="7"/>
  <c r="L20" i="7"/>
  <c r="H20" i="7"/>
  <c r="D20" i="7"/>
  <c r="E7" i="7"/>
  <c r="E5" i="8" s="1"/>
  <c r="D10" i="7"/>
  <c r="J12" i="7"/>
  <c r="F12" i="7"/>
  <c r="K22" i="7"/>
  <c r="K18" i="8" s="1"/>
  <c r="G22" i="7"/>
  <c r="G18" i="8" s="1"/>
  <c r="L7" i="7"/>
  <c r="L5" i="8" s="1"/>
  <c r="B11" i="13" l="1"/>
  <c r="G10" i="13"/>
  <c r="L10" i="13" s="1"/>
  <c r="D17" i="7"/>
  <c r="F58" i="7"/>
  <c r="L17" i="7"/>
  <c r="L6" i="8" s="1"/>
  <c r="I6" i="8"/>
  <c r="C10" i="13"/>
  <c r="H9" i="13"/>
  <c r="M9" i="13" s="1"/>
  <c r="D58" i="7"/>
  <c r="D38" i="8"/>
  <c r="O9" i="8"/>
  <c r="N9" i="8"/>
  <c r="N29" i="8"/>
  <c r="O29" i="8"/>
  <c r="D35" i="8"/>
  <c r="O18" i="8"/>
  <c r="N18" i="8"/>
  <c r="O17" i="8"/>
  <c r="N17" i="8"/>
  <c r="O30" i="8"/>
  <c r="N30" i="8"/>
  <c r="H58" i="7"/>
  <c r="H38" i="8"/>
  <c r="L58" i="7"/>
  <c r="L38" i="8"/>
  <c r="O26" i="8"/>
  <c r="N26" i="8"/>
  <c r="D32" i="8"/>
  <c r="O27" i="8"/>
  <c r="N27" i="8"/>
  <c r="D33" i="8"/>
  <c r="O28" i="8"/>
  <c r="N28" i="8"/>
  <c r="D34" i="8"/>
  <c r="O37" i="8"/>
  <c r="N37" i="8"/>
  <c r="E6" i="8"/>
  <c r="K13" i="7"/>
  <c r="K11" i="8" s="1"/>
  <c r="K23" i="7"/>
  <c r="K18" i="7"/>
  <c r="K12" i="8" s="1"/>
  <c r="E23" i="7"/>
  <c r="D34" i="6" s="1"/>
  <c r="E18" i="7"/>
  <c r="E12" i="8" s="1"/>
  <c r="D23" i="7"/>
  <c r="C34" i="6" s="1"/>
  <c r="D18" i="7"/>
  <c r="D12" i="8" s="1"/>
  <c r="I23" i="7"/>
  <c r="I18" i="7"/>
  <c r="I12" i="8" s="1"/>
  <c r="L23" i="7"/>
  <c r="L18" i="7"/>
  <c r="L12" i="8" s="1"/>
  <c r="H23" i="7"/>
  <c r="H18" i="7"/>
  <c r="H12" i="8" s="1"/>
  <c r="F17" i="7"/>
  <c r="F6" i="8" s="1"/>
  <c r="F13" i="7"/>
  <c r="F11" i="8" s="1"/>
  <c r="N11" i="8" s="1"/>
  <c r="J17" i="7"/>
  <c r="J6" i="8" s="1"/>
  <c r="J13" i="7"/>
  <c r="J11" i="8" s="1"/>
  <c r="G17" i="7"/>
  <c r="G6" i="8" s="1"/>
  <c r="G13" i="7"/>
  <c r="G11" i="8" s="1"/>
  <c r="K34" i="6" l="1"/>
  <c r="K35" i="22"/>
  <c r="J34" i="6"/>
  <c r="J35" i="22"/>
  <c r="G34" i="6"/>
  <c r="G35" i="22"/>
  <c r="H34" i="6"/>
  <c r="H35" i="22"/>
  <c r="B12" i="13"/>
  <c r="G11" i="13"/>
  <c r="L11" i="13" s="1"/>
  <c r="G32" i="6"/>
  <c r="H19" i="14" s="1"/>
  <c r="G35" i="6"/>
  <c r="H13" i="8" s="1"/>
  <c r="H32" i="6"/>
  <c r="I19" i="14" s="1"/>
  <c r="H35" i="6"/>
  <c r="I13" i="8" s="1"/>
  <c r="D32" i="6"/>
  <c r="E19" i="14" s="1"/>
  <c r="D35" i="6"/>
  <c r="E13" i="8" s="1"/>
  <c r="C32" i="6"/>
  <c r="D19" i="14" s="1"/>
  <c r="C35" i="6"/>
  <c r="D13" i="8" s="1"/>
  <c r="J32" i="6"/>
  <c r="K19" i="14" s="1"/>
  <c r="J35" i="6"/>
  <c r="K13" i="8" s="1"/>
  <c r="O11" i="8"/>
  <c r="K32" i="6"/>
  <c r="L19" i="14" s="1"/>
  <c r="K35" i="6"/>
  <c r="L13" i="8" s="1"/>
  <c r="C11" i="13"/>
  <c r="H10" i="13"/>
  <c r="M10" i="13" s="1"/>
  <c r="O32" i="8"/>
  <c r="N32" i="8"/>
  <c r="N34" i="8"/>
  <c r="O34" i="8"/>
  <c r="O33" i="8"/>
  <c r="N33" i="8"/>
  <c r="O35" i="8"/>
  <c r="N35" i="8"/>
  <c r="O38" i="8"/>
  <c r="N38" i="8"/>
  <c r="H26" i="7"/>
  <c r="H20" i="8"/>
  <c r="H24" i="8"/>
  <c r="I26" i="7"/>
  <c r="I24" i="8"/>
  <c r="I7" i="8"/>
  <c r="I20" i="8"/>
  <c r="E24" i="8"/>
  <c r="E7" i="8"/>
  <c r="E20" i="8"/>
  <c r="K6" i="8"/>
  <c r="L26" i="7"/>
  <c r="L7" i="8"/>
  <c r="L20" i="8"/>
  <c r="L24" i="8"/>
  <c r="D26" i="7"/>
  <c r="D20" i="8"/>
  <c r="D24" i="8"/>
  <c r="K20" i="8"/>
  <c r="K24" i="8"/>
  <c r="H6" i="8"/>
  <c r="J23" i="7"/>
  <c r="J18" i="7"/>
  <c r="J12" i="8" s="1"/>
  <c r="L27" i="7"/>
  <c r="L24" i="7"/>
  <c r="L14" i="8" s="1"/>
  <c r="K27" i="7"/>
  <c r="K24" i="7"/>
  <c r="K14" i="8" s="1"/>
  <c r="I27" i="7"/>
  <c r="I24" i="7"/>
  <c r="I14" i="8" s="1"/>
  <c r="G23" i="7"/>
  <c r="F34" i="6" s="1"/>
  <c r="G18" i="7"/>
  <c r="G12" i="8" s="1"/>
  <c r="F23" i="7"/>
  <c r="E34" i="6" s="1"/>
  <c r="F18" i="7"/>
  <c r="F12" i="8" s="1"/>
  <c r="H27" i="7"/>
  <c r="H24" i="7"/>
  <c r="H14" i="8" s="1"/>
  <c r="E27" i="7"/>
  <c r="E24" i="7"/>
  <c r="E14" i="8" s="1"/>
  <c r="K26" i="7"/>
  <c r="E26" i="7"/>
  <c r="D27" i="7"/>
  <c r="D24" i="7"/>
  <c r="D14" i="8" s="1"/>
  <c r="H44" i="22" l="1"/>
  <c r="H46" i="22" s="1"/>
  <c r="H50" i="22" s="1"/>
  <c r="H37" i="22"/>
  <c r="H59" i="22" s="1"/>
  <c r="J44" i="22"/>
  <c r="J46" i="22" s="1"/>
  <c r="J50" i="22" s="1"/>
  <c r="J58" i="22" s="1"/>
  <c r="J37" i="22"/>
  <c r="J59" i="22" s="1"/>
  <c r="G44" i="22"/>
  <c r="G46" i="22" s="1"/>
  <c r="G37" i="22"/>
  <c r="K44" i="22"/>
  <c r="K46" i="22" s="1"/>
  <c r="K50" i="22" s="1"/>
  <c r="K58" i="22" s="1"/>
  <c r="K61" i="22" s="1"/>
  <c r="E4" i="16"/>
  <c r="K37" i="22"/>
  <c r="K59" i="22" s="1"/>
  <c r="I34" i="6"/>
  <c r="I35" i="22"/>
  <c r="B13" i="13"/>
  <c r="G12" i="13"/>
  <c r="L12" i="13" s="1"/>
  <c r="I32" i="6"/>
  <c r="J19" i="14" s="1"/>
  <c r="I35" i="6"/>
  <c r="J13" i="8" s="1"/>
  <c r="O12" i="8"/>
  <c r="C12" i="13"/>
  <c r="H11" i="13"/>
  <c r="M11" i="13" s="1"/>
  <c r="F32" i="6"/>
  <c r="G19" i="14" s="1"/>
  <c r="F35" i="6"/>
  <c r="G13" i="8" s="1"/>
  <c r="E32" i="6"/>
  <c r="F19" i="14" s="1"/>
  <c r="E35" i="6"/>
  <c r="F13" i="8" s="1"/>
  <c r="N12" i="8"/>
  <c r="K7" i="8"/>
  <c r="E21" i="8"/>
  <c r="E8" i="8"/>
  <c r="H21" i="8"/>
  <c r="G24" i="7"/>
  <c r="G14" i="8" s="1"/>
  <c r="G20" i="8"/>
  <c r="G7" i="8"/>
  <c r="G24" i="8"/>
  <c r="D21" i="8"/>
  <c r="F24" i="7"/>
  <c r="F14" i="8" s="1"/>
  <c r="F24" i="8"/>
  <c r="F7" i="8"/>
  <c r="F20" i="8"/>
  <c r="I21" i="8"/>
  <c r="I8" i="8"/>
  <c r="L21" i="8"/>
  <c r="L8" i="8"/>
  <c r="H7" i="8"/>
  <c r="K21" i="8"/>
  <c r="J24" i="7"/>
  <c r="J14" i="8" s="1"/>
  <c r="J24" i="8"/>
  <c r="J7" i="8"/>
  <c r="J20" i="8"/>
  <c r="G27" i="7"/>
  <c r="H8" i="8" s="1"/>
  <c r="J27" i="7"/>
  <c r="F26" i="7"/>
  <c r="F27" i="7"/>
  <c r="J26" i="7"/>
  <c r="G26" i="7"/>
  <c r="D31" i="7"/>
  <c r="D28" i="7"/>
  <c r="D15" i="8" s="1"/>
  <c r="E31" i="7"/>
  <c r="E28" i="7"/>
  <c r="E15" i="8" s="1"/>
  <c r="I31" i="7"/>
  <c r="I28" i="7"/>
  <c r="I15" i="8" s="1"/>
  <c r="L31" i="7"/>
  <c r="L28" i="7"/>
  <c r="L15" i="8" s="1"/>
  <c r="H31" i="7"/>
  <c r="H28" i="7"/>
  <c r="H15" i="8" s="1"/>
  <c r="K31" i="7"/>
  <c r="K28" i="7"/>
  <c r="K15" i="8" s="1"/>
  <c r="C6" i="7"/>
  <c r="B6" i="7"/>
  <c r="D3" i="7"/>
  <c r="D4" i="14" s="1"/>
  <c r="E3" i="7"/>
  <c r="E4" i="14" s="1"/>
  <c r="F3" i="7"/>
  <c r="F4" i="14" s="1"/>
  <c r="G3" i="7"/>
  <c r="G4" i="14" s="1"/>
  <c r="H3" i="7"/>
  <c r="H4" i="14" s="1"/>
  <c r="I3" i="7"/>
  <c r="I4" i="14" s="1"/>
  <c r="J3" i="7"/>
  <c r="J4" i="14" s="1"/>
  <c r="K3" i="7"/>
  <c r="K4" i="14" s="1"/>
  <c r="L3" i="7"/>
  <c r="L4" i="14" s="1"/>
  <c r="C3" i="7"/>
  <c r="C4" i="14" s="1"/>
  <c r="B2" i="7"/>
  <c r="B14" i="13" l="1"/>
  <c r="G13" i="13"/>
  <c r="L13" i="13" s="1"/>
  <c r="L35" i="7"/>
  <c r="L32" i="7"/>
  <c r="M32" i="7"/>
  <c r="I44" i="22"/>
  <c r="I46" i="22" s="1"/>
  <c r="I50" i="22" s="1"/>
  <c r="I58" i="22" s="1"/>
  <c r="I61" i="22" s="1"/>
  <c r="I37" i="22"/>
  <c r="I59" i="22" s="1"/>
  <c r="J61" i="22"/>
  <c r="E6" i="16"/>
  <c r="E8" i="16" s="1"/>
  <c r="O14" i="8"/>
  <c r="K52" i="22"/>
  <c r="K53" i="22"/>
  <c r="H58" i="22"/>
  <c r="H61" i="22" s="1"/>
  <c r="O20" i="8"/>
  <c r="N13" i="8"/>
  <c r="O24" i="8"/>
  <c r="C13" i="13"/>
  <c r="H12" i="13"/>
  <c r="M12" i="13" s="1"/>
  <c r="O13" i="8"/>
  <c r="N20" i="8"/>
  <c r="N14" i="8"/>
  <c r="N24" i="8"/>
  <c r="C37" i="8"/>
  <c r="C27" i="8"/>
  <c r="C33" i="8" s="1"/>
  <c r="G28" i="7"/>
  <c r="G15" i="8" s="1"/>
  <c r="G31" i="7"/>
  <c r="J28" i="7"/>
  <c r="J15" i="8" s="1"/>
  <c r="J21" i="8"/>
  <c r="J8" i="8"/>
  <c r="C26" i="8"/>
  <c r="C32" i="8" s="1"/>
  <c r="C29" i="8"/>
  <c r="C35" i="8" s="1"/>
  <c r="C28" i="8"/>
  <c r="C34" i="8" s="1"/>
  <c r="C30" i="8"/>
  <c r="G21" i="8"/>
  <c r="G8" i="8"/>
  <c r="F31" i="7"/>
  <c r="G32" i="7" s="1"/>
  <c r="F21" i="8"/>
  <c r="F8" i="8"/>
  <c r="K8" i="8"/>
  <c r="J31" i="7"/>
  <c r="J35" i="7" s="1"/>
  <c r="J22" i="8" s="1"/>
  <c r="F28" i="7"/>
  <c r="F15" i="8" s="1"/>
  <c r="H35" i="7"/>
  <c r="H22" i="8" s="1"/>
  <c r="H23" i="8" s="1"/>
  <c r="H32" i="7"/>
  <c r="H34" i="7"/>
  <c r="I35" i="7"/>
  <c r="I22" i="8" s="1"/>
  <c r="I23" i="8" s="1"/>
  <c r="I32" i="7"/>
  <c r="I34" i="7"/>
  <c r="D35" i="7"/>
  <c r="D22" i="8" s="1"/>
  <c r="D34" i="7"/>
  <c r="K35" i="7"/>
  <c r="K22" i="8" s="1"/>
  <c r="K23" i="8" s="1"/>
  <c r="K34" i="7"/>
  <c r="G35" i="7"/>
  <c r="G22" i="8" s="1"/>
  <c r="G34" i="7"/>
  <c r="L22" i="8"/>
  <c r="L23" i="8" s="1"/>
  <c r="L34" i="7"/>
  <c r="E35" i="7"/>
  <c r="E22" i="8" s="1"/>
  <c r="E23" i="8" s="1"/>
  <c r="E32" i="7"/>
  <c r="E34" i="7"/>
  <c r="F32" i="7"/>
  <c r="F34" i="7"/>
  <c r="C10" i="7"/>
  <c r="C12" i="7"/>
  <c r="C20" i="7"/>
  <c r="C22" i="7"/>
  <c r="C18" i="8" s="1"/>
  <c r="C16" i="7"/>
  <c r="D7" i="7"/>
  <c r="D5" i="8" s="1"/>
  <c r="B6" i="6"/>
  <c r="E1" i="6"/>
  <c r="O15" i="8" l="1"/>
  <c r="K64" i="22"/>
  <c r="C14" i="16" s="1"/>
  <c r="F4" i="16" s="1"/>
  <c r="K63" i="22"/>
  <c r="G14" i="13"/>
  <c r="L14" i="13" s="1"/>
  <c r="B15" i="13"/>
  <c r="D14" i="13"/>
  <c r="E14" i="13" s="1"/>
  <c r="J34" i="7"/>
  <c r="O21" i="8"/>
  <c r="C14" i="13"/>
  <c r="H13" i="13"/>
  <c r="M13" i="13" s="1"/>
  <c r="D23" i="8"/>
  <c r="O5" i="8"/>
  <c r="N5" i="8"/>
  <c r="K32" i="7"/>
  <c r="J32" i="7"/>
  <c r="N15" i="8"/>
  <c r="N21" i="8"/>
  <c r="G23" i="8"/>
  <c r="F35" i="7"/>
  <c r="F22" i="8" s="1"/>
  <c r="F23" i="8" s="1"/>
  <c r="J23" i="8"/>
  <c r="C17" i="7"/>
  <c r="C13" i="7"/>
  <c r="C11" i="8" s="1"/>
  <c r="F6" i="16" l="1"/>
  <c r="F8" i="16" s="1"/>
  <c r="F12" i="16" s="1"/>
  <c r="G4" i="16"/>
  <c r="B16" i="13"/>
  <c r="G15" i="13"/>
  <c r="L15" i="13" s="1"/>
  <c r="D15" i="13"/>
  <c r="E15" i="13" s="1"/>
  <c r="D6" i="8"/>
  <c r="N6" i="8" s="1"/>
  <c r="I4" i="13" a="1"/>
  <c r="C15" i="13"/>
  <c r="H14" i="13"/>
  <c r="M14" i="13" s="1"/>
  <c r="N22" i="8"/>
  <c r="O22" i="8"/>
  <c r="O23" i="8"/>
  <c r="N23" i="8"/>
  <c r="C23" i="7"/>
  <c r="C18" i="7"/>
  <c r="C12" i="8" s="1"/>
  <c r="O6" i="8" l="1"/>
  <c r="B34" i="6"/>
  <c r="B32" i="6" s="1"/>
  <c r="C19" i="14" s="1"/>
  <c r="C26" i="7"/>
  <c r="B17" i="13"/>
  <c r="G16" i="13"/>
  <c r="L16" i="13" s="1"/>
  <c r="D16" i="13"/>
  <c r="E16" i="13" s="1"/>
  <c r="H4" i="16"/>
  <c r="G6" i="16"/>
  <c r="G8" i="16" s="1"/>
  <c r="G12" i="16" s="1"/>
  <c r="B35" i="6"/>
  <c r="C13" i="8" s="1"/>
  <c r="C16" i="13"/>
  <c r="H15" i="13"/>
  <c r="M15" i="13" s="1"/>
  <c r="I4" i="13"/>
  <c r="I10" i="13"/>
  <c r="I5" i="13"/>
  <c r="I12" i="13"/>
  <c r="I6" i="13"/>
  <c r="I8" i="13"/>
  <c r="I11" i="13"/>
  <c r="I13" i="13"/>
  <c r="J13" i="13" s="1"/>
  <c r="I7" i="13"/>
  <c r="J7" i="13" s="1"/>
  <c r="I9" i="13"/>
  <c r="J9" i="13" s="1"/>
  <c r="C24" i="8"/>
  <c r="C20" i="8"/>
  <c r="D7" i="8"/>
  <c r="C24" i="7"/>
  <c r="C14" i="8" s="1"/>
  <c r="C27" i="7"/>
  <c r="J8" i="13" l="1"/>
  <c r="I4" i="16"/>
  <c r="H6" i="16"/>
  <c r="H8" i="16" s="1"/>
  <c r="H12" i="16" s="1"/>
  <c r="G17" i="13"/>
  <c r="L17" i="13" s="1"/>
  <c r="B18" i="13"/>
  <c r="D17" i="13"/>
  <c r="E17" i="13" s="1"/>
  <c r="J6" i="13"/>
  <c r="J12" i="13"/>
  <c r="J11" i="13"/>
  <c r="J5" i="13"/>
  <c r="C17" i="13"/>
  <c r="H16" i="13"/>
  <c r="M16" i="13" s="1"/>
  <c r="J10" i="13"/>
  <c r="I16" i="13"/>
  <c r="I17" i="13"/>
  <c r="I15" i="13"/>
  <c r="I14" i="13"/>
  <c r="J14" i="13" s="1"/>
  <c r="O7" i="8"/>
  <c r="N7" i="8"/>
  <c r="C21" i="8"/>
  <c r="D8" i="8"/>
  <c r="C31" i="7"/>
  <c r="N4" i="13" s="1" a="1"/>
  <c r="C28" i="7"/>
  <c r="C15" i="8" s="1"/>
  <c r="G18" i="13" l="1"/>
  <c r="D18" i="13"/>
  <c r="E18" i="13" s="1"/>
  <c r="I6" i="16"/>
  <c r="I8" i="16" s="1"/>
  <c r="I12" i="16" s="1"/>
  <c r="J4" i="16"/>
  <c r="J6" i="16" s="1"/>
  <c r="J8" i="16" s="1"/>
  <c r="J16" i="13"/>
  <c r="N4" i="13"/>
  <c r="N7" i="13"/>
  <c r="N5" i="13"/>
  <c r="N8" i="13"/>
  <c r="N10" i="13"/>
  <c r="N11" i="13"/>
  <c r="O11" i="13" s="1"/>
  <c r="N13" i="13"/>
  <c r="N6" i="13"/>
  <c r="N9" i="13"/>
  <c r="N12" i="13"/>
  <c r="O12" i="13" s="1"/>
  <c r="J15" i="13"/>
  <c r="C18" i="13"/>
  <c r="H18" i="13" s="1"/>
  <c r="M18" i="13" s="1"/>
  <c r="H17" i="13"/>
  <c r="M17" i="13" s="1"/>
  <c r="J17" i="13"/>
  <c r="O8" i="8"/>
  <c r="N8" i="8"/>
  <c r="C35" i="7"/>
  <c r="C22" i="8" s="1"/>
  <c r="C34" i="7"/>
  <c r="D32" i="7"/>
  <c r="O13" i="13" l="1"/>
  <c r="O5" i="13"/>
  <c r="J12" i="16"/>
  <c r="C28" i="16" s="1"/>
  <c r="C20" i="16"/>
  <c r="C24" i="16" s="1"/>
  <c r="C29" i="16" s="1"/>
  <c r="L18" i="13"/>
  <c r="I18" i="13"/>
  <c r="J18" i="13" s="1"/>
  <c r="O6" i="13"/>
  <c r="O8" i="13"/>
  <c r="O7" i="13"/>
  <c r="O9" i="13"/>
  <c r="O10" i="13"/>
  <c r="N17" i="13"/>
  <c r="N15" i="13"/>
  <c r="N14" i="13"/>
  <c r="O14" i="13" s="1"/>
  <c r="N16" i="13"/>
  <c r="N18" i="13"/>
  <c r="O18" i="13" s="1"/>
  <c r="C30" i="16" l="1"/>
  <c r="C34" i="16" s="1"/>
  <c r="C36" i="16" s="1"/>
  <c r="C39" i="16"/>
  <c r="F19" i="16"/>
  <c r="O17" i="13"/>
  <c r="O16" i="13"/>
  <c r="O15" i="13"/>
</calcChain>
</file>

<file path=xl/sharedStrings.xml><?xml version="1.0" encoding="utf-8"?>
<sst xmlns="http://schemas.openxmlformats.org/spreadsheetml/2006/main" count="546" uniqueCount="407">
  <si>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</si>
  <si>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</si>
  <si>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</si>
  <si>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</si>
  <si>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</si>
  <si>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</si>
  <si>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</si>
  <si>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</si>
  <si>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</si>
  <si>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</si>
  <si>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</si>
  <si>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</si>
  <si>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</si>
  <si>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</si>
  <si>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</si>
  <si>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</si>
  <si>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</si>
  <si>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</si>
  <si>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</si>
  <si>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</si>
  <si>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</si>
  <si>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</si>
  <si>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</si>
  <si>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</si>
  <si>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</si>
  <si>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</si>
  <si>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</si>
  <si>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</si>
  <si>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</si>
  <si>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</si>
  <si>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</si>
  <si>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</si>
  <si>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</si>
  <si>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JSW STEEL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</si>
  <si>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</si>
  <si>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</si>
  <si>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</si>
  <si>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</si>
  <si>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</si>
  <si>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</si>
  <si>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</si>
  <si>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</si>
  <si>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</si>
  <si>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</si>
  <si>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</si>
  <si>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</si>
  <si>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</si>
  <si>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</si>
  <si>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</si>
  <si>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</si>
  <si>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</si>
  <si>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</si>
  <si>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</si>
  <si>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</si>
  <si>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</si>
  <si>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</si>
  <si>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COGS</t>
  </si>
  <si>
    <t>(COGS% OF SALES)</t>
  </si>
  <si>
    <t>(Sales Growth)</t>
  </si>
  <si>
    <t>Gross Profit</t>
  </si>
  <si>
    <t>(Gross Margin)</t>
  </si>
  <si>
    <t xml:space="preserve">Selling &amp; General Expense </t>
  </si>
  <si>
    <t>Operating Profit(EBITDA)</t>
  </si>
  <si>
    <t>Intrest</t>
  </si>
  <si>
    <t>Earning Befor Tax</t>
  </si>
  <si>
    <t>Net Profit</t>
  </si>
  <si>
    <t>No Of Equity Shares</t>
  </si>
  <si>
    <t>Divident Per Share</t>
  </si>
  <si>
    <t>Retained Earning</t>
  </si>
  <si>
    <t>S&amp;G Exp % of Sales</t>
  </si>
  <si>
    <t>Intrest% of Sales</t>
  </si>
  <si>
    <t>Dep % of Sales</t>
  </si>
  <si>
    <t>Effective Tax Rate</t>
  </si>
  <si>
    <t>Net Profit Margin</t>
  </si>
  <si>
    <t>EBIT Margin</t>
  </si>
  <si>
    <t>Deivident Payout</t>
  </si>
  <si>
    <t>Earning Per Growth</t>
  </si>
  <si>
    <t>Ebitda Margin</t>
  </si>
  <si>
    <t>Balance Sheet</t>
  </si>
  <si>
    <t>Total Liabilites</t>
  </si>
  <si>
    <t>Total Asset</t>
  </si>
  <si>
    <t>Total Current Asset</t>
  </si>
  <si>
    <t>Total Non Current Asset</t>
  </si>
  <si>
    <t>other Asset</t>
  </si>
  <si>
    <t>CHECK</t>
  </si>
  <si>
    <t>Cash Flow</t>
  </si>
  <si>
    <t>Cash from Operating Activity 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</si>
  <si>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</si>
  <si>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</si>
  <si>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</si>
  <si>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</si>
  <si>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</si>
  <si>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</si>
  <si>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</si>
  <si>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</si>
  <si>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</si>
  <si>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</si>
  <si>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</si>
  <si>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</si>
  <si>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</si>
  <si>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</si>
  <si>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</si>
  <si>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</si>
  <si>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</si>
  <si>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</si>
  <si>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 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</si>
  <si>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</si>
  <si>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</si>
  <si>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</si>
  <si>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</si>
  <si>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</si>
  <si>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</si>
  <si>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</si>
  <si>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</si>
  <si>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Activites</t>
  </si>
  <si>
    <t>Cash  From Operating Activites</t>
  </si>
  <si>
    <t>Investing Activites</t>
  </si>
  <si>
    <t>Cash  From Financing Activites</t>
  </si>
  <si>
    <t>Financing Activites</t>
  </si>
  <si>
    <t>Cash  From Investing Activites</t>
  </si>
  <si>
    <t>Income Statement</t>
  </si>
  <si>
    <t>#</t>
  </si>
  <si>
    <t>Sales Growth</t>
  </si>
  <si>
    <t>EBITDA Growth</t>
  </si>
  <si>
    <t>EBIT Growth</t>
  </si>
  <si>
    <t>Net Profit Growth</t>
  </si>
  <si>
    <t>Dividentv Growth</t>
  </si>
  <si>
    <t xml:space="preserve">Gross Margin </t>
  </si>
  <si>
    <t>EBITDA Margin</t>
  </si>
  <si>
    <t xml:space="preserve">Net Profit Margin </t>
  </si>
  <si>
    <t>EBT Margin</t>
  </si>
  <si>
    <t>Sales Expense % of Sales</t>
  </si>
  <si>
    <t>Depriciaton% of Sales</t>
  </si>
  <si>
    <t>Return on Equity%</t>
  </si>
  <si>
    <t>Return on Capital Employed%</t>
  </si>
  <si>
    <t>Reatined Earning%</t>
  </si>
  <si>
    <t>Self Sustained Growth</t>
  </si>
  <si>
    <t>Intrest Coverage Ratio</t>
  </si>
  <si>
    <t>Debtor Turnover Ratio</t>
  </si>
  <si>
    <t>Creditor Turnover Ratio</t>
  </si>
  <si>
    <t>Inventory Turnover Ratio</t>
  </si>
  <si>
    <t>Fixed Asset Turnover Ratio</t>
  </si>
  <si>
    <t>Fixed Asset Net Block</t>
  </si>
  <si>
    <t>Capital Turnover Ratio</t>
  </si>
  <si>
    <t>Debtor Days</t>
  </si>
  <si>
    <t>Inventory days</t>
  </si>
  <si>
    <t>Payabel Days</t>
  </si>
  <si>
    <t>Cash Conversion Cycel</t>
  </si>
  <si>
    <t>Trade Payabel</t>
  </si>
  <si>
    <t>CFO/Sales</t>
  </si>
  <si>
    <t>CFO/Total Asset</t>
  </si>
  <si>
    <t>CFO/Total Debt</t>
  </si>
  <si>
    <t>Trend</t>
  </si>
  <si>
    <t xml:space="preserve">Mean </t>
  </si>
  <si>
    <t>Median</t>
  </si>
  <si>
    <t>ebit</t>
  </si>
  <si>
    <t>ebitmargin</t>
  </si>
  <si>
    <t>Ebit</t>
  </si>
  <si>
    <t>ebit margin</t>
  </si>
  <si>
    <t>Year Weight</t>
  </si>
  <si>
    <t>Year</t>
  </si>
  <si>
    <t>Sales growth</t>
  </si>
  <si>
    <t>EBITDA</t>
  </si>
  <si>
    <t>EBITDA growth</t>
  </si>
  <si>
    <t>EPS growth</t>
  </si>
  <si>
    <t>Particular</t>
  </si>
  <si>
    <t>Price</t>
  </si>
  <si>
    <t>Date</t>
  </si>
  <si>
    <t>Closing Price</t>
  </si>
  <si>
    <t>Return</t>
  </si>
  <si>
    <t>Nifty Return</t>
  </si>
  <si>
    <t xml:space="preserve">JSW </t>
  </si>
  <si>
    <t>NIFTY 50</t>
  </si>
  <si>
    <t>Beat 1</t>
  </si>
  <si>
    <t>Beta 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</si>
  <si>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</si>
  <si>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</si>
  <si>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</si>
  <si>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</si>
  <si>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</si>
  <si>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</si>
  <si>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</si>
  <si>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</si>
  <si>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</si>
  <si>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</si>
  <si>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</si>
  <si>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</si>
  <si>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</si>
  <si>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</si>
  <si>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</si>
  <si>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</si>
  <si>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</si>
  <si>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</si>
  <si>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</si>
  <si>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</si>
  <si>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</si>
  <si>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</si>
  <si>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</si>
  <si>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</si>
  <si>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Beat 3</t>
  </si>
  <si>
    <t>Annual</t>
  </si>
  <si>
    <t>Nifty 20 years return</t>
  </si>
  <si>
    <t>nifty 20 Year Return</t>
  </si>
  <si>
    <t>Return On Market</t>
  </si>
  <si>
    <t>Average Return</t>
  </si>
  <si>
    <t>Divident Yeild</t>
  </si>
  <si>
    <t>Total Market Return</t>
  </si>
  <si>
    <t xml:space="preserve"> Weighted Average Cost Of Capital</t>
  </si>
  <si>
    <t>All Figures are In INR as Stated Below</t>
  </si>
  <si>
    <t>PeerComps</t>
  </si>
  <si>
    <t>Country</t>
  </si>
  <si>
    <t xml:space="preserve">Total Debt </t>
  </si>
  <si>
    <t>Total Equity</t>
  </si>
  <si>
    <t>Tax Rate</t>
  </si>
  <si>
    <t>Debt/</t>
  </si>
  <si>
    <t>Equity</t>
  </si>
  <si>
    <t>Capital</t>
  </si>
  <si>
    <t xml:space="preserve">Levered </t>
  </si>
  <si>
    <t>Beta</t>
  </si>
  <si>
    <t xml:space="preserve">Unlevered </t>
  </si>
  <si>
    <t>JSW Steel</t>
  </si>
  <si>
    <t>Tata Steel</t>
  </si>
  <si>
    <t>Jindal Steel</t>
  </si>
  <si>
    <t>S A I L</t>
  </si>
  <si>
    <t>S.No.</t>
  </si>
  <si>
    <t>Name</t>
  </si>
  <si>
    <t>Debt / Eq</t>
  </si>
  <si>
    <t>Name Of Comps</t>
  </si>
  <si>
    <t>India</t>
  </si>
  <si>
    <t>Average</t>
  </si>
  <si>
    <t>Cost Of Debt</t>
  </si>
  <si>
    <t>LTM</t>
  </si>
  <si>
    <t>Cost Of Equity</t>
  </si>
  <si>
    <t>Pre Tax Cost of Debt</t>
  </si>
  <si>
    <t>Post Tax Cost Of Debt</t>
  </si>
  <si>
    <t>Risk Free Rate</t>
  </si>
  <si>
    <t>Equity Risk Premium</t>
  </si>
  <si>
    <t>Levered Beta</t>
  </si>
  <si>
    <t>Capital Structure</t>
  </si>
  <si>
    <t>Weighted Average Cost of Capital</t>
  </si>
  <si>
    <t>Debt</t>
  </si>
  <si>
    <t>Target Debt/Equity</t>
  </si>
  <si>
    <t>Comps Median Unlevered Beta</t>
  </si>
  <si>
    <t>Current</t>
  </si>
  <si>
    <t>Target</t>
  </si>
  <si>
    <t>Market Capatiliazation</t>
  </si>
  <si>
    <t>Total Capital</t>
  </si>
  <si>
    <t>Debt /Equity</t>
  </si>
  <si>
    <t>Costof Debt</t>
  </si>
  <si>
    <t>Weight Of Debt</t>
  </si>
  <si>
    <t>Weight of Equity</t>
  </si>
  <si>
    <t>Cost of Equity</t>
  </si>
  <si>
    <r>
      <t>CMP </t>
    </r>
    <r>
      <rPr>
        <sz val="11"/>
        <color rgb="FF737373"/>
        <rFont val="Arial"/>
        <family val="2"/>
      </rPr>
      <t>Rs.</t>
    </r>
  </si>
  <si>
    <r>
      <t>Mar Cap </t>
    </r>
    <r>
      <rPr>
        <sz val="11"/>
        <color rgb="FF737373"/>
        <rFont val="Arial"/>
        <family val="2"/>
      </rPr>
      <t>Rs.Cr.</t>
    </r>
  </si>
  <si>
    <r>
      <t>Debt </t>
    </r>
    <r>
      <rPr>
        <sz val="11"/>
        <color rgb="FF737373"/>
        <rFont val="Arial"/>
        <family val="2"/>
      </rPr>
      <t>Rs.Cr.</t>
    </r>
  </si>
  <si>
    <t>WACC</t>
  </si>
  <si>
    <t>NOTE</t>
  </si>
  <si>
    <t>Tax Rate is Considerd as Marginal tax rate for the country</t>
  </si>
  <si>
    <t>Levered Beta is Based on 2 Year weekly data</t>
  </si>
  <si>
    <t>Unlevered Beta = Levered Beta/(1+(1-TAX RATE)*DEBT/EQUITY)</t>
  </si>
  <si>
    <t>Levered Beta=Unlevered Beat*(1+(1-TAX RATE)*DEBT/EQUITY)</t>
  </si>
  <si>
    <t>Calculation of ROIC</t>
  </si>
  <si>
    <t>Current Aseet</t>
  </si>
  <si>
    <t>Equity Capital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</si>
  <si>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</si>
  <si>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</si>
  <si>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</si>
  <si>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</si>
  <si>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</si>
  <si>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</si>
  <si>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</si>
  <si>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</si>
  <si>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</si>
  <si>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</si>
  <si>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</si>
  <si>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</si>
  <si>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</si>
  <si>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</si>
  <si>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</si>
  <si>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</si>
  <si>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</si>
  <si>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</si>
  <si>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</si>
  <si>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</si>
  <si>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</si>
  <si>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</si>
  <si>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</si>
  <si>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</si>
  <si>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</si>
  <si>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</si>
  <si>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</si>
  <si>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</si>
  <si>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</si>
  <si>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</si>
  <si>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</si>
  <si>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Net Current Asset</t>
  </si>
  <si>
    <t>Total Current Liabilites</t>
  </si>
  <si>
    <t>Currentr Liabilites</t>
  </si>
  <si>
    <t>Net Working Capital</t>
  </si>
  <si>
    <t>Non Current Asset</t>
  </si>
  <si>
    <t>Net Non Current Asset</t>
  </si>
  <si>
    <t>Invested Capital</t>
  </si>
  <si>
    <t>EBIT</t>
  </si>
  <si>
    <t>ROIC</t>
  </si>
  <si>
    <t>Calculation On Invested Capital</t>
  </si>
  <si>
    <t>Net Capex</t>
  </si>
  <si>
    <t>Change in Working Capital</t>
  </si>
  <si>
    <t>Marginal Tax</t>
  </si>
  <si>
    <t>EBIT(1-Tax)</t>
  </si>
  <si>
    <t>Reinvestment</t>
  </si>
  <si>
    <t>Reinvestment Rate</t>
  </si>
  <si>
    <t>Calculation of Growth Rate</t>
  </si>
  <si>
    <t>4 Year Average</t>
  </si>
  <si>
    <t>4 Year Median</t>
  </si>
  <si>
    <t>Intrinsic Growth Rate</t>
  </si>
  <si>
    <t>Calculation OF PV Of FCFF</t>
  </si>
  <si>
    <t>EBIT(1-TaxRate)</t>
  </si>
  <si>
    <t>Less:Reinvestment Rate</t>
  </si>
  <si>
    <t>Mid Year Conversion</t>
  </si>
  <si>
    <t>Discounting Factor</t>
  </si>
  <si>
    <t>PV of FCFF</t>
  </si>
  <si>
    <t>Terminal Growth</t>
  </si>
  <si>
    <t xml:space="preserve">Expected Growth </t>
  </si>
  <si>
    <t>Free Cash Flow to Firm(FCFF)</t>
  </si>
  <si>
    <t>Calculation of Terminal Value</t>
  </si>
  <si>
    <t>FCFF(n+1)</t>
  </si>
  <si>
    <t>Terminal Value</t>
  </si>
  <si>
    <t>Calculation of Equity Value Per Share</t>
  </si>
  <si>
    <t>Operating Asset</t>
  </si>
  <si>
    <t>Add: Cash</t>
  </si>
  <si>
    <t>Less:Debt</t>
  </si>
  <si>
    <t>No of Shares</t>
  </si>
  <si>
    <t>Equity Value Per Share</t>
  </si>
  <si>
    <t>Share Price</t>
  </si>
  <si>
    <t>Discount/Premium</t>
  </si>
  <si>
    <t xml:space="preserve">Value OF Equity </t>
  </si>
  <si>
    <t>Comparabel Companies Valuation</t>
  </si>
  <si>
    <t>Companies</t>
  </si>
  <si>
    <t>Ticker</t>
  </si>
  <si>
    <t>Share price</t>
  </si>
  <si>
    <t>Share Outstanding</t>
  </si>
  <si>
    <t>Equity Value</t>
  </si>
  <si>
    <t>Net Debt</t>
  </si>
  <si>
    <t>Net Income</t>
  </si>
  <si>
    <t>Enterprise Value</t>
  </si>
  <si>
    <t>Market Data</t>
  </si>
  <si>
    <t>Revenue</t>
  </si>
  <si>
    <t>Financial</t>
  </si>
  <si>
    <t>EV/Revenue</t>
  </si>
  <si>
    <t>EV/EBITDA</t>
  </si>
  <si>
    <t>P/E</t>
  </si>
  <si>
    <t>Valuation</t>
  </si>
  <si>
    <t>CMP Rs.</t>
  </si>
  <si>
    <t>No. Eq. Shares Cr.</t>
  </si>
  <si>
    <t>Debt Rs.Cr.</t>
  </si>
  <si>
    <t>Cash End Rs.Cr.</t>
  </si>
  <si>
    <t>EV Rs.Cr.</t>
  </si>
  <si>
    <t>EV / EBITDA</t>
  </si>
  <si>
    <t>Sales Rs.Cr.</t>
  </si>
  <si>
    <t>NP 12M Rs.Cr.</t>
  </si>
  <si>
    <t>Tube Investments</t>
  </si>
  <si>
    <t>Jindal Stain.</t>
  </si>
  <si>
    <t>APL Apollo Tubes</t>
  </si>
  <si>
    <t>High</t>
  </si>
  <si>
    <t>75th Percentile</t>
  </si>
  <si>
    <t>25th Percentile</t>
  </si>
  <si>
    <t>Low</t>
  </si>
  <si>
    <t>JSW Stell Comparabel  Valuation</t>
  </si>
  <si>
    <t>Implied Enterprise Value</t>
  </si>
  <si>
    <t>Implied Market Value</t>
  </si>
  <si>
    <t>Shares Outstanding</t>
  </si>
  <si>
    <t>Implied value Per Share</t>
  </si>
  <si>
    <t>Source: The Valuation School,Screener.in</t>
  </si>
  <si>
    <t>Amounts in Crores</t>
  </si>
  <si>
    <t>JSWSTELL</t>
  </si>
  <si>
    <t>TATASTELL</t>
  </si>
  <si>
    <t>JINDALSTEL</t>
  </si>
  <si>
    <t>TIINDIA</t>
  </si>
  <si>
    <t>JSL</t>
  </si>
  <si>
    <t>SAIL</t>
  </si>
  <si>
    <t>APLAPOLLO</t>
  </si>
  <si>
    <t>Sensitivity Analysis</t>
  </si>
  <si>
    <t>Football Field Analysis</t>
  </si>
  <si>
    <t>Football Field Analysis-Data</t>
  </si>
  <si>
    <t>Comps</t>
  </si>
  <si>
    <t>DCF Bear</t>
  </si>
  <si>
    <t>DCF Bull</t>
  </si>
  <si>
    <t>52 W H/L</t>
  </si>
  <si>
    <t>OpenHigh</t>
  </si>
  <si>
    <t>OpenLow</t>
  </si>
  <si>
    <t>DCF Base</t>
  </si>
  <si>
    <t xml:space="preserve">    52 Week (High - INR 1074.90 &amp; Low - 815.40)    </t>
  </si>
  <si>
    <t xml:space="preserve">   About THE Company</t>
  </si>
  <si>
    <r>
      <t>JSW Steel Limited</t>
    </r>
    <r>
      <rPr>
        <sz val="12"/>
        <color rgb="FF202122"/>
        <rFont val="Arial"/>
        <family val="2"/>
      </rPr>
      <t> is an Indian </t>
    </r>
    <r>
      <rPr>
        <sz val="12"/>
        <color theme="1"/>
        <rFont val="Arial"/>
        <family val="2"/>
      </rPr>
      <t>multinational</t>
    </r>
    <r>
      <rPr>
        <sz val="12"/>
        <color rgb="FF202122"/>
        <rFont val="Arial"/>
        <family val="2"/>
      </rPr>
      <t> </t>
    </r>
    <r>
      <rPr>
        <sz val="12"/>
        <color theme="1"/>
        <rFont val="Arial"/>
        <family val="2"/>
      </rPr>
      <t>steel producer</t>
    </r>
    <r>
      <rPr>
        <sz val="12"/>
        <color rgb="FF202122"/>
        <rFont val="Arial"/>
        <family val="2"/>
      </rPr>
      <t> based in </t>
    </r>
    <r>
      <rPr>
        <sz val="12"/>
        <color theme="1"/>
        <rFont val="Arial"/>
        <family val="2"/>
      </rPr>
      <t>Mumbai</t>
    </r>
    <r>
      <rPr>
        <sz val="12"/>
        <color rgb="FF202122"/>
        <rFont val="Arial"/>
        <family val="2"/>
      </rPr>
      <t> and is a flagship company of the </t>
    </r>
    <r>
      <rPr>
        <sz val="12"/>
        <color theme="1"/>
        <rFont val="Arial"/>
        <family val="2"/>
      </rPr>
      <t>JSW Group</t>
    </r>
    <r>
      <rPr>
        <sz val="12"/>
        <color rgb="FF202122"/>
        <rFont val="Arial"/>
        <family val="2"/>
      </rPr>
      <t>. After the </t>
    </r>
    <r>
      <rPr>
        <sz val="12"/>
        <color theme="1"/>
        <rFont val="Arial"/>
        <family val="2"/>
      </rPr>
      <t>merger</t>
    </r>
    <r>
      <rPr>
        <sz val="12"/>
        <color rgb="FF202122"/>
        <rFont val="Arial"/>
        <family val="2"/>
      </rPr>
      <t> of </t>
    </r>
    <r>
      <rPr>
        <sz val="12"/>
        <color theme="1"/>
        <rFont val="Arial"/>
        <family val="2"/>
      </rPr>
      <t>Bhushan Power &amp; Steel</t>
    </r>
    <r>
      <rPr>
        <sz val="12"/>
        <color rgb="FF202122"/>
        <rFont val="Arial"/>
        <family val="2"/>
      </rPr>
      <t>, </t>
    </r>
    <r>
      <rPr>
        <sz val="12"/>
        <color theme="1"/>
        <rFont val="Arial"/>
        <family val="2"/>
      </rPr>
      <t>Ispat Steel</t>
    </r>
    <r>
      <rPr>
        <sz val="12"/>
        <color rgb="FF202122"/>
        <rFont val="Arial"/>
        <family val="2"/>
      </rPr>
      <t> and Jindal Vijayanagar Steel Limited, JSW Steel became world's largest private sector steel company.</t>
    </r>
  </si>
  <si>
    <t>Return on Equity (ROE)</t>
  </si>
  <si>
    <t>Average Shareholder Equity</t>
  </si>
  <si>
    <t>ROE-Dupont Equation</t>
  </si>
  <si>
    <t>Average Total Asset</t>
  </si>
  <si>
    <t>Net Profit Margin (A)</t>
  </si>
  <si>
    <t>Asset Turnover Ratio (B)</t>
  </si>
  <si>
    <t>Financial Leverage (C)</t>
  </si>
  <si>
    <t>Return on Equity (A*B*C)</t>
  </si>
  <si>
    <t>Return on Asset (ROA)</t>
  </si>
  <si>
    <t>Avergae Total Asset</t>
  </si>
  <si>
    <t>ROA-Dupont Equation</t>
  </si>
  <si>
    <t>Return on Asset (A*B)</t>
  </si>
  <si>
    <t xml:space="preserve">   Financial 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</si>
</sst>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0.00&quot;x&quot;"/>
    <numFmt numFmtId="168" formatCode="yyyy&quot;A&quot;"/>
    <numFmt numFmtId="169" formatCode="yyyy&quot;E&quot;"/>
    <numFmt numFmtId="170" formatCode="#,##0.0"/>
    <numFmt numFmtId="171" formatCode="0.0"/>
    <numFmt numFmtId="172" formatCode="0.000"/>
    <numFmt numFmtId="173" formatCode="mmm/yy&quot;A&quot;"/>
    <numFmt numFmtId="174" formatCode="mmm/yy&quot;F&quot;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66FF"/>
      <name val="Calibri"/>
      <family val="2"/>
      <scheme val="minor"/>
    </font>
    <font>
      <sz val="11"/>
      <color rgb="FF22222F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rgb="FF2596BE"/>
      <name val="Calibri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sz val="12"/>
      <color theme="1"/>
      <name val="Arial"/>
      <family val="2"/>
    </font>
    <font>
      <b/>
      <sz val="12"/>
      <color rgb="FF2596BE"/>
      <name val="Calibri"/>
      <family val="2"/>
      <scheme val="minor"/>
    </font>
    <font>
      <b/>
      <sz val="11"/>
      <color rgb="FF2596BE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96BE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medium">
        <color rgb="FF2596BE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43" fontId="0" fillId="0" borderId="0" xfId="0" applyNumberFormat="1"/>
    <xf numFmtId="43" fontId="1" fillId="0" borderId="0" xfId="0" applyNumberFormat="1" applyFont="1"/>
    <xf numFmtId="0" fontId="1" fillId="0" borderId="0" xfId="0" applyFont="1"/>
    <xf numFmtId="0" fontId="8" fillId="0" borderId="0" xfId="0" applyFont="1"/>
    <xf numFmtId="43" fontId="8" fillId="0" borderId="0" xfId="0" applyNumberFormat="1" applyFont="1"/>
    <xf numFmtId="43" fontId="7" fillId="0" borderId="0" xfId="0" applyNumberFormat="1" applyFont="1"/>
    <xf numFmtId="0" fontId="0" fillId="5" borderId="0" xfId="0" applyFill="1"/>
    <xf numFmtId="43" fontId="9" fillId="0" borderId="0" xfId="0" applyNumberFormat="1" applyFont="1"/>
    <xf numFmtId="0" fontId="9" fillId="0" borderId="0" xfId="0" applyFont="1"/>
    <xf numFmtId="0" fontId="10" fillId="6" borderId="0" xfId="0" applyFont="1" applyFill="1" applyAlignment="1">
      <alignment horizontal="left" vertical="center" indent="1"/>
    </xf>
    <xf numFmtId="3" fontId="10" fillId="6" borderId="0" xfId="0" applyNumberFormat="1" applyFont="1" applyFill="1" applyAlignment="1">
      <alignment horizontal="right" vertical="center" wrapText="1" indent="1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right" vertical="center" wrapText="1" indent="1"/>
    </xf>
    <xf numFmtId="3" fontId="11" fillId="6" borderId="0" xfId="0" applyNumberFormat="1" applyFont="1" applyFill="1" applyAlignment="1">
      <alignment horizontal="right" vertical="center" wrapText="1" indent="1"/>
    </xf>
    <xf numFmtId="0" fontId="10" fillId="6" borderId="0" xfId="0" applyFont="1" applyFill="1" applyAlignment="1">
      <alignment horizontal="right" vertical="center" wrapText="1" indent="1"/>
    </xf>
    <xf numFmtId="0" fontId="12" fillId="6" borderId="0" xfId="0" applyFont="1" applyFill="1" applyAlignment="1">
      <alignment horizontal="left" vertical="center"/>
    </xf>
    <xf numFmtId="0" fontId="11" fillId="6" borderId="0" xfId="0" applyFont="1" applyFill="1" applyAlignment="1">
      <alignment vertical="center"/>
    </xf>
    <xf numFmtId="166" fontId="13" fillId="6" borderId="0" xfId="0" applyNumberFormat="1" applyFont="1" applyFill="1" applyAlignment="1">
      <alignment horizontal="right" vertical="center" wrapText="1" indent="1"/>
    </xf>
    <xf numFmtId="166" fontId="0" fillId="0" borderId="0" xfId="0" applyNumberFormat="1"/>
    <xf numFmtId="166" fontId="7" fillId="0" borderId="0" xfId="0" applyNumberFormat="1" applyFont="1"/>
    <xf numFmtId="166" fontId="0" fillId="0" borderId="0" xfId="4" applyNumberFormat="1" applyFont="1"/>
    <xf numFmtId="0" fontId="12" fillId="6" borderId="0" xfId="0" applyFont="1" applyFill="1" applyAlignment="1">
      <alignment vertical="center"/>
    </xf>
    <xf numFmtId="10" fontId="0" fillId="0" borderId="0" xfId="0" applyNumberFormat="1"/>
    <xf numFmtId="0" fontId="2" fillId="4" borderId="0" xfId="0" applyFont="1" applyFill="1" applyAlignment="1">
      <alignment horizontal="center"/>
    </xf>
    <xf numFmtId="0" fontId="0" fillId="4" borderId="0" xfId="0" applyFill="1"/>
    <xf numFmtId="17" fontId="2" fillId="4" borderId="0" xfId="0" applyNumberFormat="1" applyFont="1" applyFill="1" applyAlignment="1">
      <alignment horizontal="right"/>
    </xf>
    <xf numFmtId="17" fontId="2" fillId="4" borderId="0" xfId="0" applyNumberFormat="1" applyFont="1" applyFill="1" applyAlignment="1">
      <alignment horizontal="center"/>
    </xf>
    <xf numFmtId="0" fontId="0" fillId="0" borderId="1" xfId="0" applyBorder="1"/>
    <xf numFmtId="10" fontId="0" fillId="0" borderId="1" xfId="4" applyNumberFormat="1" applyFont="1" applyBorder="1"/>
    <xf numFmtId="10" fontId="0" fillId="0" borderId="1" xfId="0" applyNumberFormat="1" applyBorder="1"/>
    <xf numFmtId="10" fontId="0" fillId="0" borderId="0" xfId="4" applyNumberFormat="1" applyFont="1" applyBorder="1"/>
    <xf numFmtId="0" fontId="0" fillId="0" borderId="2" xfId="0" applyBorder="1"/>
    <xf numFmtId="10" fontId="0" fillId="0" borderId="2" xfId="4" applyNumberFormat="1" applyFont="1" applyBorder="1"/>
    <xf numFmtId="10" fontId="0" fillId="0" borderId="2" xfId="0" applyNumberFormat="1" applyBorder="1"/>
    <xf numFmtId="167" fontId="0" fillId="0" borderId="2" xfId="0" applyNumberFormat="1" applyBorder="1"/>
    <xf numFmtId="167" fontId="0" fillId="0" borderId="1" xfId="0" applyNumberFormat="1" applyBorder="1"/>
    <xf numFmtId="167" fontId="0" fillId="0" borderId="0" xfId="0" applyNumberFormat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68" fontId="0" fillId="0" borderId="0" xfId="0" applyNumberFormat="1"/>
    <xf numFmtId="169" fontId="0" fillId="0" borderId="0" xfId="0" applyNumberFormat="1"/>
    <xf numFmtId="10" fontId="0" fillId="0" borderId="0" xfId="4" applyNumberFormat="1" applyFont="1"/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applyAlignment="1">
      <alignment horizontal="left"/>
    </xf>
    <xf numFmtId="9" fontId="0" fillId="0" borderId="0" xfId="4" applyFont="1"/>
    <xf numFmtId="9" fontId="1" fillId="0" borderId="0" xfId="4" applyFont="1"/>
    <xf numFmtId="0" fontId="1" fillId="0" borderId="3" xfId="0" applyFont="1" applyBorder="1"/>
    <xf numFmtId="17" fontId="1" fillId="0" borderId="3" xfId="0" applyNumberFormat="1" applyFont="1" applyBorder="1"/>
    <xf numFmtId="0" fontId="1" fillId="5" borderId="0" xfId="0" applyFont="1" applyFill="1"/>
    <xf numFmtId="14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171" fontId="0" fillId="0" borderId="0" xfId="0" applyNumberFormat="1"/>
    <xf numFmtId="0" fontId="0" fillId="0" borderId="3" xfId="0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Continuous"/>
    </xf>
    <xf numFmtId="0" fontId="1" fillId="0" borderId="0" xfId="0" applyFont="1" applyAlignment="1">
      <alignment horizontal="left"/>
    </xf>
    <xf numFmtId="0" fontId="1" fillId="7" borderId="0" xfId="0" applyFont="1" applyFill="1"/>
    <xf numFmtId="0" fontId="4" fillId="6" borderId="0" xfId="2" applyFill="1" applyAlignment="1" applyProtection="1">
      <alignment horizontal="left" vertical="center" indent="1"/>
    </xf>
    <xf numFmtId="0" fontId="14" fillId="0" borderId="0" xfId="0" applyFont="1"/>
    <xf numFmtId="0" fontId="15" fillId="0" borderId="0" xfId="0" applyFont="1"/>
    <xf numFmtId="0" fontId="16" fillId="7" borderId="0" xfId="0" applyFont="1" applyFill="1"/>
    <xf numFmtId="0" fontId="17" fillId="0" borderId="0" xfId="0" applyFont="1"/>
    <xf numFmtId="0" fontId="0" fillId="0" borderId="5" xfId="0" applyBorder="1"/>
    <xf numFmtId="0" fontId="0" fillId="0" borderId="6" xfId="0" applyBorder="1"/>
    <xf numFmtId="9" fontId="17" fillId="0" borderId="0" xfId="4" applyFont="1"/>
    <xf numFmtId="9" fontId="0" fillId="0" borderId="5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9" fontId="0" fillId="0" borderId="6" xfId="0" applyNumberFormat="1" applyBorder="1"/>
    <xf numFmtId="10" fontId="7" fillId="0" borderId="0" xfId="4" applyNumberFormat="1" applyFont="1"/>
    <xf numFmtId="10" fontId="8" fillId="0" borderId="0" xfId="4" applyNumberFormat="1" applyFont="1"/>
    <xf numFmtId="10" fontId="7" fillId="0" borderId="0" xfId="0" applyNumberFormat="1" applyFont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2" fontId="0" fillId="0" borderId="6" xfId="0" applyNumberFormat="1" applyBorder="1"/>
    <xf numFmtId="9" fontId="0" fillId="0" borderId="0" xfId="0" applyNumberFormat="1"/>
    <xf numFmtId="10" fontId="17" fillId="0" borderId="0" xfId="0" applyNumberFormat="1" applyFont="1"/>
    <xf numFmtId="0" fontId="1" fillId="0" borderId="6" xfId="0" applyFont="1" applyBorder="1" applyAlignment="1">
      <alignment horizontal="right"/>
    </xf>
    <xf numFmtId="0" fontId="0" fillId="8" borderId="0" xfId="0" applyFill="1"/>
    <xf numFmtId="10" fontId="0" fillId="8" borderId="0" xfId="0" applyNumberFormat="1" applyFill="1"/>
    <xf numFmtId="171" fontId="0" fillId="8" borderId="1" xfId="0" applyNumberFormat="1" applyFill="1" applyBorder="1"/>
    <xf numFmtId="0" fontId="18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horizontal="right" vertical="center" wrapText="1" indent="1"/>
    </xf>
    <xf numFmtId="10" fontId="0" fillId="8" borderId="1" xfId="0" applyNumberFormat="1" applyFill="1" applyBorder="1"/>
    <xf numFmtId="0" fontId="5" fillId="4" borderId="0" xfId="0" applyFont="1" applyFill="1"/>
    <xf numFmtId="17" fontId="5" fillId="4" borderId="0" xfId="0" applyNumberFormat="1" applyFont="1" applyFill="1"/>
    <xf numFmtId="0" fontId="1" fillId="0" borderId="7" xfId="0" applyFont="1" applyBorder="1"/>
    <xf numFmtId="0" fontId="1" fillId="0" borderId="5" xfId="0" applyFont="1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9" xfId="0" applyNumberFormat="1" applyBorder="1"/>
    <xf numFmtId="166" fontId="0" fillId="0" borderId="8" xfId="0" applyNumberFormat="1" applyBorder="1"/>
    <xf numFmtId="166" fontId="1" fillId="0" borderId="0" xfId="0" applyNumberFormat="1" applyFont="1"/>
    <xf numFmtId="166" fontId="1" fillId="0" borderId="8" xfId="0" applyNumberFormat="1" applyFont="1" applyBorder="1"/>
    <xf numFmtId="166" fontId="1" fillId="0" borderId="7" xfId="0" applyNumberFormat="1" applyFont="1" applyBorder="1"/>
    <xf numFmtId="3" fontId="20" fillId="6" borderId="0" xfId="0" applyNumberFormat="1" applyFont="1" applyFill="1" applyAlignment="1">
      <alignment horizontal="right" vertical="center" wrapText="1" indent="1"/>
    </xf>
    <xf numFmtId="0" fontId="20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right" vertical="center" wrapText="1" indent="1"/>
    </xf>
    <xf numFmtId="0" fontId="20" fillId="6" borderId="0" xfId="0" applyFont="1" applyFill="1" applyAlignment="1">
      <alignment vertical="center"/>
    </xf>
    <xf numFmtId="0" fontId="0" fillId="0" borderId="7" xfId="0" applyBorder="1"/>
    <xf numFmtId="10" fontId="1" fillId="0" borderId="7" xfId="0" applyNumberFormat="1" applyFont="1" applyBorder="1"/>
    <xf numFmtId="166" fontId="1" fillId="0" borderId="5" xfId="0" applyNumberFormat="1" applyFont="1" applyBorder="1"/>
    <xf numFmtId="166" fontId="0" fillId="0" borderId="7" xfId="0" applyNumberFormat="1" applyBorder="1"/>
    <xf numFmtId="10" fontId="0" fillId="0" borderId="7" xfId="0" applyNumberFormat="1" applyBorder="1"/>
    <xf numFmtId="43" fontId="0" fillId="0" borderId="9" xfId="0" applyNumberFormat="1" applyBorder="1"/>
    <xf numFmtId="0" fontId="0" fillId="0" borderId="9" xfId="0" applyBorder="1"/>
    <xf numFmtId="9" fontId="17" fillId="0" borderId="9" xfId="0" applyNumberFormat="1" applyFont="1" applyBorder="1"/>
    <xf numFmtId="3" fontId="0" fillId="0" borderId="9" xfId="0" applyNumberFormat="1" applyBorder="1"/>
    <xf numFmtId="166" fontId="0" fillId="0" borderId="9" xfId="4" applyNumberFormat="1" applyFont="1" applyBorder="1"/>
    <xf numFmtId="10" fontId="0" fillId="0" borderId="9" xfId="0" applyNumberFormat="1" applyBorder="1"/>
    <xf numFmtId="0" fontId="0" fillId="9" borderId="0" xfId="0" applyFill="1"/>
    <xf numFmtId="10" fontId="0" fillId="9" borderId="0" xfId="0" applyNumberFormat="1" applyFill="1"/>
    <xf numFmtId="0" fontId="2" fillId="4" borderId="0" xfId="0" applyFont="1" applyFill="1" applyAlignment="1">
      <alignment horizontal="left"/>
    </xf>
    <xf numFmtId="170" fontId="1" fillId="0" borderId="0" xfId="0" applyNumberFormat="1" applyFont="1"/>
    <xf numFmtId="0" fontId="7" fillId="10" borderId="0" xfId="0" applyFont="1" applyFill="1"/>
    <xf numFmtId="0" fontId="21" fillId="10" borderId="0" xfId="0" applyFont="1" applyFill="1"/>
    <xf numFmtId="170" fontId="1" fillId="0" borderId="7" xfId="0" applyNumberFormat="1" applyFont="1" applyBorder="1"/>
    <xf numFmtId="9" fontId="0" fillId="0" borderId="9" xfId="0" applyNumberFormat="1" applyBorder="1"/>
    <xf numFmtId="0" fontId="17" fillId="0" borderId="9" xfId="0" applyFont="1" applyBorder="1"/>
    <xf numFmtId="171" fontId="17" fillId="0" borderId="9" xfId="0" applyNumberFormat="1" applyFont="1" applyBorder="1"/>
    <xf numFmtId="171" fontId="0" fillId="0" borderId="9" xfId="0" applyNumberFormat="1" applyBorder="1"/>
    <xf numFmtId="172" fontId="0" fillId="0" borderId="9" xfId="0" applyNumberFormat="1" applyBorder="1"/>
    <xf numFmtId="173" fontId="2" fillId="4" borderId="0" xfId="0" applyNumberFormat="1" applyFont="1" applyFill="1"/>
    <xf numFmtId="174" fontId="2" fillId="4" borderId="0" xfId="0" applyNumberFormat="1" applyFont="1" applyFill="1"/>
    <xf numFmtId="0" fontId="2" fillId="4" borderId="0" xfId="0" applyFont="1" applyFill="1" applyAlignment="1">
      <alignment horizontal="right" wrapText="1"/>
    </xf>
    <xf numFmtId="0" fontId="2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9" borderId="11" xfId="0" applyFill="1" applyBorder="1"/>
    <xf numFmtId="167" fontId="0" fillId="9" borderId="11" xfId="0" applyNumberFormat="1" applyFill="1" applyBorder="1"/>
    <xf numFmtId="0" fontId="1" fillId="9" borderId="11" xfId="0" applyFont="1" applyFill="1" applyBorder="1"/>
    <xf numFmtId="167" fontId="1" fillId="9" borderId="11" xfId="0" applyNumberFormat="1" applyFont="1" applyFill="1" applyBorder="1"/>
    <xf numFmtId="0" fontId="0" fillId="9" borderId="11" xfId="0" applyFill="1" applyBorder="1" applyAlignment="1">
      <alignment horizontal="left"/>
    </xf>
    <xf numFmtId="2" fontId="0" fillId="9" borderId="11" xfId="0" applyNumberFormat="1" applyFill="1" applyBorder="1" applyAlignment="1">
      <alignment horizontal="right"/>
    </xf>
    <xf numFmtId="0" fontId="0" fillId="9" borderId="11" xfId="0" applyFill="1" applyBorder="1" applyAlignment="1">
      <alignment horizontal="right"/>
    </xf>
    <xf numFmtId="167" fontId="0" fillId="9" borderId="11" xfId="0" applyNumberFormat="1" applyFill="1" applyBorder="1" applyAlignment="1">
      <alignment horizontal="right"/>
    </xf>
    <xf numFmtId="0" fontId="0" fillId="0" borderId="11" xfId="0" applyBorder="1" applyAlignment="1">
      <alignment horizontal="left"/>
    </xf>
    <xf numFmtId="2" fontId="0" fillId="0" borderId="11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0" borderId="11" xfId="0" applyNumberFormat="1" applyBorder="1" applyAlignment="1">
      <alignment horizontal="right"/>
    </xf>
    <xf numFmtId="0" fontId="0" fillId="0" borderId="11" xfId="0" applyBorder="1"/>
    <xf numFmtId="2" fontId="0" fillId="0" borderId="11" xfId="0" applyNumberFormat="1" applyBorder="1"/>
    <xf numFmtId="0" fontId="1" fillId="9" borderId="12" xfId="0" applyFont="1" applyFill="1" applyBorder="1"/>
    <xf numFmtId="0" fontId="22" fillId="0" borderId="6" xfId="0" applyFont="1" applyBorder="1"/>
    <xf numFmtId="0" fontId="0" fillId="0" borderId="13" xfId="0" applyBorder="1"/>
    <xf numFmtId="2" fontId="0" fillId="0" borderId="13" xfId="0" applyNumberFormat="1" applyBorder="1"/>
    <xf numFmtId="170" fontId="2" fillId="10" borderId="0" xfId="0" applyNumberFormat="1" applyFont="1" applyFill="1" applyAlignment="1">
      <alignment horizontal="left"/>
    </xf>
    <xf numFmtId="10" fontId="1" fillId="0" borderId="0" xfId="0" applyNumberFormat="1" applyFont="1" applyAlignment="1">
      <alignment horizontal="left"/>
    </xf>
    <xf numFmtId="10" fontId="1" fillId="0" borderId="0" xfId="0" applyNumberFormat="1" applyFont="1"/>
    <xf numFmtId="0" fontId="1" fillId="4" borderId="0" xfId="0" applyFont="1" applyFill="1"/>
    <xf numFmtId="2" fontId="0" fillId="9" borderId="0" xfId="0" applyNumberFormat="1" applyFill="1"/>
    <xf numFmtId="0" fontId="1" fillId="0" borderId="0" xfId="0" applyFont="1" applyAlignment="1">
      <alignment horizontal="center"/>
    </xf>
    <xf numFmtId="43" fontId="23" fillId="0" borderId="0" xfId="0" applyNumberFormat="1" applyFont="1"/>
    <xf numFmtId="0" fontId="0" fillId="0" borderId="14" xfId="0" applyBorder="1"/>
    <xf numFmtId="17" fontId="1" fillId="0" borderId="0" xfId="0" applyNumberFormat="1" applyFont="1"/>
    <xf numFmtId="0" fontId="1" fillId="12" borderId="0" xfId="0" applyFont="1" applyFill="1"/>
    <xf numFmtId="10" fontId="1" fillId="12" borderId="0" xfId="4" applyNumberFormat="1" applyFont="1" applyFill="1"/>
    <xf numFmtId="167" fontId="1" fillId="12" borderId="0" xfId="4" applyNumberFormat="1" applyFont="1" applyFill="1"/>
    <xf numFmtId="0" fontId="5" fillId="10" borderId="0" xfId="0" applyFont="1" applyFill="1"/>
    <xf numFmtId="0" fontId="27" fillId="0" borderId="0" xfId="0" applyFont="1"/>
    <xf numFmtId="0" fontId="28" fillId="0" borderId="0" xfId="0" applyFon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10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4" fillId="0" borderId="0" xfId="0" applyFont="1" applyAlignment="1">
      <alignment horizontal="left" vertical="top" wrapText="1" indent="1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43" fontId="2" fillId="4" borderId="0" xfId="0" applyNumberFormat="1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596BE"/>
      <color rgb="FF0275D8"/>
      <color rgb="FFFFFF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rgbClr val="002060"/>
                </a:solidFill>
              </a:defRPr>
            </a:pPr>
            <a:r>
              <a:rPr lang="en-IN" sz="1100">
                <a:solidFill>
                  <a:srgbClr val="002060"/>
                </a:solidFill>
              </a:rPr>
              <a:t>Football</a:t>
            </a:r>
            <a:r>
              <a:rPr lang="en-IN" sz="1100" baseline="0">
                <a:solidFill>
                  <a:srgbClr val="002060"/>
                </a:solidFill>
              </a:rPr>
              <a:t> Field Analysis-Valuation Summary(Rs)</a:t>
            </a:r>
            <a:endParaRPr lang="en-IN" sz="1100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7584734340639849"/>
          <c:y val="1.24521072796934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78465529646631"/>
          <c:y val="8.9874498446314899E-2"/>
          <c:w val="0.82717804024496933"/>
          <c:h val="0.8326195683872849"/>
        </c:manualLayout>
      </c:layout>
      <c:stockChart>
        <c:ser>
          <c:idx val="0"/>
          <c:order val="0"/>
          <c:spPr>
            <a:ln w="38100">
              <a:noFill/>
            </a:ln>
          </c:spPr>
          <c:marker>
            <c:symbol val="none"/>
          </c:marker>
          <c:cat>
            <c:strRef>
              <c:f>'Football Field Analysis'!$L$7:$L$11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 H/L</c:v>
                </c:pt>
              </c:strCache>
            </c:strRef>
          </c:cat>
          <c:val>
            <c:numRef>
              <c:f>'Football Field Analysis'!$N$7:$N$11</c:f>
              <c:numCache>
                <c:formatCode>0.00</c:formatCode>
                <c:ptCount val="5"/>
                <c:pt idx="0" formatCode="General">
                  <c:v>644.74404361645918</c:v>
                </c:pt>
                <c:pt idx="1">
                  <c:v>255.04377169243597</c:v>
                </c:pt>
                <c:pt idx="2">
                  <c:v>296.08312761501861</c:v>
                </c:pt>
                <c:pt idx="3">
                  <c:v>546.96061887985411</c:v>
                </c:pt>
                <c:pt idx="4">
                  <c:v>803.1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F-4855-ACA5-6759E2028DFD}"/>
            </c:ext>
          </c:extLst>
        </c:ser>
        <c:ser>
          <c:idx val="1"/>
          <c:order val="1"/>
          <c:spPr>
            <a:ln w="38100">
              <a:noFill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7.5645888013998255E-2"/>
                  <c:y val="3.7511665208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9F-4855-ACA5-6759E2028DFD}"/>
                </c:ext>
              </c:extLst>
            </c:dLbl>
            <c:dLbl>
              <c:idx val="2"/>
              <c:layout>
                <c:manualLayout>
                  <c:x val="-7.5645888013998255E-2"/>
                  <c:y val="3.28820355788859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9F-4855-ACA5-6759E2028DFD}"/>
                </c:ext>
              </c:extLst>
            </c:dLbl>
            <c:dLbl>
              <c:idx val="3"/>
              <c:layout>
                <c:manualLayout>
                  <c:x val="-7.5645888013998255E-2"/>
                  <c:y val="3.28820355788859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9F-4855-ACA5-6759E2028DFD}"/>
                </c:ext>
              </c:extLst>
            </c:dLbl>
            <c:dLbl>
              <c:idx val="4"/>
              <c:layout>
                <c:manualLayout>
                  <c:x val="-6.5449912510936237E-2"/>
                  <c:y val="3.7511665208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9F-4855-ACA5-6759E2028DFD}"/>
                </c:ext>
              </c:extLst>
            </c:dLbl>
            <c:numFmt formatCode="_(&quot;₹&quot;* #,##0.00_);_(&quot;₹&quot;* \(#,##0.00\);_(&quot;₹&quot;* &quot;-&quot;??_);_(@_)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 Analysis'!$L$7:$L$11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 H/L</c:v>
                </c:pt>
              </c:strCache>
            </c:strRef>
          </c:cat>
          <c:val>
            <c:numRef>
              <c:f>'Football Field Analysis'!$O$7:$O$11</c:f>
              <c:numCache>
                <c:formatCode>0.00</c:formatCode>
                <c:ptCount val="5"/>
                <c:pt idx="0" formatCode="General">
                  <c:v>644.74404361645918</c:v>
                </c:pt>
                <c:pt idx="1">
                  <c:v>255.04377169243597</c:v>
                </c:pt>
                <c:pt idx="2">
                  <c:v>296.08312761501861</c:v>
                </c:pt>
                <c:pt idx="3">
                  <c:v>546.96061887985411</c:v>
                </c:pt>
                <c:pt idx="4">
                  <c:v>803.1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9F-4855-ACA5-6759E2028DFD}"/>
            </c:ext>
          </c:extLst>
        </c:ser>
        <c:ser>
          <c:idx val="2"/>
          <c:order val="2"/>
          <c:spPr>
            <a:ln w="38100">
              <a:noFill/>
            </a:ln>
          </c:spPr>
          <c:marker>
            <c:symbol val="none"/>
          </c:marker>
          <c:cat>
            <c:strRef>
              <c:f>'Football Field Analysis'!$L$7:$L$11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 H/L</c:v>
                </c:pt>
              </c:strCache>
            </c:strRef>
          </c:cat>
          <c:val>
            <c:numRef>
              <c:f>'Football Field Analysis'!$P$7:$P$11</c:f>
              <c:numCache>
                <c:formatCode>0.00</c:formatCode>
                <c:ptCount val="5"/>
                <c:pt idx="0" formatCode="General">
                  <c:v>1058.7</c:v>
                </c:pt>
                <c:pt idx="1">
                  <c:v>655.38687640660919</c:v>
                </c:pt>
                <c:pt idx="2">
                  <c:v>808.45923997379316</c:v>
                </c:pt>
                <c:pt idx="3">
                  <c:v>2823.9120269417162</c:v>
                </c:pt>
                <c:pt idx="4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9F-4855-ACA5-6759E2028DFD}"/>
            </c:ext>
          </c:extLst>
        </c:ser>
        <c:ser>
          <c:idx val="3"/>
          <c:order val="3"/>
          <c:spPr>
            <a:ln w="38100">
              <a:noFill/>
            </a:ln>
          </c:spPr>
          <c:marker>
            <c:symbol val="none"/>
          </c:marker>
          <c:dLbls>
            <c:numFmt formatCode="_(&quot;₹&quot;* #,##0.00_);_(&quot;₹&quot;* \(#,##0.00\);_(&quot;₹&quot;* &quot;-&quot;??_);_(@_)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 Analysis'!$L$7:$L$11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 H/L</c:v>
                </c:pt>
              </c:strCache>
            </c:strRef>
          </c:cat>
          <c:val>
            <c:numRef>
              <c:f>'Football Field Analysis'!$Q$7:$Q$11</c:f>
              <c:numCache>
                <c:formatCode>0.00</c:formatCode>
                <c:ptCount val="5"/>
                <c:pt idx="0" formatCode="General">
                  <c:v>1058.7</c:v>
                </c:pt>
                <c:pt idx="1">
                  <c:v>655.38687640660919</c:v>
                </c:pt>
                <c:pt idx="2">
                  <c:v>808.45923997379316</c:v>
                </c:pt>
                <c:pt idx="3">
                  <c:v>2823.9120269417162</c:v>
                </c:pt>
                <c:pt idx="4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9F-4855-ACA5-6759E202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002060"/>
              </a:solidFill>
            </c:spPr>
          </c:upBars>
          <c:downBars/>
        </c:upDownBars>
        <c:axId val="144207232"/>
        <c:axId val="164758272"/>
      </c:stockChart>
      <c:catAx>
        <c:axId val="14420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164758272"/>
        <c:crosses val="autoZero"/>
        <c:auto val="1"/>
        <c:lblAlgn val="ctr"/>
        <c:lblOffset val="100"/>
        <c:noMultiLvlLbl val="0"/>
      </c:catAx>
      <c:valAx>
        <c:axId val="164758272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noFill/>
          </a:ln>
        </c:spPr>
        <c:crossAx val="144207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99-4665-A5AA-7A7CA1CC5A3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F99-4665-A5AA-7A7CA1CC5A3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99-4665-A5AA-7A7CA1CC5A3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44260</c:v>
                </c:pt>
                <c:pt idx="1">
                  <c:v>44626</c:v>
                </c:pt>
                <c:pt idx="2">
                  <c:v>44992</c:v>
                </c:pt>
                <c:pt idx="3">
                  <c:v>45358</c:v>
                </c:pt>
              </c:numCache>
            </c:numRef>
          </c:cat>
          <c:val>
            <c:numRef>
              <c:f>'Dupont Analysis'!$F$63:$I$63</c:f>
              <c:numCache>
                <c:formatCode>General</c:formatCode>
                <c:ptCount val="4"/>
                <c:pt idx="0">
                  <c:v>79839</c:v>
                </c:pt>
                <c:pt idx="1">
                  <c:v>146371</c:v>
                </c:pt>
                <c:pt idx="2">
                  <c:v>165960</c:v>
                </c:pt>
                <c:pt idx="3">
                  <c:v>175006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9-4665-A5AA-7A7CA1CC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5151"/>
        <c:axId val="495979471"/>
      </c:barChart>
      <c:dateAx>
        <c:axId val="49597515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71"/>
        <c:crosses val="autoZero"/>
        <c:auto val="1"/>
        <c:lblOffset val="100"/>
        <c:baseTimeUnit val="years"/>
      </c:dateAx>
      <c:valAx>
        <c:axId val="495979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59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DA-4A85-9455-9FDB74376FA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DA-4A85-9455-9FDB74376FA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DA-4A85-9455-9FDB74376FA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44260</c:v>
                </c:pt>
                <c:pt idx="1">
                  <c:v>44626</c:v>
                </c:pt>
                <c:pt idx="2">
                  <c:v>44992</c:v>
                </c:pt>
                <c:pt idx="3">
                  <c:v>45358</c:v>
                </c:pt>
              </c:numCache>
            </c:numRef>
          </c:cat>
          <c:val>
            <c:numRef>
              <c:f>'Dupont Analysis'!$F$62:$I$62</c:f>
              <c:numCache>
                <c:formatCode>General</c:formatCode>
                <c:ptCount val="4"/>
                <c:pt idx="0">
                  <c:v>7911</c:v>
                </c:pt>
                <c:pt idx="1">
                  <c:v>20665</c:v>
                </c:pt>
                <c:pt idx="2">
                  <c:v>4144</c:v>
                </c:pt>
                <c:pt idx="3">
                  <c:v>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DA-4A85-9455-9FDB7437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5151"/>
        <c:axId val="495979471"/>
      </c:barChart>
      <c:dateAx>
        <c:axId val="49597515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71"/>
        <c:crosses val="autoZero"/>
        <c:auto val="1"/>
        <c:lblOffset val="100"/>
        <c:baseTimeUnit val="years"/>
      </c:dateAx>
      <c:valAx>
        <c:axId val="495979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59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3-4AB6-91F4-D59E2DE9AE2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33-4AB6-91F4-D59E2DE9AE2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33-4AB6-91F4-D59E2DE9AE2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44260</c:v>
                </c:pt>
                <c:pt idx="1">
                  <c:v>44626</c:v>
                </c:pt>
                <c:pt idx="2">
                  <c:v>44992</c:v>
                </c:pt>
                <c:pt idx="3">
                  <c:v>45358</c:v>
                </c:pt>
              </c:numCache>
            </c:numRef>
          </c:cat>
          <c:val>
            <c:numRef>
              <c:f>'Dupont Analysis'!$F$67:$I$67</c:f>
              <c:numCache>
                <c:formatCode>General</c:formatCode>
                <c:ptCount val="4"/>
                <c:pt idx="0">
                  <c:v>140068.5</c:v>
                </c:pt>
                <c:pt idx="1">
                  <c:v>172401</c:v>
                </c:pt>
                <c:pt idx="2">
                  <c:v>203512</c:v>
                </c:pt>
                <c:pt idx="3">
                  <c:v>219218.5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33-4AB6-91F4-D59E2DE9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5151"/>
        <c:axId val="495979471"/>
      </c:barChart>
      <c:dateAx>
        <c:axId val="49597515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71"/>
        <c:crosses val="autoZero"/>
        <c:auto val="1"/>
        <c:lblOffset val="100"/>
        <c:baseTimeUnit val="years"/>
      </c:dateAx>
      <c:valAx>
        <c:axId val="495979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59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93-4052-B192-2DD4B781044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93-4052-B192-2DD4B781044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93-4052-B192-2DD4B781044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Analysis'!$F$55:$I$55</c:f>
              <c:numCache>
                <c:formatCode>mmm\-yy</c:formatCode>
                <c:ptCount val="4"/>
                <c:pt idx="0">
                  <c:v>44260</c:v>
                </c:pt>
                <c:pt idx="1">
                  <c:v>44626</c:v>
                </c:pt>
                <c:pt idx="2">
                  <c:v>44992</c:v>
                </c:pt>
                <c:pt idx="3">
                  <c:v>45358</c:v>
                </c:pt>
              </c:numCache>
            </c:numRef>
          </c:cat>
          <c:val>
            <c:numRef>
              <c:f>'Dupont Analysis'!$F$58:$I$58</c:f>
              <c:numCache>
                <c:formatCode>0.00%</c:formatCode>
                <c:ptCount val="4"/>
                <c:pt idx="0">
                  <c:v>0.12158890929630284</c:v>
                </c:pt>
                <c:pt idx="1">
                  <c:v>0.22789179413094543</c:v>
                </c:pt>
                <c:pt idx="2">
                  <c:v>4.1713851434668596E-2</c:v>
                </c:pt>
                <c:pt idx="3">
                  <c:v>7.9734700248379198E-2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93-4052-B192-2DD4B7810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5151"/>
        <c:axId val="495979471"/>
      </c:barChart>
      <c:dateAx>
        <c:axId val="49597515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71"/>
        <c:crosses val="autoZero"/>
        <c:auto val="1"/>
        <c:lblOffset val="100"/>
        <c:baseTimeUnit val="years"/>
      </c:dateAx>
      <c:valAx>
        <c:axId val="49597947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59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9F-4D12-ACD4-2E17B3365A3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9F-4D12-ACD4-2E17B3365A3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9F-4D12-ACD4-2E17B3365A3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44260</c:v>
                </c:pt>
                <c:pt idx="1">
                  <c:v>44626</c:v>
                </c:pt>
                <c:pt idx="2">
                  <c:v>44992</c:v>
                </c:pt>
                <c:pt idx="3">
                  <c:v>45358</c:v>
                </c:pt>
              </c:numCache>
            </c:numRef>
          </c:cat>
          <c:val>
            <c:numRef>
              <c:f>'Dupont Analysis'!$F$80:$I$80</c:f>
              <c:numCache>
                <c:formatCode>0.00%</c:formatCode>
                <c:ptCount val="4"/>
                <c:pt idx="0">
                  <c:v>5.6479508240610841E-2</c:v>
                </c:pt>
                <c:pt idx="1">
                  <c:v>0.11986589404933846</c:v>
                </c:pt>
                <c:pt idx="2">
                  <c:v>2.0362435630331382E-2</c:v>
                </c:pt>
                <c:pt idx="3">
                  <c:v>4.0197337359757501E-2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9F-4D12-ACD4-2E17B3365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5151"/>
        <c:axId val="495979471"/>
      </c:barChart>
      <c:dateAx>
        <c:axId val="49597515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71"/>
        <c:crosses val="autoZero"/>
        <c:auto val="1"/>
        <c:lblOffset val="100"/>
        <c:baseTimeUnit val="years"/>
      </c:dateAx>
      <c:valAx>
        <c:axId val="49597947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59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2-4A0E-9F00-1B794AC2308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2-4A0E-9F00-1B794AC23088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02-4A0E-9F00-1B794AC23088}"/>
              </c:ext>
            </c:extLst>
          </c:dPt>
          <c:dLbls>
            <c:numFmt formatCode="#,##0.0&quot;x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Analysis'!$F$61:$I$61</c:f>
              <c:numCache>
                <c:formatCode>mmm\-yy</c:formatCode>
                <c:ptCount val="4"/>
                <c:pt idx="0">
                  <c:v>44260</c:v>
                </c:pt>
                <c:pt idx="1">
                  <c:v>44626</c:v>
                </c:pt>
                <c:pt idx="2">
                  <c:v>44992</c:v>
                </c:pt>
                <c:pt idx="3">
                  <c:v>45358</c:v>
                </c:pt>
              </c:numCache>
            </c:numRef>
          </c:cat>
          <c:val>
            <c:numRef>
              <c:f>'Dupont Analysis'!$F$72:$I$72</c:f>
              <c:numCache>
                <c:formatCode>0.00"x"</c:formatCode>
                <c:ptCount val="4"/>
                <c:pt idx="0">
                  <c:v>2.152796883045025</c:v>
                </c:pt>
                <c:pt idx="1">
                  <c:v>1.9012229954013609</c:v>
                </c:pt>
                <c:pt idx="2">
                  <c:v>2.0485688545299894</c:v>
                </c:pt>
                <c:pt idx="3">
                  <c:v>1.983581637131107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02-4A0E-9F00-1B794AC23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5151"/>
        <c:axId val="495979471"/>
      </c:barChart>
      <c:dateAx>
        <c:axId val="49597515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71"/>
        <c:crosses val="autoZero"/>
        <c:auto val="1"/>
        <c:lblOffset val="100"/>
        <c:baseTimeUnit val="years"/>
      </c:dateAx>
      <c:valAx>
        <c:axId val="495979471"/>
        <c:scaling>
          <c:orientation val="minMax"/>
        </c:scaling>
        <c:delete val="1"/>
        <c:axPos val="l"/>
        <c:numFmt formatCode="0.00&quot;x&quot;" sourceLinked="1"/>
        <c:majorTickMark val="none"/>
        <c:minorTickMark val="none"/>
        <c:tickLblPos val="nextTo"/>
        <c:crossAx val="4959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</xdr:row>
      <xdr:rowOff>180975</xdr:rowOff>
    </xdr:from>
    <xdr:to>
      <xdr:col>9</xdr:col>
      <xdr:colOff>47625</xdr:colOff>
      <xdr:row>22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15</xdr:row>
      <xdr:rowOff>133350</xdr:rowOff>
    </xdr:from>
    <xdr:to>
      <xdr:col>9</xdr:col>
      <xdr:colOff>38100</xdr:colOff>
      <xdr:row>15</xdr:row>
      <xdr:rowOff>133350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42875" y="2990850"/>
          <a:ext cx="4895850" cy="0"/>
        </a:xfrm>
        <a:prstGeom prst="line">
          <a:avLst/>
        </a:prstGeom>
        <a:ln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1</xdr:row>
      <xdr:rowOff>102216</xdr:rowOff>
    </xdr:from>
    <xdr:to>
      <xdr:col>8</xdr:col>
      <xdr:colOff>400050</xdr:colOff>
      <xdr:row>2</xdr:row>
      <xdr:rowOff>9524</xdr:rowOff>
    </xdr:to>
    <xdr:pic>
      <xdr:nvPicPr>
        <xdr:cNvPr id="3" name="Picture 2" descr="Jsw Steel">
          <a:extLst>
            <a:ext uri="{FF2B5EF4-FFF2-40B4-BE49-F238E27FC236}">
              <a16:creationId xmlns:a16="http://schemas.microsoft.com/office/drawing/2014/main" id="{E3299D23-BB36-00D6-DDF8-BA7262DC11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6" t="20864" r="2328" b="25899"/>
        <a:stretch/>
      </xdr:blipFill>
      <xdr:spPr bwMode="auto">
        <a:xfrm>
          <a:off x="4162425" y="292716"/>
          <a:ext cx="2447925" cy="574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9526</xdr:colOff>
      <xdr:row>14</xdr:row>
      <xdr:rowOff>95250</xdr:rowOff>
    </xdr:from>
    <xdr:to>
      <xdr:col>1</xdr:col>
      <xdr:colOff>2085975</xdr:colOff>
      <xdr:row>24</xdr:row>
      <xdr:rowOff>161926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2AAE8D2-A130-1C9D-76DD-5CAE55FB98BE}"/>
            </a:ext>
          </a:extLst>
        </xdr:cNvPr>
        <xdr:cNvGrpSpPr/>
      </xdr:nvGrpSpPr>
      <xdr:grpSpPr>
        <a:xfrm>
          <a:off x="133351" y="3019425"/>
          <a:ext cx="2076449" cy="1971676"/>
          <a:chOff x="95251" y="3019425"/>
          <a:chExt cx="2076449" cy="197167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7B2B7070-90AA-63EF-2C1E-806E5FC2CD20}"/>
              </a:ext>
            </a:extLst>
          </xdr:cNvPr>
          <xdr:cNvGraphicFramePr/>
        </xdr:nvGraphicFramePr>
        <xdr:xfrm>
          <a:off x="95251" y="3414713"/>
          <a:ext cx="2076449" cy="15763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CFEA9CB-575C-7DEC-1B75-8343ED552DB3}"/>
              </a:ext>
            </a:extLst>
          </xdr:cNvPr>
          <xdr:cNvSpPr txBox="1"/>
        </xdr:nvSpPr>
        <xdr:spPr>
          <a:xfrm>
            <a:off x="438150" y="3124199"/>
            <a:ext cx="1280107" cy="2169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2596BE"/>
                </a:solidFill>
              </a:rPr>
              <a:t>Revenue (INR Crs</a:t>
            </a:r>
            <a:r>
              <a:rPr lang="en-IN" sz="1100">
                <a:solidFill>
                  <a:srgbClr val="2596BE"/>
                </a:solidFill>
              </a:rPr>
              <a:t>.)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B88AF752-133D-FC3D-BDF6-9F0768C58271}"/>
              </a:ext>
            </a:extLst>
          </xdr:cNvPr>
          <xdr:cNvCxnSpPr/>
        </xdr:nvCxnSpPr>
        <xdr:spPr>
          <a:xfrm>
            <a:off x="200025" y="3019425"/>
            <a:ext cx="18288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2400300</xdr:colOff>
      <xdr:row>14</xdr:row>
      <xdr:rowOff>95250</xdr:rowOff>
    </xdr:from>
    <xdr:to>
      <xdr:col>5</xdr:col>
      <xdr:colOff>219074</xdr:colOff>
      <xdr:row>24</xdr:row>
      <xdr:rowOff>161926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DA20572-C18E-4751-ADF6-9B0AAF4C95E1}"/>
            </a:ext>
          </a:extLst>
        </xdr:cNvPr>
        <xdr:cNvGrpSpPr/>
      </xdr:nvGrpSpPr>
      <xdr:grpSpPr>
        <a:xfrm>
          <a:off x="2524125" y="3019425"/>
          <a:ext cx="2076449" cy="1971676"/>
          <a:chOff x="95251" y="3019425"/>
          <a:chExt cx="2076449" cy="1971676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2492F21F-82F9-1947-BE84-DDE9E2C46E52}"/>
              </a:ext>
            </a:extLst>
          </xdr:cNvPr>
          <xdr:cNvGraphicFramePr/>
        </xdr:nvGraphicFramePr>
        <xdr:xfrm>
          <a:off x="95251" y="3414713"/>
          <a:ext cx="2076449" cy="15763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870EB21-3ABB-B987-8566-61702BB67021}"/>
              </a:ext>
            </a:extLst>
          </xdr:cNvPr>
          <xdr:cNvSpPr txBox="1"/>
        </xdr:nvSpPr>
        <xdr:spPr>
          <a:xfrm>
            <a:off x="438150" y="3124199"/>
            <a:ext cx="1438276" cy="2762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2596BE"/>
                </a:solidFill>
              </a:rPr>
              <a:t>Net</a:t>
            </a:r>
            <a:r>
              <a:rPr lang="en-IN" sz="1100" b="1" baseline="0">
                <a:solidFill>
                  <a:srgbClr val="2596BE"/>
                </a:solidFill>
              </a:rPr>
              <a:t> Profit</a:t>
            </a:r>
            <a:r>
              <a:rPr lang="en-IN" sz="1100" b="1">
                <a:solidFill>
                  <a:srgbClr val="2596BE"/>
                </a:solidFill>
              </a:rPr>
              <a:t> (INR Crs.)</a:t>
            </a:r>
          </a:p>
        </xdr:txBody>
      </xdr: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9E4C07D-2C49-5D05-4004-0CB1CF7F448C}"/>
              </a:ext>
            </a:extLst>
          </xdr:cNvPr>
          <xdr:cNvCxnSpPr/>
        </xdr:nvCxnSpPr>
        <xdr:spPr>
          <a:xfrm>
            <a:off x="200025" y="3019425"/>
            <a:ext cx="18288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457200</xdr:colOff>
      <xdr:row>14</xdr:row>
      <xdr:rowOff>104775</xdr:rowOff>
    </xdr:from>
    <xdr:to>
      <xdr:col>9</xdr:col>
      <xdr:colOff>114300</xdr:colOff>
      <xdr:row>24</xdr:row>
      <xdr:rowOff>171451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1F5D5C6-EABD-4885-B6F1-ED8C608F23A0}"/>
            </a:ext>
          </a:extLst>
        </xdr:cNvPr>
        <xdr:cNvGrpSpPr/>
      </xdr:nvGrpSpPr>
      <xdr:grpSpPr>
        <a:xfrm>
          <a:off x="4838700" y="3028950"/>
          <a:ext cx="2095500" cy="1971676"/>
          <a:chOff x="95251" y="3019425"/>
          <a:chExt cx="2095500" cy="1971676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3BD9F6FE-65B3-4277-30D2-819749E95113}"/>
              </a:ext>
            </a:extLst>
          </xdr:cNvPr>
          <xdr:cNvGraphicFramePr/>
        </xdr:nvGraphicFramePr>
        <xdr:xfrm>
          <a:off x="95251" y="3414713"/>
          <a:ext cx="2076449" cy="15763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FFEC404-461E-40CF-4012-42B0D5F2A58A}"/>
              </a:ext>
            </a:extLst>
          </xdr:cNvPr>
          <xdr:cNvSpPr txBox="1"/>
        </xdr:nvSpPr>
        <xdr:spPr>
          <a:xfrm>
            <a:off x="104777" y="3124199"/>
            <a:ext cx="2085974" cy="2286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/>
              <a:t> </a:t>
            </a:r>
            <a:r>
              <a:rPr lang="en-IN" sz="1100" b="1">
                <a:solidFill>
                  <a:srgbClr val="2596BE"/>
                </a:solidFill>
              </a:rPr>
              <a:t>AverageTotal</a:t>
            </a:r>
            <a:r>
              <a:rPr lang="en-IN" sz="1100" b="1" baseline="0">
                <a:solidFill>
                  <a:srgbClr val="2596BE"/>
                </a:solidFill>
              </a:rPr>
              <a:t> Asset</a:t>
            </a:r>
            <a:r>
              <a:rPr lang="en-IN" sz="1100" b="1">
                <a:solidFill>
                  <a:srgbClr val="2596BE"/>
                </a:solidFill>
              </a:rPr>
              <a:t> (INR Crs.)</a:t>
            </a:r>
          </a:p>
        </xdr:txBody>
      </xdr: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DC2D463F-E6E8-8300-BF56-602D1F517960}"/>
              </a:ext>
            </a:extLst>
          </xdr:cNvPr>
          <xdr:cNvCxnSpPr/>
        </xdr:nvCxnSpPr>
        <xdr:spPr>
          <a:xfrm>
            <a:off x="200025" y="3019425"/>
            <a:ext cx="18288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27</xdr:row>
      <xdr:rowOff>0</xdr:rowOff>
    </xdr:from>
    <xdr:to>
      <xdr:col>1</xdr:col>
      <xdr:colOff>2209799</xdr:colOff>
      <xdr:row>37</xdr:row>
      <xdr:rowOff>57151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D8BF19A9-9FD4-4D69-8D23-2B8A1B7AA9BD}"/>
            </a:ext>
          </a:extLst>
        </xdr:cNvPr>
        <xdr:cNvGrpSpPr/>
      </xdr:nvGrpSpPr>
      <xdr:grpSpPr>
        <a:xfrm>
          <a:off x="123825" y="5400675"/>
          <a:ext cx="2209799" cy="1971676"/>
          <a:chOff x="95251" y="3019425"/>
          <a:chExt cx="2209799" cy="1971676"/>
        </a:xfrm>
      </xdr:grpSpPr>
      <xdr:graphicFrame macro="">
        <xdr:nvGraphicFramePr>
          <xdr:cNvPr id="40" name="Chart 39">
            <a:extLst>
              <a:ext uri="{FF2B5EF4-FFF2-40B4-BE49-F238E27FC236}">
                <a16:creationId xmlns:a16="http://schemas.microsoft.com/office/drawing/2014/main" id="{21F99EA8-FA27-CEC6-830C-2470106FC67F}"/>
              </a:ext>
            </a:extLst>
          </xdr:cNvPr>
          <xdr:cNvGraphicFramePr/>
        </xdr:nvGraphicFramePr>
        <xdr:xfrm>
          <a:off x="95251" y="3414713"/>
          <a:ext cx="2076449" cy="15763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593253B1-D974-C669-9039-40E1FAC3AC0E}"/>
              </a:ext>
            </a:extLst>
          </xdr:cNvPr>
          <xdr:cNvSpPr txBox="1"/>
        </xdr:nvSpPr>
        <xdr:spPr>
          <a:xfrm>
            <a:off x="419101" y="3095624"/>
            <a:ext cx="1885949" cy="2286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2596BE"/>
                </a:solidFill>
              </a:rPr>
              <a:t>Return</a:t>
            </a:r>
            <a:r>
              <a:rPr lang="en-IN" sz="1100" b="1" baseline="0">
                <a:solidFill>
                  <a:srgbClr val="2596BE"/>
                </a:solidFill>
              </a:rPr>
              <a:t> On Equity</a:t>
            </a:r>
            <a:r>
              <a:rPr lang="en-IN" sz="1100" b="1">
                <a:solidFill>
                  <a:srgbClr val="2596BE"/>
                </a:solidFill>
              </a:rPr>
              <a:t> (%)</a:t>
            </a:r>
          </a:p>
        </xdr:txBody>
      </xdr: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0C3F836A-7C06-BD47-457D-4ED5455FB285}"/>
              </a:ext>
            </a:extLst>
          </xdr:cNvPr>
          <xdr:cNvCxnSpPr/>
        </xdr:nvCxnSpPr>
        <xdr:spPr>
          <a:xfrm>
            <a:off x="200025" y="3019425"/>
            <a:ext cx="18288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27</xdr:row>
      <xdr:rowOff>0</xdr:rowOff>
    </xdr:from>
    <xdr:to>
      <xdr:col>5</xdr:col>
      <xdr:colOff>485775</xdr:colOff>
      <xdr:row>37</xdr:row>
      <xdr:rowOff>57151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58ED0868-F543-4EF4-84AE-9A337BC95965}"/>
            </a:ext>
          </a:extLst>
        </xdr:cNvPr>
        <xdr:cNvGrpSpPr/>
      </xdr:nvGrpSpPr>
      <xdr:grpSpPr>
        <a:xfrm>
          <a:off x="2552700" y="5400675"/>
          <a:ext cx="2314575" cy="1971676"/>
          <a:chOff x="95251" y="3019425"/>
          <a:chExt cx="2314575" cy="1971676"/>
        </a:xfrm>
      </xdr:grpSpPr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465B96B4-5299-73AB-D6F2-4DB1E22D4183}"/>
              </a:ext>
            </a:extLst>
          </xdr:cNvPr>
          <xdr:cNvGraphicFramePr/>
        </xdr:nvGraphicFramePr>
        <xdr:xfrm>
          <a:off x="95251" y="3414713"/>
          <a:ext cx="2076449" cy="15763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C1F15A1-A27C-305E-1406-03030A48E847}"/>
              </a:ext>
            </a:extLst>
          </xdr:cNvPr>
          <xdr:cNvSpPr txBox="1"/>
        </xdr:nvSpPr>
        <xdr:spPr>
          <a:xfrm>
            <a:off x="381001" y="3114674"/>
            <a:ext cx="2028825" cy="2762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2596BE"/>
                </a:solidFill>
              </a:rPr>
              <a:t>Return</a:t>
            </a:r>
            <a:r>
              <a:rPr lang="en-IN" sz="1100" b="1" baseline="0">
                <a:solidFill>
                  <a:srgbClr val="2596BE"/>
                </a:solidFill>
              </a:rPr>
              <a:t> On Asset (%)</a:t>
            </a:r>
            <a:endParaRPr lang="en-IN" sz="1100" b="1">
              <a:solidFill>
                <a:srgbClr val="2596BE"/>
              </a:solidFill>
            </a:endParaRPr>
          </a:p>
        </xdr:txBody>
      </xdr: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D768B421-BA20-3B42-A500-DBA3BFD4367E}"/>
              </a:ext>
            </a:extLst>
          </xdr:cNvPr>
          <xdr:cNvCxnSpPr/>
        </xdr:nvCxnSpPr>
        <xdr:spPr>
          <a:xfrm>
            <a:off x="200025" y="3019425"/>
            <a:ext cx="18288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27</xdr:row>
      <xdr:rowOff>0</xdr:rowOff>
    </xdr:from>
    <xdr:to>
      <xdr:col>9</xdr:col>
      <xdr:colOff>247649</xdr:colOff>
      <xdr:row>37</xdr:row>
      <xdr:rowOff>57151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B9E2CA1F-FD44-4A18-B4C2-1AF2FAD44876}"/>
            </a:ext>
          </a:extLst>
        </xdr:cNvPr>
        <xdr:cNvGrpSpPr/>
      </xdr:nvGrpSpPr>
      <xdr:grpSpPr>
        <a:xfrm>
          <a:off x="4991100" y="5400675"/>
          <a:ext cx="2076449" cy="1971676"/>
          <a:chOff x="95251" y="3019425"/>
          <a:chExt cx="2076449" cy="1971676"/>
        </a:xfrm>
      </xdr:grpSpPr>
      <xdr:graphicFrame macro="">
        <xdr:nvGraphicFramePr>
          <xdr:cNvPr id="48" name="Chart 47">
            <a:extLst>
              <a:ext uri="{FF2B5EF4-FFF2-40B4-BE49-F238E27FC236}">
                <a16:creationId xmlns:a16="http://schemas.microsoft.com/office/drawing/2014/main" id="{08475EB9-339A-5B07-8B0E-F811D0C5DCEF}"/>
              </a:ext>
            </a:extLst>
          </xdr:cNvPr>
          <xdr:cNvGraphicFramePr/>
        </xdr:nvGraphicFramePr>
        <xdr:xfrm>
          <a:off x="95251" y="3414713"/>
          <a:ext cx="2076449" cy="15763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47F5B90F-AE16-A57A-E0EB-43BE7106FC13}"/>
              </a:ext>
            </a:extLst>
          </xdr:cNvPr>
          <xdr:cNvSpPr txBox="1"/>
        </xdr:nvSpPr>
        <xdr:spPr>
          <a:xfrm>
            <a:off x="523875" y="3114674"/>
            <a:ext cx="1438276" cy="2762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IN" sz="1100" b="1">
                <a:solidFill>
                  <a:srgbClr val="2596BE"/>
                </a:solidFill>
              </a:rPr>
              <a:t>Financial</a:t>
            </a:r>
            <a:r>
              <a:rPr lang="en-IN" sz="1100" b="1" baseline="0">
                <a:solidFill>
                  <a:srgbClr val="2596BE"/>
                </a:solidFill>
              </a:rPr>
              <a:t> Leverage</a:t>
            </a:r>
            <a:endParaRPr lang="en-IN" sz="1100" b="1">
              <a:solidFill>
                <a:srgbClr val="2596BE"/>
              </a:solidFill>
            </a:endParaRPr>
          </a:p>
        </xdr:txBody>
      </xdr: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72D71009-4281-B082-167F-B6D8525A02BB}"/>
              </a:ext>
            </a:extLst>
          </xdr:cNvPr>
          <xdr:cNvCxnSpPr/>
        </xdr:nvCxnSpPr>
        <xdr:spPr>
          <a:xfrm>
            <a:off x="200025" y="3019425"/>
            <a:ext cx="18288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114301</xdr:colOff>
      <xdr:row>39</xdr:row>
      <xdr:rowOff>38100</xdr:rowOff>
    </xdr:from>
    <xdr:to>
      <xdr:col>9</xdr:col>
      <xdr:colOff>9526</xdr:colOff>
      <xdr:row>48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1DCF74-0572-D06C-EE74-3012194FD7E4}"/>
            </a:ext>
          </a:extLst>
        </xdr:cNvPr>
        <xdr:cNvSpPr txBox="1"/>
      </xdr:nvSpPr>
      <xdr:spPr>
        <a:xfrm>
          <a:off x="238126" y="7772400"/>
          <a:ext cx="6591300" cy="2009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>
            <a:buFont typeface="Arial" panose="020B0604020202020204" pitchFamily="34" charset="0"/>
            <a:buNone/>
          </a:pPr>
          <a:r>
            <a:rPr lang="en-IN" sz="1100" b="1" i="0">
              <a:solidFill>
                <a:srgbClr val="2596BE"/>
              </a:solidFill>
              <a:effectLst/>
              <a:latin typeface="+mn-lt"/>
              <a:ea typeface="+mn-ea"/>
              <a:cs typeface="+mn-cs"/>
            </a:rPr>
            <a:t>Recent</a:t>
          </a:r>
          <a:r>
            <a:rPr lang="en-IN" sz="1100" b="1" i="0" baseline="0">
              <a:solidFill>
                <a:srgbClr val="2596BE"/>
              </a:solidFill>
              <a:effectLst/>
              <a:latin typeface="+mn-lt"/>
              <a:ea typeface="+mn-ea"/>
              <a:cs typeface="+mn-cs"/>
            </a:rPr>
            <a:t> Updates</a:t>
          </a:r>
          <a:endParaRPr lang="en-IN" sz="1100" b="1" i="0">
            <a:solidFill>
              <a:srgbClr val="2596BE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JSW Steel on January 24 reported a consolidated net profit of ₹719 crore for the third quarter of FY25, registering a decline of 70% from ₹2,450 crore in the year-ago quarter. 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a sequential basis, </a:t>
          </a:r>
          <a:r>
            <a:rPr lang="en-IN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JSW Steel’s net profit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increased by 78% from ₹404 crore in the September quarter.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company’s revenue from operations in Q3FY25 was at ₹41,378 crore, as against ₹41,940 crore, year-on-year (YoY). The revenue increased by 4% compared to ₹39,837 crore, quarter-on-quarter (QoQ).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(EBITDA) increased 3% QoQ to ₹5,579 crore, as a fall in steel realisations was offset by higher volumes and lower costs primarily coking coal, as per the company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Operating EBITDA dipped sharply compared from ₹7,180 crore mainly due to a rise in costs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JSW Steel share price gained 9% in one month, and more than 17% on a year-to-date (YTD) basis. The stock rallied 30% in one year and has delivered multibagger returns of 600% in the past five years.</a:t>
          </a:r>
          <a:endParaRPr lang="en-IN" sz="1100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JINDALSTEL/consolidated/" TargetMode="External"/><Relationship Id="rId2" Type="http://schemas.openxmlformats.org/officeDocument/2006/relationships/hyperlink" Target="https://www.screener.in/company/TATASTEEL/consolidated/" TargetMode="External"/><Relationship Id="rId1" Type="http://schemas.openxmlformats.org/officeDocument/2006/relationships/hyperlink" Target="https://www.screener.in/company/JSWSTEEL/consolidated/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www.screener.in/company/SAIL/consolidated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J25"/>
  <sheetViews>
    <sheetView workbookViewId="0">
      <selection activeCell="J25" sqref="J25"/>
    </sheetView>
  </sheetViews>
  <sheetFormatPr defaultRowHeight="15" x14ac:dyDescent="0.25"/>
  <sheetData>
    <row r="25" spans="10:10" x14ac:dyDescent="0.25">
      <c r="J25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96"/>
  <sheetViews>
    <sheetView showGridLines="0" topLeftCell="B1" workbookViewId="0">
      <pane ySplit="3" topLeftCell="A23" activePane="bottomLeft" state="frozen"/>
      <selection pane="bottomLeft" activeCell="C35" sqref="C35"/>
    </sheetView>
  </sheetViews>
  <sheetFormatPr defaultRowHeight="15" x14ac:dyDescent="0.25"/>
  <cols>
    <col min="1" max="1" width="1.85546875" customWidth="1"/>
    <col min="2" max="2" width="35.5703125" customWidth="1"/>
    <col min="3" max="3" width="14.85546875" customWidth="1"/>
    <col min="4" max="7" width="12.5703125" bestFit="1" customWidth="1"/>
    <col min="8" max="8" width="13.42578125" bestFit="1" customWidth="1"/>
    <col min="9" max="12" width="12.5703125" bestFit="1" customWidth="1"/>
  </cols>
  <sheetData>
    <row r="2" spans="1:13" x14ac:dyDescent="0.25">
      <c r="B2" s="176" t="str">
        <f>"Historical Financial Statement-"&amp;'Data Sheet'!B1</f>
        <v>Historical Financial Statement-JSW STEEL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9"/>
    </row>
    <row r="3" spans="1:13" x14ac:dyDescent="0.25">
      <c r="B3" s="8" t="s">
        <v>55</v>
      </c>
      <c r="C3" s="9">
        <f>'Data Sheet'!B16</f>
        <v>42094</v>
      </c>
      <c r="D3" s="9">
        <f>'Data Sheet'!C16</f>
        <v>42460</v>
      </c>
      <c r="E3" s="9">
        <f>'Data Sheet'!D16</f>
        <v>42825</v>
      </c>
      <c r="F3" s="9">
        <f>'Data Sheet'!E16</f>
        <v>43190</v>
      </c>
      <c r="G3" s="9">
        <f>'Data Sheet'!F16</f>
        <v>43555</v>
      </c>
      <c r="H3" s="9">
        <f>'Data Sheet'!G16</f>
        <v>43921</v>
      </c>
      <c r="I3" s="9">
        <f>'Data Sheet'!H16</f>
        <v>44286</v>
      </c>
      <c r="J3" s="9">
        <f>'Data Sheet'!I16</f>
        <v>44651</v>
      </c>
      <c r="K3" s="9">
        <f>'Data Sheet'!J16</f>
        <v>45016</v>
      </c>
      <c r="L3" s="9">
        <f>'Data Sheet'!K16</f>
        <v>45382</v>
      </c>
      <c r="M3" s="36" t="s">
        <v>231</v>
      </c>
    </row>
    <row r="5" spans="1:13" x14ac:dyDescent="0.25">
      <c r="A5" t="s">
        <v>121</v>
      </c>
      <c r="B5" s="61" t="s">
        <v>120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B6" s="11" t="str">
        <f>'Data Sheet'!A17</f>
        <v>Sales</v>
      </c>
      <c r="C6" s="29">
        <f>'Data Sheet'!B17</f>
        <v>52971.51</v>
      </c>
      <c r="D6" s="29">
        <f>'Data Sheet'!C17</f>
        <v>41546.17</v>
      </c>
      <c r="E6" s="29">
        <f>'Data Sheet'!D17</f>
        <v>55604</v>
      </c>
      <c r="F6" s="29">
        <f>'Data Sheet'!E17</f>
        <v>71933</v>
      </c>
      <c r="G6" s="29">
        <f>'Data Sheet'!F17</f>
        <v>84757</v>
      </c>
      <c r="H6" s="29">
        <f>'Data Sheet'!G17</f>
        <v>73326</v>
      </c>
      <c r="I6" s="29">
        <f>'Data Sheet'!H17</f>
        <v>79839</v>
      </c>
      <c r="J6" s="29">
        <f>'Data Sheet'!I17</f>
        <v>146371</v>
      </c>
      <c r="K6" s="29">
        <f>'Data Sheet'!J17</f>
        <v>165960</v>
      </c>
      <c r="L6" s="29">
        <f>'Data Sheet'!K17</f>
        <v>175006</v>
      </c>
      <c r="M6">
        <f>SUM('Data Sheet'!H42:K42)</f>
        <v>170274</v>
      </c>
    </row>
    <row r="7" spans="1:13" x14ac:dyDescent="0.25">
      <c r="B7" s="14" t="s">
        <v>58</v>
      </c>
      <c r="C7" s="30"/>
      <c r="D7" s="84">
        <f>D6/C6-1</f>
        <v>-0.21568839551675989</v>
      </c>
      <c r="E7" s="84">
        <f t="shared" ref="E7:L7" si="0">E6/D6-1</f>
        <v>0.33836644870032551</v>
      </c>
      <c r="F7" s="84">
        <f t="shared" si="0"/>
        <v>0.29366592331486951</v>
      </c>
      <c r="G7" s="84">
        <f t="shared" si="0"/>
        <v>0.17827700777112043</v>
      </c>
      <c r="H7" s="84">
        <f t="shared" si="0"/>
        <v>-0.13486791651427021</v>
      </c>
      <c r="I7" s="84">
        <f t="shared" si="0"/>
        <v>8.8822518615497836E-2</v>
      </c>
      <c r="J7" s="84">
        <f t="shared" si="0"/>
        <v>0.83332707072984391</v>
      </c>
      <c r="K7" s="84">
        <f t="shared" si="0"/>
        <v>0.13383115507853338</v>
      </c>
      <c r="L7" s="84">
        <f t="shared" si="0"/>
        <v>5.4507110147023363E-2</v>
      </c>
    </row>
    <row r="8" spans="1:13" x14ac:dyDescent="0.25">
      <c r="B8" s="10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3" x14ac:dyDescent="0.25">
      <c r="B9" s="10" t="s">
        <v>56</v>
      </c>
      <c r="C9" s="29">
        <f>IFERROR(SUM('Data Sheet'!B18,'Data Sheet'!B20:B22)*1-'Data Sheet'!B19,0)</f>
        <v>42072.919999999991</v>
      </c>
      <c r="D9" s="29">
        <f>IFERROR(SUM('Data Sheet'!C18,'Data Sheet'!C20:C22)*1-'Data Sheet'!C19,0)</f>
        <v>33468.380000000005</v>
      </c>
      <c r="E9" s="29">
        <f>IFERROR(SUM('Data Sheet'!D18,'Data Sheet'!D20:D22)*1-'Data Sheet'!D19,0)</f>
        <v>41733</v>
      </c>
      <c r="F9" s="29">
        <f>IFERROR(SUM('Data Sheet'!E18,'Data Sheet'!E20:E22)*1-'Data Sheet'!E19,0)</f>
        <v>55278</v>
      </c>
      <c r="G9" s="29">
        <f>IFERROR(SUM('Data Sheet'!F18,'Data Sheet'!F20:F22)*1-'Data Sheet'!F19,0)</f>
        <v>62906</v>
      </c>
      <c r="H9" s="29">
        <f>IFERROR(SUM('Data Sheet'!G18,'Data Sheet'!G20:G22)*1-'Data Sheet'!G19,0)</f>
        <v>58084</v>
      </c>
      <c r="I9" s="29">
        <f>IFERROR(SUM('Data Sheet'!H18,'Data Sheet'!H20:H22)*1-'Data Sheet'!H19,0)</f>
        <v>57246</v>
      </c>
      <c r="J9" s="29">
        <f>IFERROR(SUM('Data Sheet'!I18,'Data Sheet'!I20:I22)*1-'Data Sheet'!I19,0)</f>
        <v>103778</v>
      </c>
      <c r="K9" s="29">
        <f>IFERROR(SUM('Data Sheet'!J18,'Data Sheet'!J20:J22)*1-'Data Sheet'!J19,0)</f>
        <v>140925</v>
      </c>
      <c r="L9" s="29">
        <f>IFERROR(SUM('Data Sheet'!K18,'Data Sheet'!K20:K22)*1-'Data Sheet'!K19,0)</f>
        <v>141101</v>
      </c>
      <c r="M9">
        <f>SUM('Data Sheet'!H43:K43)</f>
        <v>147796</v>
      </c>
    </row>
    <row r="10" spans="1:13" x14ac:dyDescent="0.25">
      <c r="B10" s="14" t="s">
        <v>57</v>
      </c>
      <c r="C10" s="84">
        <f>C9/C6</f>
        <v>0.79425562911081804</v>
      </c>
      <c r="D10" s="84">
        <f t="shared" ref="D10:L10" si="1">D9/D6</f>
        <v>0.80557076621021884</v>
      </c>
      <c r="E10" s="84">
        <f t="shared" si="1"/>
        <v>0.75053952953024961</v>
      </c>
      <c r="F10" s="84">
        <f t="shared" si="1"/>
        <v>0.76846509946756014</v>
      </c>
      <c r="G10" s="84">
        <f t="shared" si="1"/>
        <v>0.74219238528971054</v>
      </c>
      <c r="H10" s="84">
        <f t="shared" si="1"/>
        <v>0.79213375883042847</v>
      </c>
      <c r="I10" s="84">
        <f t="shared" si="1"/>
        <v>0.71701799872242888</v>
      </c>
      <c r="J10" s="84">
        <f t="shared" si="1"/>
        <v>0.70900656550819496</v>
      </c>
      <c r="K10" s="84">
        <f t="shared" si="1"/>
        <v>0.8491503976861895</v>
      </c>
      <c r="L10" s="84">
        <f t="shared" si="1"/>
        <v>0.80626378524164888</v>
      </c>
    </row>
    <row r="11" spans="1:13" x14ac:dyDescent="0.25">
      <c r="B11" s="10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3" x14ac:dyDescent="0.25">
      <c r="B12" s="11" t="s">
        <v>59</v>
      </c>
      <c r="C12" s="29">
        <f>C6-C9</f>
        <v>10898.590000000011</v>
      </c>
      <c r="D12" s="29">
        <f t="shared" ref="D12:L12" si="2">D6-D9</f>
        <v>8077.7899999999936</v>
      </c>
      <c r="E12" s="29">
        <f t="shared" si="2"/>
        <v>13871</v>
      </c>
      <c r="F12" s="29">
        <f t="shared" si="2"/>
        <v>16655</v>
      </c>
      <c r="G12" s="29">
        <f t="shared" si="2"/>
        <v>21851</v>
      </c>
      <c r="H12" s="29">
        <f t="shared" si="2"/>
        <v>15242</v>
      </c>
      <c r="I12" s="29">
        <f t="shared" si="2"/>
        <v>22593</v>
      </c>
      <c r="J12" s="29">
        <f t="shared" si="2"/>
        <v>42593</v>
      </c>
      <c r="K12" s="29">
        <f t="shared" si="2"/>
        <v>25035</v>
      </c>
      <c r="L12" s="29">
        <f t="shared" si="2"/>
        <v>33905</v>
      </c>
      <c r="M12" s="29">
        <f>M6-M9</f>
        <v>22478</v>
      </c>
    </row>
    <row r="13" spans="1:13" x14ac:dyDescent="0.25">
      <c r="B13" s="15" t="s">
        <v>60</v>
      </c>
      <c r="C13" s="84">
        <f>C12/C6</f>
        <v>0.20574437088918196</v>
      </c>
      <c r="D13" s="84">
        <f t="shared" ref="D13:L13" si="3">D12/D6</f>
        <v>0.19442923378978119</v>
      </c>
      <c r="E13" s="84">
        <f t="shared" si="3"/>
        <v>0.24946047046975037</v>
      </c>
      <c r="F13" s="84">
        <f t="shared" si="3"/>
        <v>0.23153490053243991</v>
      </c>
      <c r="G13" s="84">
        <f t="shared" si="3"/>
        <v>0.2578076147102894</v>
      </c>
      <c r="H13" s="84">
        <f t="shared" si="3"/>
        <v>0.2078662411695715</v>
      </c>
      <c r="I13" s="84">
        <f t="shared" si="3"/>
        <v>0.28298200127757112</v>
      </c>
      <c r="J13" s="84">
        <f t="shared" si="3"/>
        <v>0.29099343449180509</v>
      </c>
      <c r="K13" s="84">
        <f t="shared" si="3"/>
        <v>0.15084960231381056</v>
      </c>
      <c r="L13" s="84">
        <f t="shared" si="3"/>
        <v>0.19373621475835115</v>
      </c>
      <c r="M13" s="33"/>
    </row>
    <row r="14" spans="1:13" x14ac:dyDescent="0.25">
      <c r="B14" s="10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3" x14ac:dyDescent="0.25">
      <c r="B15" s="10" t="s">
        <v>61</v>
      </c>
      <c r="C15" s="29">
        <f>IFERROR(SUM('Data Sheet'!B23:B24),0)</f>
        <v>1534.73</v>
      </c>
      <c r="D15" s="29">
        <f>IFERROR(SUM('Data Sheet'!C23:C24),0)</f>
        <v>1655.48</v>
      </c>
      <c r="E15" s="29">
        <f>IFERROR(SUM('Data Sheet'!D23:D24),0)</f>
        <v>1563</v>
      </c>
      <c r="F15" s="29">
        <f>IFERROR(SUM('Data Sheet'!E23:E24),0)</f>
        <v>1739</v>
      </c>
      <c r="G15" s="29">
        <f>IFERROR(SUM('Data Sheet'!F23:F24),0)</f>
        <v>2921</v>
      </c>
      <c r="H15" s="29">
        <f>IFERROR(SUM('Data Sheet'!G23:G24),0)</f>
        <v>3429</v>
      </c>
      <c r="I15" s="29">
        <f>IFERROR(SUM('Data Sheet'!H23:H24),0)</f>
        <v>2415</v>
      </c>
      <c r="J15" s="29">
        <f>IFERROR(SUM('Data Sheet'!I23:I24),0)</f>
        <v>3479</v>
      </c>
      <c r="K15" s="29">
        <f>IFERROR(SUM('Data Sheet'!J23:J24),0)</f>
        <v>6565</v>
      </c>
      <c r="L15" s="29">
        <f>IFERROR(SUM('Data Sheet'!K23:K24),0)</f>
        <v>5748</v>
      </c>
      <c r="M15">
        <v>0</v>
      </c>
    </row>
    <row r="16" spans="1:13" x14ac:dyDescent="0.25">
      <c r="B16" s="14" t="s">
        <v>69</v>
      </c>
      <c r="C16" s="84">
        <f>C15/C6</f>
        <v>2.8972744027874607E-2</v>
      </c>
      <c r="D16" s="84">
        <f t="shared" ref="D16:L16" si="4">D15/D6</f>
        <v>3.9846753623739566E-2</v>
      </c>
      <c r="E16" s="84">
        <f t="shared" si="4"/>
        <v>2.8109488526005325E-2</v>
      </c>
      <c r="F16" s="84">
        <f t="shared" si="4"/>
        <v>2.4175274213504232E-2</v>
      </c>
      <c r="G16" s="84">
        <f t="shared" si="4"/>
        <v>3.4463230175678705E-2</v>
      </c>
      <c r="H16" s="84">
        <f t="shared" si="4"/>
        <v>4.6763767285819491E-2</v>
      </c>
      <c r="I16" s="84">
        <f t="shared" si="4"/>
        <v>3.024837485439447E-2</v>
      </c>
      <c r="J16" s="84">
        <f t="shared" si="4"/>
        <v>2.3768369417439247E-2</v>
      </c>
      <c r="K16" s="84">
        <f t="shared" si="4"/>
        <v>3.9557724752952515E-2</v>
      </c>
      <c r="L16" s="84">
        <f t="shared" si="4"/>
        <v>3.2844588185547925E-2</v>
      </c>
    </row>
    <row r="17" spans="2:13" x14ac:dyDescent="0.25">
      <c r="B17" s="11" t="s">
        <v>62</v>
      </c>
      <c r="C17" s="29">
        <f>C12-C15</f>
        <v>9363.8600000000115</v>
      </c>
      <c r="D17" s="29">
        <f t="shared" ref="D17:L17" si="5">D12-D15</f>
        <v>6422.309999999994</v>
      </c>
      <c r="E17" s="29">
        <f t="shared" si="5"/>
        <v>12308</v>
      </c>
      <c r="F17" s="29">
        <f t="shared" si="5"/>
        <v>14916</v>
      </c>
      <c r="G17" s="29">
        <f t="shared" si="5"/>
        <v>18930</v>
      </c>
      <c r="H17" s="29">
        <f t="shared" si="5"/>
        <v>11813</v>
      </c>
      <c r="I17" s="29">
        <f t="shared" si="5"/>
        <v>20178</v>
      </c>
      <c r="J17" s="29">
        <f t="shared" si="5"/>
        <v>39114</v>
      </c>
      <c r="K17" s="29">
        <f t="shared" si="5"/>
        <v>18470</v>
      </c>
      <c r="L17" s="29">
        <f t="shared" si="5"/>
        <v>28157</v>
      </c>
      <c r="M17" s="29">
        <f>M12-M15</f>
        <v>22478</v>
      </c>
    </row>
    <row r="18" spans="2:13" x14ac:dyDescent="0.25">
      <c r="B18" s="14" t="s">
        <v>77</v>
      </c>
      <c r="C18" s="85">
        <f>C17/C6</f>
        <v>0.17677162686130735</v>
      </c>
      <c r="D18" s="85">
        <f t="shared" ref="D18:L18" si="6">D17/D6</f>
        <v>0.15458248016604165</v>
      </c>
      <c r="E18" s="85">
        <f t="shared" si="6"/>
        <v>0.22135098194374506</v>
      </c>
      <c r="F18" s="85">
        <f t="shared" si="6"/>
        <v>0.20735962631893567</v>
      </c>
      <c r="G18" s="85">
        <f t="shared" si="6"/>
        <v>0.22334438453461072</v>
      </c>
      <c r="H18" s="85">
        <f t="shared" si="6"/>
        <v>0.16110247388375201</v>
      </c>
      <c r="I18" s="85">
        <f t="shared" si="6"/>
        <v>0.25273362642317665</v>
      </c>
      <c r="J18" s="85">
        <f t="shared" si="6"/>
        <v>0.26722506507436583</v>
      </c>
      <c r="K18" s="85">
        <f t="shared" si="6"/>
        <v>0.11129187756085804</v>
      </c>
      <c r="L18" s="85">
        <f t="shared" si="6"/>
        <v>0.16089162657280323</v>
      </c>
    </row>
    <row r="19" spans="2:13" x14ac:dyDescent="0.25">
      <c r="B19" s="10" t="s">
        <v>63</v>
      </c>
      <c r="C19" s="29">
        <f>'Data Sheet'!B27</f>
        <v>3493.03</v>
      </c>
      <c r="D19" s="29">
        <f>'Data Sheet'!C27</f>
        <v>3601.18</v>
      </c>
      <c r="E19" s="29">
        <f>'Data Sheet'!D27</f>
        <v>3768</v>
      </c>
      <c r="F19" s="29">
        <f>'Data Sheet'!E27</f>
        <v>3701</v>
      </c>
      <c r="G19" s="29">
        <f>'Data Sheet'!F27</f>
        <v>3917</v>
      </c>
      <c r="H19" s="29">
        <f>'Data Sheet'!G27</f>
        <v>4265</v>
      </c>
      <c r="I19" s="29">
        <f>'Data Sheet'!H27</f>
        <v>3957</v>
      </c>
      <c r="J19" s="29">
        <f>'Data Sheet'!I27</f>
        <v>4968</v>
      </c>
      <c r="K19" s="29">
        <f>'Data Sheet'!J27</f>
        <v>6902</v>
      </c>
      <c r="L19" s="29">
        <f>'Data Sheet'!K27</f>
        <v>8105</v>
      </c>
      <c r="M19">
        <f>SUM('Data Sheet'!H46:K46)</f>
        <v>8380</v>
      </c>
    </row>
    <row r="20" spans="2:13" x14ac:dyDescent="0.25">
      <c r="B20" s="14" t="s">
        <v>70</v>
      </c>
      <c r="C20" s="84">
        <f>C19/C6</f>
        <v>6.5941673174882115E-2</v>
      </c>
      <c r="D20" s="84">
        <f t="shared" ref="D20:L20" si="7">D19/D6</f>
        <v>8.6678988701004211E-2</v>
      </c>
      <c r="E20" s="84">
        <f t="shared" si="7"/>
        <v>6.7764908999352558E-2</v>
      </c>
      <c r="F20" s="84">
        <f t="shared" si="7"/>
        <v>5.1450655471063353E-2</v>
      </c>
      <c r="G20" s="84">
        <f t="shared" si="7"/>
        <v>4.6214471961017967E-2</v>
      </c>
      <c r="H20" s="84">
        <f t="shared" si="7"/>
        <v>5.8164907399830892E-2</v>
      </c>
      <c r="I20" s="84">
        <f t="shared" si="7"/>
        <v>4.9562244016082363E-2</v>
      </c>
      <c r="J20" s="84">
        <f t="shared" si="7"/>
        <v>3.3941149544650238E-2</v>
      </c>
      <c r="K20" s="84">
        <f t="shared" si="7"/>
        <v>4.1588334538442996E-2</v>
      </c>
      <c r="L20" s="84">
        <f t="shared" si="7"/>
        <v>4.6312697850359415E-2</v>
      </c>
      <c r="M20" s="33"/>
    </row>
    <row r="21" spans="2:13" x14ac:dyDescent="0.25">
      <c r="B21" s="10" t="str">
        <f>'Data Sheet'!A26</f>
        <v>Depreciation</v>
      </c>
      <c r="C21" s="29">
        <f>'Data Sheet'!B26</f>
        <v>3434.49</v>
      </c>
      <c r="D21" s="29">
        <f>'Data Sheet'!C26</f>
        <v>3322.56</v>
      </c>
      <c r="E21" s="29">
        <f>'Data Sheet'!D26</f>
        <v>3430</v>
      </c>
      <c r="F21" s="29">
        <f>'Data Sheet'!E26</f>
        <v>3387</v>
      </c>
      <c r="G21" s="29">
        <f>'Data Sheet'!F26</f>
        <v>4041</v>
      </c>
      <c r="H21" s="29">
        <f>'Data Sheet'!G26</f>
        <v>4246</v>
      </c>
      <c r="I21" s="29">
        <f>'Data Sheet'!H26</f>
        <v>4679</v>
      </c>
      <c r="J21" s="29">
        <f>'Data Sheet'!I26</f>
        <v>6001</v>
      </c>
      <c r="K21" s="29">
        <f>'Data Sheet'!J26</f>
        <v>7474</v>
      </c>
      <c r="L21" s="29">
        <f>'Data Sheet'!K26</f>
        <v>8172</v>
      </c>
      <c r="M21">
        <f>SUM('Data Sheet'!H45:K45)</f>
        <v>9006</v>
      </c>
    </row>
    <row r="22" spans="2:13" x14ac:dyDescent="0.25">
      <c r="B22" s="14" t="s">
        <v>71</v>
      </c>
      <c r="C22" s="84">
        <f>C21/C6</f>
        <v>6.4836550817599869E-2</v>
      </c>
      <c r="D22" s="84">
        <f t="shared" ref="D22:L22" si="8">D21/D6</f>
        <v>7.9972714693075195E-2</v>
      </c>
      <c r="E22" s="84">
        <f t="shared" si="8"/>
        <v>6.1686209625206823E-2</v>
      </c>
      <c r="F22" s="84">
        <f t="shared" si="8"/>
        <v>4.7085482323829121E-2</v>
      </c>
      <c r="G22" s="84">
        <f t="shared" si="8"/>
        <v>4.7677477966421654E-2</v>
      </c>
      <c r="H22" s="84">
        <f t="shared" si="8"/>
        <v>5.7905790579057904E-2</v>
      </c>
      <c r="I22" s="84">
        <f t="shared" si="8"/>
        <v>5.8605443454953096E-2</v>
      </c>
      <c r="J22" s="84">
        <f t="shared" si="8"/>
        <v>4.0998558457617969E-2</v>
      </c>
      <c r="K22" s="84">
        <f t="shared" si="8"/>
        <v>4.5034948180284404E-2</v>
      </c>
      <c r="L22" s="84">
        <f t="shared" si="8"/>
        <v>4.6695541867135981E-2</v>
      </c>
      <c r="M22" s="33"/>
    </row>
    <row r="23" spans="2:13" x14ac:dyDescent="0.25">
      <c r="B23" s="12" t="s">
        <v>64</v>
      </c>
      <c r="C23" s="29">
        <f>C17-SUM(C19,C21)</f>
        <v>2436.3400000000111</v>
      </c>
      <c r="D23" s="29">
        <f t="shared" ref="D23:L23" si="9">D17-SUM(D19,D21)</f>
        <v>-501.43000000000575</v>
      </c>
      <c r="E23" s="29">
        <f t="shared" si="9"/>
        <v>5110</v>
      </c>
      <c r="F23" s="29">
        <f t="shared" si="9"/>
        <v>7828</v>
      </c>
      <c r="G23" s="29">
        <f t="shared" si="9"/>
        <v>10972</v>
      </c>
      <c r="H23" s="29">
        <f t="shared" si="9"/>
        <v>3302</v>
      </c>
      <c r="I23" s="29">
        <f t="shared" si="9"/>
        <v>11542</v>
      </c>
      <c r="J23" s="29">
        <f t="shared" si="9"/>
        <v>28145</v>
      </c>
      <c r="K23" s="29">
        <f t="shared" si="9"/>
        <v>4094</v>
      </c>
      <c r="L23" s="29">
        <f t="shared" si="9"/>
        <v>11880</v>
      </c>
      <c r="M23" s="29">
        <f>M17-SUM(M19:M21)</f>
        <v>5092</v>
      </c>
    </row>
    <row r="24" spans="2:13" x14ac:dyDescent="0.25">
      <c r="B24" s="13" t="s">
        <v>130</v>
      </c>
      <c r="C24" s="84">
        <f>C23/C6</f>
        <v>4.5993402868825355E-2</v>
      </c>
      <c r="D24" s="84">
        <f t="shared" ref="D24:L24" si="10">D23/D6</f>
        <v>-1.2069223228037766E-2</v>
      </c>
      <c r="E24" s="84">
        <f t="shared" si="10"/>
        <v>9.1899863319185676E-2</v>
      </c>
      <c r="F24" s="84">
        <f t="shared" si="10"/>
        <v>0.10882348852404321</v>
      </c>
      <c r="G24" s="84">
        <f t="shared" si="10"/>
        <v>0.1294524346071711</v>
      </c>
      <c r="H24" s="84">
        <f t="shared" si="10"/>
        <v>4.5031775904863215E-2</v>
      </c>
      <c r="I24" s="84">
        <f t="shared" si="10"/>
        <v>0.14456593895214118</v>
      </c>
      <c r="J24" s="84">
        <f t="shared" si="10"/>
        <v>0.19228535707209762</v>
      </c>
      <c r="K24" s="84">
        <f t="shared" si="10"/>
        <v>2.4668594842130635E-2</v>
      </c>
      <c r="L24" s="84">
        <f t="shared" si="10"/>
        <v>6.7883386855307815E-2</v>
      </c>
      <c r="M24" s="33"/>
    </row>
    <row r="25" spans="2:13" x14ac:dyDescent="0.25">
      <c r="B25" t="s">
        <v>8</v>
      </c>
      <c r="C25" s="29">
        <f>'Data Sheet'!B29</f>
        <v>819.41</v>
      </c>
      <c r="D25" s="29">
        <f>'Data Sheet'!C29</f>
        <v>-1966.21</v>
      </c>
      <c r="E25" s="29">
        <f>'Data Sheet'!D29</f>
        <v>1674</v>
      </c>
      <c r="F25" s="29">
        <f>'Data Sheet'!E29</f>
        <v>1538</v>
      </c>
      <c r="G25" s="29">
        <f>'Data Sheet'!F29</f>
        <v>3644</v>
      </c>
      <c r="H25" s="29">
        <f>'Data Sheet'!G29</f>
        <v>-906</v>
      </c>
      <c r="I25" s="29">
        <f>'Data Sheet'!H29</f>
        <v>4142</v>
      </c>
      <c r="J25" s="29">
        <f>'Data Sheet'!I29</f>
        <v>8807</v>
      </c>
      <c r="K25" s="29">
        <f>'Data Sheet'!J29</f>
        <v>1516</v>
      </c>
      <c r="L25" s="29">
        <f>'Data Sheet'!K29</f>
        <v>4407</v>
      </c>
      <c r="M25">
        <f>SUM('Data Sheet'!H48:K48)</f>
        <v>2047</v>
      </c>
    </row>
    <row r="26" spans="2:13" x14ac:dyDescent="0.25">
      <c r="B26" s="13" t="s">
        <v>72</v>
      </c>
      <c r="C26" s="85">
        <f>C25/C23</f>
        <v>0.33632826288613094</v>
      </c>
      <c r="D26" s="85">
        <f t="shared" ref="D26:L26" si="11">D25/D23</f>
        <v>3.921205352691258</v>
      </c>
      <c r="E26" s="85">
        <f t="shared" si="11"/>
        <v>0.32759295499021529</v>
      </c>
      <c r="F26" s="85">
        <f t="shared" si="11"/>
        <v>0.19647419519672968</v>
      </c>
      <c r="G26" s="85">
        <f t="shared" si="11"/>
        <v>0.33211811884797665</v>
      </c>
      <c r="H26" s="85">
        <f t="shared" si="11"/>
        <v>-0.27437916414294367</v>
      </c>
      <c r="I26" s="85">
        <f t="shared" si="11"/>
        <v>0.35886328192687578</v>
      </c>
      <c r="J26" s="85">
        <f t="shared" si="11"/>
        <v>0.31291526025937111</v>
      </c>
      <c r="K26" s="85">
        <f t="shared" si="11"/>
        <v>0.37029799706888128</v>
      </c>
      <c r="L26" s="85">
        <f t="shared" si="11"/>
        <v>0.37095959595959593</v>
      </c>
      <c r="M26" s="33"/>
    </row>
    <row r="27" spans="2:13" x14ac:dyDescent="0.25">
      <c r="B27" s="12" t="s">
        <v>65</v>
      </c>
      <c r="C27" s="29">
        <f t="shared" ref="C27:L27" si="12">C23-C25</f>
        <v>1616.9300000000112</v>
      </c>
      <c r="D27" s="29">
        <f t="shared" si="12"/>
        <v>1464.7799999999943</v>
      </c>
      <c r="E27" s="29">
        <f t="shared" si="12"/>
        <v>3436</v>
      </c>
      <c r="F27" s="29">
        <f t="shared" si="12"/>
        <v>6290</v>
      </c>
      <c r="G27" s="29">
        <f t="shared" si="12"/>
        <v>7328</v>
      </c>
      <c r="H27" s="29">
        <f t="shared" si="12"/>
        <v>4208</v>
      </c>
      <c r="I27" s="29">
        <f t="shared" si="12"/>
        <v>7400</v>
      </c>
      <c r="J27" s="29">
        <f t="shared" si="12"/>
        <v>19338</v>
      </c>
      <c r="K27" s="29">
        <f t="shared" si="12"/>
        <v>2578</v>
      </c>
      <c r="L27" s="29">
        <f t="shared" si="12"/>
        <v>7473</v>
      </c>
      <c r="M27" s="29">
        <f>M23-M25</f>
        <v>3045</v>
      </c>
    </row>
    <row r="28" spans="2:13" x14ac:dyDescent="0.25">
      <c r="B28" s="13" t="s">
        <v>73</v>
      </c>
      <c r="C28" s="84">
        <f>C27/C6</f>
        <v>3.0524521577731334E-2</v>
      </c>
      <c r="D28" s="84">
        <f t="shared" ref="D28:L28" si="13">D27/D6</f>
        <v>3.5256679496569583E-2</v>
      </c>
      <c r="E28" s="84">
        <f t="shared" si="13"/>
        <v>6.1794115531256744E-2</v>
      </c>
      <c r="F28" s="84">
        <f t="shared" si="13"/>
        <v>8.7442481197781266E-2</v>
      </c>
      <c r="G28" s="84">
        <f t="shared" si="13"/>
        <v>8.645893554514672E-2</v>
      </c>
      <c r="H28" s="84">
        <f t="shared" si="13"/>
        <v>5.7387556937511935E-2</v>
      </c>
      <c r="I28" s="84">
        <f t="shared" si="13"/>
        <v>9.2686531644935427E-2</v>
      </c>
      <c r="J28" s="84">
        <f t="shared" si="13"/>
        <v>0.13211633451981608</v>
      </c>
      <c r="K28" s="84">
        <f t="shared" si="13"/>
        <v>1.5533863581585924E-2</v>
      </c>
      <c r="L28" s="84">
        <f t="shared" si="13"/>
        <v>4.2701393095093881E-2</v>
      </c>
      <c r="M28" s="33"/>
    </row>
    <row r="29" spans="2:13" x14ac:dyDescent="0.25">
      <c r="B29" t="s">
        <v>66</v>
      </c>
      <c r="C29" s="29">
        <f>'Data Sheet'!B93</f>
        <v>241.72</v>
      </c>
      <c r="D29" s="29">
        <f>'Data Sheet'!C93</f>
        <v>241.72</v>
      </c>
      <c r="E29" s="29">
        <f>'Data Sheet'!D93</f>
        <v>241.72</v>
      </c>
      <c r="F29" s="29">
        <f>'Data Sheet'!E93</f>
        <v>241.72</v>
      </c>
      <c r="G29" s="29">
        <f>'Data Sheet'!F93</f>
        <v>241.72</v>
      </c>
      <c r="H29" s="29">
        <f>'Data Sheet'!G93</f>
        <v>241.72</v>
      </c>
      <c r="I29" s="29">
        <f>'Data Sheet'!H93</f>
        <v>241.72</v>
      </c>
      <c r="J29" s="29">
        <f>'Data Sheet'!I93</f>
        <v>241.72</v>
      </c>
      <c r="K29" s="29">
        <f>'Data Sheet'!J93</f>
        <v>241.72</v>
      </c>
      <c r="L29" s="29">
        <f>'Data Sheet'!K93</f>
        <v>244.55</v>
      </c>
      <c r="M29" s="29">
        <f>L29</f>
        <v>244.55</v>
      </c>
    </row>
    <row r="30" spans="2:13" x14ac:dyDescent="0.25"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2:13" x14ac:dyDescent="0.25">
      <c r="B31" t="s">
        <v>30</v>
      </c>
      <c r="C31" s="29">
        <f>C27/C29</f>
        <v>6.6892685752110346</v>
      </c>
      <c r="D31" s="29">
        <f t="shared" ref="D31:L31" si="14">D27/D29</f>
        <v>6.0598212808207608</v>
      </c>
      <c r="E31" s="29">
        <f t="shared" si="14"/>
        <v>14.214793976501738</v>
      </c>
      <c r="F31" s="29">
        <f t="shared" si="14"/>
        <v>26.021843455237466</v>
      </c>
      <c r="G31" s="29">
        <f t="shared" si="14"/>
        <v>30.316068178057257</v>
      </c>
      <c r="H31" s="29">
        <f t="shared" si="14"/>
        <v>17.408571901373492</v>
      </c>
      <c r="I31" s="29">
        <f t="shared" si="14"/>
        <v>30.61393347674996</v>
      </c>
      <c r="J31" s="29">
        <f t="shared" si="14"/>
        <v>80.001654807214962</v>
      </c>
      <c r="K31" s="29">
        <f t="shared" si="14"/>
        <v>10.665232500413701</v>
      </c>
      <c r="L31" s="29">
        <f t="shared" si="14"/>
        <v>30.558168063790635</v>
      </c>
      <c r="M31" s="29">
        <f>M27/M29</f>
        <v>12.451441423021876</v>
      </c>
    </row>
    <row r="32" spans="2:13" x14ac:dyDescent="0.25">
      <c r="B32" s="13" t="s">
        <v>76</v>
      </c>
      <c r="C32" s="30"/>
      <c r="D32" s="86">
        <f>D31/C31</f>
        <v>0.90590192525340252</v>
      </c>
      <c r="E32" s="86">
        <f t="shared" ref="E32:K32" si="15">E31/D31</f>
        <v>2.3457447534783471</v>
      </c>
      <c r="F32" s="86">
        <f t="shared" si="15"/>
        <v>1.8306169965075669</v>
      </c>
      <c r="G32" s="86">
        <f t="shared" si="15"/>
        <v>1.1650238473767884</v>
      </c>
      <c r="H32" s="86">
        <f t="shared" si="15"/>
        <v>0.57423580786026207</v>
      </c>
      <c r="I32" s="86">
        <f t="shared" si="15"/>
        <v>1.7585551330798479</v>
      </c>
      <c r="J32" s="86">
        <f t="shared" si="15"/>
        <v>2.6132432432432431</v>
      </c>
      <c r="K32" s="86">
        <f t="shared" si="15"/>
        <v>0.13331264867101045</v>
      </c>
      <c r="L32" s="86">
        <f>L31/K31</f>
        <v>2.8652134927771424</v>
      </c>
      <c r="M32" s="86">
        <f>M31/L31</f>
        <v>0.40746688077077475</v>
      </c>
    </row>
    <row r="33" spans="1:13" x14ac:dyDescent="0.25">
      <c r="B33" t="s">
        <v>67</v>
      </c>
      <c r="C33" s="29">
        <f>'Data Sheet'!B31/'Historical FS'!C29</f>
        <v>1.3777097468144961</v>
      </c>
      <c r="D33" s="29">
        <f>'Data Sheet'!C31/'Historical FS'!D29</f>
        <v>0.93364223068012575</v>
      </c>
      <c r="E33" s="29">
        <f>'Data Sheet'!D31/'Historical FS'!E29</f>
        <v>2.8017954658282309</v>
      </c>
      <c r="F33" s="29">
        <f>'Data Sheet'!E31/'Historical FS'!F29</f>
        <v>3.9980142313420486</v>
      </c>
      <c r="G33" s="29">
        <f>'Data Sheet'!F31/'Historical FS'!G29</f>
        <v>5.1054939599536651</v>
      </c>
      <c r="H33" s="29">
        <f>'Data Sheet'!G31/'Historical FS'!H29</f>
        <v>2.4904848585139829</v>
      </c>
      <c r="I33" s="29">
        <f>'Data Sheet'!H31/'Historical FS'!I29</f>
        <v>8.1209664074135368</v>
      </c>
      <c r="J33" s="29">
        <f>'Data Sheet'!I31/'Historical FS'!J29</f>
        <v>21.604956147608807</v>
      </c>
      <c r="K33" s="29">
        <f>'Data Sheet'!J31/'Historical FS'!K29</f>
        <v>4.2338242594737716</v>
      </c>
      <c r="L33" s="29">
        <f>'Data Sheet'!K31/'Historical FS'!L29</f>
        <v>9.1044776119402986</v>
      </c>
      <c r="M33">
        <v>0</v>
      </c>
    </row>
    <row r="34" spans="1:13" x14ac:dyDescent="0.25">
      <c r="B34" s="13" t="s">
        <v>75</v>
      </c>
      <c r="C34" s="86">
        <f>C33/C31</f>
        <v>0.20595820474602963</v>
      </c>
      <c r="D34" s="86">
        <f t="shared" ref="D34:M34" si="16">D33/D31</f>
        <v>0.15407091849970703</v>
      </c>
      <c r="E34" s="86">
        <f t="shared" si="16"/>
        <v>0.19710419091967402</v>
      </c>
      <c r="F34" s="86">
        <f t="shared" si="16"/>
        <v>0.15364069952305245</v>
      </c>
      <c r="G34" s="86">
        <f t="shared" si="16"/>
        <v>0.16840884279475982</v>
      </c>
      <c r="H34" s="86">
        <f t="shared" si="16"/>
        <v>0.14306083650190113</v>
      </c>
      <c r="I34" s="86">
        <f t="shared" si="16"/>
        <v>0.26527027027027028</v>
      </c>
      <c r="J34" s="86">
        <f t="shared" si="16"/>
        <v>0.27005636570482988</v>
      </c>
      <c r="K34" s="86">
        <f t="shared" si="16"/>
        <v>0.39697439875872775</v>
      </c>
      <c r="L34" s="86">
        <f t="shared" si="16"/>
        <v>0.29793924795932025</v>
      </c>
      <c r="M34" s="86">
        <f t="shared" si="16"/>
        <v>0</v>
      </c>
    </row>
    <row r="35" spans="1:13" x14ac:dyDescent="0.25">
      <c r="B35" t="s">
        <v>68</v>
      </c>
      <c r="C35" s="31">
        <f>C31-C33</f>
        <v>5.3115588283965387</v>
      </c>
      <c r="D35" s="31">
        <f t="shared" ref="D35:M35" si="17">D31-D33</f>
        <v>5.1261790501406352</v>
      </c>
      <c r="E35" s="31">
        <f t="shared" si="17"/>
        <v>11.412998510673507</v>
      </c>
      <c r="F35" s="31">
        <f t="shared" si="17"/>
        <v>22.023829223895419</v>
      </c>
      <c r="G35" s="31">
        <f t="shared" si="17"/>
        <v>25.210574218103591</v>
      </c>
      <c r="H35" s="31">
        <f t="shared" si="17"/>
        <v>14.918087042859508</v>
      </c>
      <c r="I35" s="31">
        <f t="shared" si="17"/>
        <v>22.492967069336423</v>
      </c>
      <c r="J35" s="31">
        <f t="shared" si="17"/>
        <v>58.396698659606159</v>
      </c>
      <c r="K35" s="31">
        <f t="shared" si="17"/>
        <v>6.4314082409399296</v>
      </c>
      <c r="L35" s="31">
        <f>L31-L33</f>
        <v>21.453690451850335</v>
      </c>
      <c r="M35" s="31">
        <f t="shared" si="17"/>
        <v>12.451441423021876</v>
      </c>
    </row>
    <row r="37" spans="1:13" x14ac:dyDescent="0.25">
      <c r="A37" t="s">
        <v>121</v>
      </c>
      <c r="B37" s="61" t="s">
        <v>78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9" spans="1:13" x14ac:dyDescent="0.25">
      <c r="B39" s="10" t="str">
        <f>'Data Sheet'!A57</f>
        <v>Equity Share Capital</v>
      </c>
      <c r="C39" s="29">
        <f>'Data Sheet'!B57</f>
        <v>302.75</v>
      </c>
      <c r="D39" s="29">
        <f>'Data Sheet'!C57</f>
        <v>300.89999999999998</v>
      </c>
      <c r="E39" s="29">
        <f>'Data Sheet'!D57</f>
        <v>301</v>
      </c>
      <c r="F39" s="29">
        <f>'Data Sheet'!E57</f>
        <v>302</v>
      </c>
      <c r="G39" s="29">
        <f>'Data Sheet'!F57</f>
        <v>301</v>
      </c>
      <c r="H39" s="29">
        <f>'Data Sheet'!G57</f>
        <v>301</v>
      </c>
      <c r="I39" s="29">
        <f>'Data Sheet'!H57</f>
        <v>302</v>
      </c>
      <c r="J39" s="29">
        <f>'Data Sheet'!I57</f>
        <v>301</v>
      </c>
      <c r="K39" s="29">
        <f>'Data Sheet'!J57</f>
        <v>301</v>
      </c>
      <c r="L39" s="29">
        <f>'Data Sheet'!K57</f>
        <v>305</v>
      </c>
    </row>
    <row r="40" spans="1:13" x14ac:dyDescent="0.25">
      <c r="B40" s="10" t="str">
        <f>'Data Sheet'!A58</f>
        <v>Reserves</v>
      </c>
      <c r="C40" s="29">
        <f>'Data Sheet'!B58</f>
        <v>21986.89</v>
      </c>
      <c r="D40" s="29">
        <f>'Data Sheet'!C58</f>
        <v>18664.55</v>
      </c>
      <c r="E40" s="29">
        <f>'Data Sheet'!D58</f>
        <v>22346</v>
      </c>
      <c r="F40" s="29">
        <f>'Data Sheet'!E58</f>
        <v>27696</v>
      </c>
      <c r="G40" s="29">
        <f>'Data Sheet'!F58</f>
        <v>34494</v>
      </c>
      <c r="H40" s="29">
        <f>'Data Sheet'!G58</f>
        <v>36298</v>
      </c>
      <c r="I40" s="29">
        <f>'Data Sheet'!H58</f>
        <v>46462</v>
      </c>
      <c r="J40" s="29">
        <f>'Data Sheet'!I58</f>
        <v>66996</v>
      </c>
      <c r="K40" s="29">
        <f>'Data Sheet'!J58</f>
        <v>65394</v>
      </c>
      <c r="L40" s="29">
        <f>'Data Sheet'!K58</f>
        <v>77364</v>
      </c>
    </row>
    <row r="41" spans="1:13" x14ac:dyDescent="0.25">
      <c r="B41" s="10" t="str">
        <f>'Data Sheet'!A59</f>
        <v>Borrowings</v>
      </c>
      <c r="C41" s="29">
        <f>'Data Sheet'!B59</f>
        <v>38754.26</v>
      </c>
      <c r="D41" s="29">
        <f>'Data Sheet'!C59</f>
        <v>42204.03</v>
      </c>
      <c r="E41" s="29">
        <f>'Data Sheet'!D59</f>
        <v>43334</v>
      </c>
      <c r="F41" s="29">
        <f>'Data Sheet'!E59</f>
        <v>39393</v>
      </c>
      <c r="G41" s="29">
        <f>'Data Sheet'!F59</f>
        <v>47396</v>
      </c>
      <c r="H41" s="29">
        <f>'Data Sheet'!G59</f>
        <v>61423</v>
      </c>
      <c r="I41" s="29">
        <f>'Data Sheet'!H59</f>
        <v>62392</v>
      </c>
      <c r="J41" s="29">
        <f>'Data Sheet'!I59</f>
        <v>72237</v>
      </c>
      <c r="K41" s="29">
        <f>'Data Sheet'!J59</f>
        <v>80853</v>
      </c>
      <c r="L41" s="29">
        <f>'Data Sheet'!K59</f>
        <v>87984</v>
      </c>
    </row>
    <row r="42" spans="1:13" x14ac:dyDescent="0.25">
      <c r="B42" s="10" t="str">
        <f>'Data Sheet'!A60</f>
        <v>Other Liabilities</v>
      </c>
      <c r="C42" s="29">
        <f>'Data Sheet'!B60</f>
        <v>24609.98</v>
      </c>
      <c r="D42" s="29">
        <f>'Data Sheet'!C60</f>
        <v>20737.419999999998</v>
      </c>
      <c r="E42" s="29">
        <f>'Data Sheet'!D60</f>
        <v>22024</v>
      </c>
      <c r="F42" s="29">
        <f>'Data Sheet'!E60</f>
        <v>24579</v>
      </c>
      <c r="G42" s="29">
        <f>'Data Sheet'!F60</f>
        <v>32606</v>
      </c>
      <c r="H42" s="29">
        <f>'Data Sheet'!G60</f>
        <v>33798</v>
      </c>
      <c r="I42" s="29">
        <f>'Data Sheet'!H60</f>
        <v>39161</v>
      </c>
      <c r="J42" s="29">
        <f>'Data Sheet'!I60</f>
        <v>56951</v>
      </c>
      <c r="K42" s="29">
        <f>'Data Sheet'!J60</f>
        <v>63991</v>
      </c>
      <c r="L42" s="29">
        <f>'Data Sheet'!K60</f>
        <v>62245</v>
      </c>
    </row>
    <row r="43" spans="1:13" x14ac:dyDescent="0.25">
      <c r="B43" s="11" t="s">
        <v>79</v>
      </c>
      <c r="C43" s="29">
        <f>SUM(C39:C42)</f>
        <v>85653.88</v>
      </c>
      <c r="D43" s="29">
        <f t="shared" ref="D43:L43" si="18">SUM(D39:D42)</f>
        <v>81906.899999999994</v>
      </c>
      <c r="E43" s="29">
        <f t="shared" si="18"/>
        <v>88005</v>
      </c>
      <c r="F43" s="29">
        <f t="shared" si="18"/>
        <v>91970</v>
      </c>
      <c r="G43" s="29">
        <f t="shared" si="18"/>
        <v>114797</v>
      </c>
      <c r="H43" s="29">
        <f t="shared" si="18"/>
        <v>131820</v>
      </c>
      <c r="I43" s="29">
        <f t="shared" si="18"/>
        <v>148317</v>
      </c>
      <c r="J43" s="29">
        <f t="shared" si="18"/>
        <v>196485</v>
      </c>
      <c r="K43" s="29">
        <f t="shared" si="18"/>
        <v>210539</v>
      </c>
      <c r="L43" s="29">
        <f t="shared" si="18"/>
        <v>227898</v>
      </c>
    </row>
    <row r="44" spans="1:13" x14ac:dyDescent="0.25">
      <c r="B44" s="10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3" x14ac:dyDescent="0.25">
      <c r="B45" s="10" t="s">
        <v>142</v>
      </c>
      <c r="C45" s="29">
        <f>'Data Sheet'!B62</f>
        <v>52176.28</v>
      </c>
      <c r="D45" s="29">
        <f>'Data Sheet'!C62</f>
        <v>56139.519999999997</v>
      </c>
      <c r="E45" s="29">
        <f>'Data Sheet'!D62</f>
        <v>58730</v>
      </c>
      <c r="F45" s="29">
        <f>'Data Sheet'!E62</f>
        <v>57848</v>
      </c>
      <c r="G45" s="29">
        <f>'Data Sheet'!F62</f>
        <v>62644</v>
      </c>
      <c r="H45" s="29">
        <f>'Data Sheet'!G62</f>
        <v>62085</v>
      </c>
      <c r="I45" s="29">
        <f>'Data Sheet'!H62</f>
        <v>64917</v>
      </c>
      <c r="J45" s="29">
        <f>'Data Sheet'!I62</f>
        <v>99880</v>
      </c>
      <c r="K45" s="29">
        <f>'Data Sheet'!J62</f>
        <v>104452</v>
      </c>
      <c r="L45" s="29">
        <f>'Data Sheet'!K62</f>
        <v>112461</v>
      </c>
    </row>
    <row r="46" spans="1:13" x14ac:dyDescent="0.25">
      <c r="B46" s="10" t="str">
        <f>'Data Sheet'!A63</f>
        <v>Capital Work in Progress</v>
      </c>
      <c r="C46" s="29">
        <f>'Data Sheet'!B63</f>
        <v>8265.27</v>
      </c>
      <c r="D46" s="29">
        <f>'Data Sheet'!C63</f>
        <v>7270.85</v>
      </c>
      <c r="E46" s="29">
        <f>'Data Sheet'!D63</f>
        <v>4363</v>
      </c>
      <c r="F46" s="29">
        <f>'Data Sheet'!E63</f>
        <v>5950</v>
      </c>
      <c r="G46" s="29">
        <f>'Data Sheet'!F63</f>
        <v>11889</v>
      </c>
      <c r="H46" s="29">
        <f>'Data Sheet'!G63</f>
        <v>27191</v>
      </c>
      <c r="I46" s="29">
        <f>'Data Sheet'!H63</f>
        <v>32566</v>
      </c>
      <c r="J46" s="29">
        <f>'Data Sheet'!I63</f>
        <v>16905</v>
      </c>
      <c r="K46" s="29">
        <f>'Data Sheet'!J63</f>
        <v>22166</v>
      </c>
      <c r="L46" s="29">
        <f>'Data Sheet'!K63</f>
        <v>29676</v>
      </c>
    </row>
    <row r="47" spans="1:13" x14ac:dyDescent="0.25">
      <c r="B47" s="10" t="str">
        <f>'Data Sheet'!A64</f>
        <v>Investments</v>
      </c>
      <c r="C47" s="29">
        <f>'Data Sheet'!B64</f>
        <v>599.25</v>
      </c>
      <c r="D47" s="29">
        <f>'Data Sheet'!C64</f>
        <v>1194.6099999999999</v>
      </c>
      <c r="E47" s="29">
        <f>'Data Sheet'!D64</f>
        <v>1366</v>
      </c>
      <c r="F47" s="29">
        <f>'Data Sheet'!E64</f>
        <v>1469</v>
      </c>
      <c r="G47" s="29">
        <f>'Data Sheet'!F64</f>
        <v>1894</v>
      </c>
      <c r="H47" s="29">
        <f>'Data Sheet'!G64</f>
        <v>1259</v>
      </c>
      <c r="I47" s="29">
        <f>'Data Sheet'!H64</f>
        <v>8581</v>
      </c>
      <c r="J47" s="29">
        <f>'Data Sheet'!I64</f>
        <v>4940</v>
      </c>
      <c r="K47" s="29">
        <f>'Data Sheet'!J64</f>
        <v>4806</v>
      </c>
      <c r="L47" s="29">
        <f>'Data Sheet'!K64</f>
        <v>7246</v>
      </c>
    </row>
    <row r="48" spans="1:13" x14ac:dyDescent="0.25">
      <c r="B48" s="10" t="str">
        <f>'Data Sheet'!A65</f>
        <v>Other Assets</v>
      </c>
      <c r="C48" s="29">
        <f>'Data Sheet'!B74</f>
        <v>9191.0400000000009</v>
      </c>
      <c r="D48" s="29">
        <f>'Data Sheet'!C74</f>
        <v>5232.9699999999993</v>
      </c>
      <c r="E48" s="29">
        <f>'Data Sheet'!D74</f>
        <v>6517</v>
      </c>
      <c r="F48" s="29">
        <f>'Data Sheet'!E74</f>
        <v>8342</v>
      </c>
      <c r="G48" s="29">
        <f>'Data Sheet'!F74</f>
        <v>10475</v>
      </c>
      <c r="H48" s="29">
        <f>'Data Sheet'!G74</f>
        <v>11004</v>
      </c>
      <c r="I48" s="29">
        <f>'Data Sheet'!H74</f>
        <v>10705</v>
      </c>
      <c r="J48" s="29">
        <f>'Data Sheet'!I74</f>
        <v>16133</v>
      </c>
      <c r="K48" s="29">
        <f>'Data Sheet'!J74</f>
        <v>18132</v>
      </c>
      <c r="L48" s="29">
        <f>'Data Sheet'!K74</f>
        <v>20804</v>
      </c>
    </row>
    <row r="49" spans="1:14" x14ac:dyDescent="0.25">
      <c r="B49" s="11" t="s">
        <v>82</v>
      </c>
      <c r="C49" s="29">
        <f>SUM(C45:C48)</f>
        <v>70231.839999999997</v>
      </c>
      <c r="D49" s="29">
        <f t="shared" ref="D49:L49" si="19">SUM(D45:D48)</f>
        <v>69837.95</v>
      </c>
      <c r="E49" s="29">
        <f t="shared" si="19"/>
        <v>70976</v>
      </c>
      <c r="F49" s="29">
        <f t="shared" si="19"/>
        <v>73609</v>
      </c>
      <c r="G49" s="29">
        <f t="shared" si="19"/>
        <v>86902</v>
      </c>
      <c r="H49" s="29">
        <f t="shared" si="19"/>
        <v>101539</v>
      </c>
      <c r="I49" s="29">
        <f t="shared" si="19"/>
        <v>116769</v>
      </c>
      <c r="J49" s="29">
        <f t="shared" si="19"/>
        <v>137858</v>
      </c>
      <c r="K49" s="29">
        <f t="shared" si="19"/>
        <v>149556</v>
      </c>
      <c r="L49" s="29">
        <f t="shared" si="19"/>
        <v>170187</v>
      </c>
    </row>
    <row r="50" spans="1:14" x14ac:dyDescent="0.25">
      <c r="B50" s="10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4" x14ac:dyDescent="0.25">
      <c r="B51" s="10" t="str">
        <f>'Data Sheet'!A67</f>
        <v>Receivables</v>
      </c>
      <c r="C51" s="29">
        <f>'Data Sheet'!B67</f>
        <v>2499.75</v>
      </c>
      <c r="D51" s="29">
        <f>'Data Sheet'!C67</f>
        <v>2727.37</v>
      </c>
      <c r="E51" s="29">
        <f>'Data Sheet'!D67</f>
        <v>4149</v>
      </c>
      <c r="F51" s="29">
        <f>'Data Sheet'!E67</f>
        <v>4704</v>
      </c>
      <c r="G51" s="29">
        <f>'Data Sheet'!F67</f>
        <v>7160</v>
      </c>
      <c r="H51" s="29">
        <f>'Data Sheet'!G67</f>
        <v>4505</v>
      </c>
      <c r="I51" s="29">
        <f>'Data Sheet'!H67</f>
        <v>4486</v>
      </c>
      <c r="J51" s="29">
        <f>'Data Sheet'!I67</f>
        <v>7457</v>
      </c>
      <c r="K51" s="29">
        <f>'Data Sheet'!J67</f>
        <v>7134</v>
      </c>
      <c r="L51" s="29">
        <f>'Data Sheet'!K67</f>
        <v>7548</v>
      </c>
    </row>
    <row r="52" spans="1:14" x14ac:dyDescent="0.25">
      <c r="B52" s="10" t="str">
        <f>'Data Sheet'!A68</f>
        <v>Inventory</v>
      </c>
      <c r="C52" s="29">
        <f>'Data Sheet'!B68</f>
        <v>11009.04</v>
      </c>
      <c r="D52" s="29">
        <f>'Data Sheet'!C68</f>
        <v>8321.18</v>
      </c>
      <c r="E52" s="29">
        <f>'Data Sheet'!D68</f>
        <v>11395</v>
      </c>
      <c r="F52" s="29">
        <f>'Data Sheet'!E68</f>
        <v>12594</v>
      </c>
      <c r="G52" s="29">
        <f>'Data Sheet'!F68</f>
        <v>14548</v>
      </c>
      <c r="H52" s="29">
        <f>'Data Sheet'!G68</f>
        <v>13773</v>
      </c>
      <c r="I52" s="29">
        <f>'Data Sheet'!H68</f>
        <v>14249</v>
      </c>
      <c r="J52" s="29">
        <f>'Data Sheet'!I68</f>
        <v>33787</v>
      </c>
      <c r="K52" s="29">
        <f>'Data Sheet'!J68</f>
        <v>33135</v>
      </c>
      <c r="L52" s="29">
        <f>'Data Sheet'!K68</f>
        <v>37815</v>
      </c>
    </row>
    <row r="53" spans="1:14" x14ac:dyDescent="0.25">
      <c r="B53" s="10" t="str">
        <f>'Data Sheet'!A69</f>
        <v>Cash &amp; Bank</v>
      </c>
      <c r="C53" s="29">
        <f>'Data Sheet'!B69</f>
        <v>1913.25</v>
      </c>
      <c r="D53" s="29">
        <f>'Data Sheet'!C69</f>
        <v>1020.4</v>
      </c>
      <c r="E53" s="29">
        <f>'Data Sheet'!D69</f>
        <v>1485</v>
      </c>
      <c r="F53" s="29">
        <f>'Data Sheet'!E69</f>
        <v>1063</v>
      </c>
      <c r="G53" s="29">
        <f>'Data Sheet'!F69</f>
        <v>6187</v>
      </c>
      <c r="H53" s="29">
        <f>'Data Sheet'!G69</f>
        <v>12003</v>
      </c>
      <c r="I53" s="29">
        <f>'Data Sheet'!H69</f>
        <v>12813</v>
      </c>
      <c r="J53" s="29">
        <f>'Data Sheet'!I69</f>
        <v>17383</v>
      </c>
      <c r="K53" s="29">
        <f>'Data Sheet'!J69</f>
        <v>20714</v>
      </c>
      <c r="L53" s="29">
        <f>'Data Sheet'!K69</f>
        <v>12348</v>
      </c>
    </row>
    <row r="54" spans="1:14" x14ac:dyDescent="0.25">
      <c r="B54" s="11" t="s">
        <v>81</v>
      </c>
      <c r="C54" s="29">
        <f>SUM(C51:C53)</f>
        <v>15422.04</v>
      </c>
      <c r="D54" s="29">
        <f t="shared" ref="D54:L54" si="20">SUM(D51:D53)</f>
        <v>12068.949999999999</v>
      </c>
      <c r="E54" s="29">
        <f t="shared" si="20"/>
        <v>17029</v>
      </c>
      <c r="F54" s="29">
        <f t="shared" si="20"/>
        <v>18361</v>
      </c>
      <c r="G54" s="29">
        <f t="shared" si="20"/>
        <v>27895</v>
      </c>
      <c r="H54" s="29">
        <f t="shared" si="20"/>
        <v>30281</v>
      </c>
      <c r="I54" s="29">
        <f t="shared" si="20"/>
        <v>31548</v>
      </c>
      <c r="J54" s="29">
        <f t="shared" si="20"/>
        <v>58627</v>
      </c>
      <c r="K54" s="29">
        <f t="shared" si="20"/>
        <v>60983</v>
      </c>
      <c r="L54" s="29">
        <f t="shared" si="20"/>
        <v>57711</v>
      </c>
    </row>
    <row r="55" spans="1:14" x14ac:dyDescent="0.25">
      <c r="B55" s="10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4" x14ac:dyDescent="0.25">
      <c r="B56" s="11" t="s">
        <v>80</v>
      </c>
      <c r="C56" s="29">
        <f>SUM(C49,C54)</f>
        <v>85653.88</v>
      </c>
      <c r="D56" s="29">
        <f t="shared" ref="D56:L56" si="21">SUM(D49,D54)</f>
        <v>81906.899999999994</v>
      </c>
      <c r="E56" s="29">
        <f t="shared" si="21"/>
        <v>88005</v>
      </c>
      <c r="F56" s="29">
        <f t="shared" si="21"/>
        <v>91970</v>
      </c>
      <c r="G56" s="29">
        <f t="shared" si="21"/>
        <v>114797</v>
      </c>
      <c r="H56" s="29">
        <f t="shared" si="21"/>
        <v>131820</v>
      </c>
      <c r="I56" s="29">
        <f t="shared" si="21"/>
        <v>148317</v>
      </c>
      <c r="J56" s="29">
        <f t="shared" si="21"/>
        <v>196485</v>
      </c>
      <c r="K56" s="29">
        <f t="shared" si="21"/>
        <v>210539</v>
      </c>
      <c r="L56" s="29">
        <f t="shared" si="21"/>
        <v>227898</v>
      </c>
    </row>
    <row r="57" spans="1:14" x14ac:dyDescent="0.25">
      <c r="B57" s="10"/>
    </row>
    <row r="58" spans="1:14" x14ac:dyDescent="0.25">
      <c r="B58" s="17" t="s">
        <v>84</v>
      </c>
      <c r="C58" s="18" t="b">
        <f>C43=C56</f>
        <v>1</v>
      </c>
      <c r="D58" s="18" t="b">
        <f t="shared" ref="D58:L58" si="22">D43=D56</f>
        <v>1</v>
      </c>
      <c r="E58" s="18" t="b">
        <f t="shared" si="22"/>
        <v>1</v>
      </c>
      <c r="F58" s="18" t="b">
        <f t="shared" si="22"/>
        <v>1</v>
      </c>
      <c r="G58" s="18" t="b">
        <f t="shared" si="22"/>
        <v>1</v>
      </c>
      <c r="H58" s="18" t="b">
        <f t="shared" si="22"/>
        <v>1</v>
      </c>
      <c r="I58" s="18" t="b">
        <f t="shared" si="22"/>
        <v>1</v>
      </c>
      <c r="J58" s="18" t="b">
        <f t="shared" si="22"/>
        <v>1</v>
      </c>
      <c r="K58" s="18" t="b">
        <f t="shared" si="22"/>
        <v>1</v>
      </c>
      <c r="L58" s="18" t="b">
        <f t="shared" si="22"/>
        <v>1</v>
      </c>
    </row>
    <row r="59" spans="1:14" x14ac:dyDescent="0.25">
      <c r="B59" s="10"/>
    </row>
    <row r="60" spans="1:14" x14ac:dyDescent="0.25">
      <c r="A60" t="s">
        <v>121</v>
      </c>
      <c r="B60" s="61" t="s">
        <v>85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2" spans="1:14" x14ac:dyDescent="0.25">
      <c r="B62" s="26" t="s">
        <v>114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x14ac:dyDescent="0.25">
      <c r="B63" s="27" t="str">
        <f>'Cash Flow demo'!A3</f>
        <v>Profit from operations</v>
      </c>
      <c r="C63" s="28">
        <f>'Cash Flow demo'!D3</f>
        <v>8850</v>
      </c>
      <c r="D63" s="28">
        <f>'Cash Flow demo'!E3</f>
        <v>6614</v>
      </c>
      <c r="E63" s="28">
        <f>'Cash Flow demo'!F3</f>
        <v>11994</v>
      </c>
      <c r="F63" s="28">
        <f>'Cash Flow demo'!G3</f>
        <v>14920</v>
      </c>
      <c r="G63" s="28">
        <f>'Cash Flow demo'!H3</f>
        <v>18844</v>
      </c>
      <c r="H63" s="28">
        <f>'Cash Flow demo'!I3</f>
        <v>12301</v>
      </c>
      <c r="I63" s="28">
        <f>'Cash Flow demo'!J3</f>
        <v>19455</v>
      </c>
      <c r="J63" s="28">
        <f>'Cash Flow demo'!K3</f>
        <v>38913</v>
      </c>
      <c r="K63" s="28">
        <f>'Cash Flow demo'!L3</f>
        <v>20856</v>
      </c>
      <c r="L63" s="28">
        <f>'Cash Flow demo'!M3</f>
        <v>28472</v>
      </c>
      <c r="M63" s="20"/>
      <c r="N63" s="20"/>
    </row>
    <row r="64" spans="1:14" x14ac:dyDescent="0.25">
      <c r="B64" s="27" t="str">
        <f>'Cash Flow demo'!A4</f>
        <v>Receivables</v>
      </c>
      <c r="C64" s="28">
        <f>'Cash Flow demo'!D4</f>
        <v>-207</v>
      </c>
      <c r="D64" s="28">
        <f>'Cash Flow demo'!E4</f>
        <v>-294</v>
      </c>
      <c r="E64" s="28">
        <f>'Cash Flow demo'!F4</f>
        <v>-1352</v>
      </c>
      <c r="F64" s="28">
        <f>'Cash Flow demo'!G4</f>
        <v>-640</v>
      </c>
      <c r="G64" s="28">
        <f>'Cash Flow demo'!H4</f>
        <v>-2203</v>
      </c>
      <c r="H64" s="28">
        <f>'Cash Flow demo'!I4</f>
        <v>2458</v>
      </c>
      <c r="I64" s="28">
        <f>'Cash Flow demo'!J4</f>
        <v>72</v>
      </c>
      <c r="J64" s="28">
        <f>'Cash Flow demo'!K4</f>
        <v>-1884</v>
      </c>
      <c r="K64" s="28">
        <f>'Cash Flow demo'!L4</f>
        <v>317</v>
      </c>
      <c r="L64" s="28">
        <f>'Cash Flow demo'!M4</f>
        <v>-154</v>
      </c>
      <c r="M64" s="23"/>
      <c r="N64" s="23"/>
    </row>
    <row r="65" spans="2:14" x14ac:dyDescent="0.25">
      <c r="B65" s="27" t="str">
        <f>'Cash Flow demo'!A5</f>
        <v>Inventory</v>
      </c>
      <c r="C65" s="28">
        <f>'Cash Flow demo'!D5</f>
        <v>-2854</v>
      </c>
      <c r="D65" s="28">
        <f>'Cash Flow demo'!E5</f>
        <v>2578</v>
      </c>
      <c r="E65" s="28">
        <f>'Cash Flow demo'!F5</f>
        <v>-3065</v>
      </c>
      <c r="F65" s="28">
        <f>'Cash Flow demo'!G5</f>
        <v>-1199</v>
      </c>
      <c r="G65" s="28">
        <f>'Cash Flow demo'!H5</f>
        <v>-1741</v>
      </c>
      <c r="H65" s="28">
        <f>'Cash Flow demo'!I5</f>
        <v>744</v>
      </c>
      <c r="I65" s="28">
        <f>'Cash Flow demo'!J5</f>
        <v>-335</v>
      </c>
      <c r="J65" s="28">
        <f>'Cash Flow demo'!K5</f>
        <v>-15593</v>
      </c>
      <c r="K65" s="28">
        <f>'Cash Flow demo'!L5</f>
        <v>704</v>
      </c>
      <c r="L65" s="28">
        <f>'Cash Flow demo'!M5</f>
        <v>-3284</v>
      </c>
      <c r="M65" s="23"/>
      <c r="N65" s="24"/>
    </row>
    <row r="66" spans="2:14" x14ac:dyDescent="0.25">
      <c r="B66" s="27" t="str">
        <f>'Cash Flow demo'!A6</f>
        <v>Payables</v>
      </c>
      <c r="C66" s="28">
        <f>'Cash Flow demo'!D6</f>
        <v>2543</v>
      </c>
      <c r="D66" s="28">
        <f>'Cash Flow demo'!E6</f>
        <v>-2143</v>
      </c>
      <c r="E66" s="28">
        <f>'Cash Flow demo'!F6</f>
        <v>1561</v>
      </c>
      <c r="F66" s="28">
        <f>'Cash Flow demo'!G6</f>
        <v>2514</v>
      </c>
      <c r="G66" s="28">
        <f>'Cash Flow demo'!H6</f>
        <v>3406</v>
      </c>
      <c r="H66" s="28">
        <f>'Cash Flow demo'!I6</f>
        <v>183</v>
      </c>
      <c r="I66" s="28">
        <f>'Cash Flow demo'!J6</f>
        <v>1306</v>
      </c>
      <c r="J66" s="28">
        <f>'Cash Flow demo'!K6</f>
        <v>13013</v>
      </c>
      <c r="K66" s="28">
        <f>'Cash Flow demo'!L6</f>
        <v>4965</v>
      </c>
      <c r="L66" s="28">
        <f>'Cash Flow demo'!M6</f>
        <v>-7235</v>
      </c>
      <c r="M66" s="24"/>
      <c r="N66" s="24"/>
    </row>
    <row r="67" spans="2:14" x14ac:dyDescent="0.25">
      <c r="B67" s="27" t="str">
        <f>'Cash Flow demo'!A7</f>
        <v>Loans Advances</v>
      </c>
      <c r="C67" s="28">
        <f>'Cash Flow demo'!D7</f>
        <v>286</v>
      </c>
      <c r="D67" s="28">
        <f>'Cash Flow demo'!E7</f>
        <v>0</v>
      </c>
      <c r="E67" s="28">
        <f>'Cash Flow demo'!F7</f>
        <v>0</v>
      </c>
      <c r="F67" s="28">
        <f>'Cash Flow demo'!G7</f>
        <v>0</v>
      </c>
      <c r="G67" s="28">
        <f>'Cash Flow demo'!H7</f>
        <v>0</v>
      </c>
      <c r="H67" s="28">
        <f>'Cash Flow demo'!I7</f>
        <v>0</v>
      </c>
      <c r="I67" s="28">
        <f>'Cash Flow demo'!J7</f>
        <v>0</v>
      </c>
      <c r="J67" s="28">
        <f>'Cash Flow demo'!K7</f>
        <v>0</v>
      </c>
      <c r="K67" s="28">
        <f>'Cash Flow demo'!L7</f>
        <v>0</v>
      </c>
      <c r="L67" s="28">
        <f>'Cash Flow demo'!M7</f>
        <v>0</v>
      </c>
      <c r="M67" s="23"/>
      <c r="N67" s="23"/>
    </row>
    <row r="68" spans="2:14" x14ac:dyDescent="0.25">
      <c r="B68" s="27" t="str">
        <f>'Cash Flow demo'!A8</f>
        <v>Other WC items</v>
      </c>
      <c r="C68" s="28">
        <f>'Cash Flow demo'!D8</f>
        <v>31</v>
      </c>
      <c r="D68" s="28">
        <f>'Cash Flow demo'!E8</f>
        <v>351</v>
      </c>
      <c r="E68" s="28">
        <f>'Cash Flow demo'!F8</f>
        <v>-1013</v>
      </c>
      <c r="F68" s="28">
        <f>'Cash Flow demo'!G8</f>
        <v>-1776</v>
      </c>
      <c r="G68" s="28">
        <f>'Cash Flow demo'!H8</f>
        <v>-1043</v>
      </c>
      <c r="H68" s="28">
        <f>'Cash Flow demo'!I8</f>
        <v>-1746</v>
      </c>
      <c r="I68" s="28">
        <f>'Cash Flow demo'!J8</f>
        <v>221</v>
      </c>
      <c r="J68" s="28">
        <f>'Cash Flow demo'!K8</f>
        <v>-2800</v>
      </c>
      <c r="K68" s="28">
        <f>'Cash Flow demo'!L8</f>
        <v>-2881</v>
      </c>
      <c r="L68" s="28">
        <f>'Cash Flow demo'!M8</f>
        <v>-2942</v>
      </c>
      <c r="M68" s="24"/>
      <c r="N68" s="24"/>
    </row>
    <row r="69" spans="2:14" x14ac:dyDescent="0.25">
      <c r="B69" s="27" t="str">
        <f>'Cash Flow demo'!A9</f>
        <v>Working capital changes</v>
      </c>
      <c r="C69" s="28">
        <f>'Cash Flow demo'!D9</f>
        <v>-202</v>
      </c>
      <c r="D69" s="28">
        <f>'Cash Flow demo'!E9</f>
        <v>491</v>
      </c>
      <c r="E69" s="28">
        <f>'Cash Flow demo'!F9</f>
        <v>-3869</v>
      </c>
      <c r="F69" s="28">
        <f>'Cash Flow demo'!G9</f>
        <v>-1101</v>
      </c>
      <c r="G69" s="28">
        <f>'Cash Flow demo'!H9</f>
        <v>-1581</v>
      </c>
      <c r="H69" s="28">
        <f>'Cash Flow demo'!I9</f>
        <v>1639</v>
      </c>
      <c r="I69" s="28">
        <f>'Cash Flow demo'!J9</f>
        <v>1264</v>
      </c>
      <c r="J69" s="28">
        <f>'Cash Flow demo'!K9</f>
        <v>-7264</v>
      </c>
      <c r="K69" s="28">
        <f>'Cash Flow demo'!L9</f>
        <v>3105</v>
      </c>
      <c r="L69" s="28">
        <f>'Cash Flow demo'!M9</f>
        <v>-13615</v>
      </c>
      <c r="M69" s="20"/>
      <c r="N69" s="20"/>
    </row>
    <row r="70" spans="2:14" x14ac:dyDescent="0.25">
      <c r="B70" s="27" t="str">
        <f>'Cash Flow demo'!A10</f>
        <v>Direct taxes</v>
      </c>
      <c r="C70" s="28">
        <f>'Cash Flow demo'!D10</f>
        <v>-773</v>
      </c>
      <c r="D70" s="28">
        <f>'Cash Flow demo'!E10</f>
        <v>-207</v>
      </c>
      <c r="E70" s="28">
        <f>'Cash Flow demo'!F10</f>
        <v>-237</v>
      </c>
      <c r="F70" s="28">
        <f>'Cash Flow demo'!G10</f>
        <v>-1440</v>
      </c>
      <c r="G70" s="28">
        <f>'Cash Flow demo'!H10</f>
        <v>-2630</v>
      </c>
      <c r="H70" s="28">
        <f>'Cash Flow demo'!I10</f>
        <v>-1155</v>
      </c>
      <c r="I70" s="28">
        <f>'Cash Flow demo'!J10</f>
        <v>-1930</v>
      </c>
      <c r="J70" s="28">
        <f>'Cash Flow demo'!K10</f>
        <v>-5379</v>
      </c>
      <c r="K70" s="28">
        <f>'Cash Flow demo'!L10</f>
        <v>-638</v>
      </c>
      <c r="L70" s="28">
        <f>'Cash Flow demo'!M10</f>
        <v>-2779</v>
      </c>
      <c r="M70" s="23"/>
      <c r="N70" s="24"/>
    </row>
    <row r="71" spans="2:14" x14ac:dyDescent="0.25">
      <c r="B71" s="32" t="s">
        <v>115</v>
      </c>
      <c r="C71" s="29">
        <f t="shared" ref="C71:J71" si="23">C63+C69+C70</f>
        <v>7875</v>
      </c>
      <c r="D71" s="29">
        <f t="shared" si="23"/>
        <v>6898</v>
      </c>
      <c r="E71" s="29">
        <f t="shared" si="23"/>
        <v>7888</v>
      </c>
      <c r="F71" s="29">
        <f t="shared" si="23"/>
        <v>12379</v>
      </c>
      <c r="G71" s="29">
        <f t="shared" si="23"/>
        <v>14633</v>
      </c>
      <c r="H71" s="29">
        <f t="shared" si="23"/>
        <v>12785</v>
      </c>
      <c r="I71" s="29">
        <f t="shared" si="23"/>
        <v>18789</v>
      </c>
      <c r="J71" s="29">
        <f t="shared" si="23"/>
        <v>26270</v>
      </c>
      <c r="K71" s="29">
        <f>K63+K69+K70</f>
        <v>23323</v>
      </c>
      <c r="L71" s="29">
        <f>L63+L69+L70</f>
        <v>12078</v>
      </c>
      <c r="M71" s="29"/>
      <c r="N71" s="20"/>
    </row>
    <row r="72" spans="2:14" x14ac:dyDescent="0.25">
      <c r="B72" s="26" t="s">
        <v>116</v>
      </c>
      <c r="C72" s="29"/>
      <c r="D72" s="29"/>
      <c r="E72" s="29"/>
      <c r="F72" s="29"/>
      <c r="G72" s="29"/>
      <c r="H72" s="29"/>
      <c r="I72" s="29"/>
      <c r="J72" s="29"/>
      <c r="M72" s="29"/>
      <c r="N72" s="24"/>
    </row>
    <row r="73" spans="2:14" x14ac:dyDescent="0.25">
      <c r="B73" s="22" t="str">
        <f>'Cash Flow demo'!A12</f>
        <v>Fixed assets purchased</v>
      </c>
      <c r="C73" s="29">
        <f>'Cash Flow demo'!D12</f>
        <v>-6721</v>
      </c>
      <c r="D73" s="29">
        <f>'Cash Flow demo'!E12</f>
        <v>-5166</v>
      </c>
      <c r="E73" s="29">
        <f>'Cash Flow demo'!F12</f>
        <v>-4435</v>
      </c>
      <c r="F73" s="29">
        <f>'Cash Flow demo'!G12</f>
        <v>-4736</v>
      </c>
      <c r="G73" s="29">
        <f>'Cash Flow demo'!H12</f>
        <v>-10206</v>
      </c>
      <c r="H73" s="29">
        <f>'Cash Flow demo'!I12</f>
        <v>-12810</v>
      </c>
      <c r="I73" s="29">
        <f>'Cash Flow demo'!J12</f>
        <v>-9258</v>
      </c>
      <c r="J73" s="29">
        <f>'Cash Flow demo'!K12</f>
        <v>-10091</v>
      </c>
      <c r="K73" s="29">
        <f>'Cash Flow demo'!L12</f>
        <v>-14784</v>
      </c>
      <c r="L73" s="29">
        <f>'Cash Flow demo'!M12</f>
        <v>-15801</v>
      </c>
      <c r="M73" s="29"/>
      <c r="N73" s="23"/>
    </row>
    <row r="74" spans="2:14" x14ac:dyDescent="0.25">
      <c r="B74" s="22" t="str">
        <f>'Cash Flow demo'!A13</f>
        <v>Fixed assets sold</v>
      </c>
      <c r="C74" s="29">
        <f>'Cash Flow demo'!D13</f>
        <v>207</v>
      </c>
      <c r="D74" s="29">
        <f>'Cash Flow demo'!E13</f>
        <v>4</v>
      </c>
      <c r="E74" s="29">
        <f>'Cash Flow demo'!F13</f>
        <v>45</v>
      </c>
      <c r="F74" s="29">
        <f>'Cash Flow demo'!G13</f>
        <v>60</v>
      </c>
      <c r="G74" s="29">
        <f>'Cash Flow demo'!H13</f>
        <v>44</v>
      </c>
      <c r="H74" s="29">
        <f>'Cash Flow demo'!I13</f>
        <v>43</v>
      </c>
      <c r="I74" s="29">
        <f>'Cash Flow demo'!J13</f>
        <v>51</v>
      </c>
      <c r="J74" s="29">
        <f>'Cash Flow demo'!K13</f>
        <v>43</v>
      </c>
      <c r="K74" s="29">
        <f>'Cash Flow demo'!L13</f>
        <v>35</v>
      </c>
      <c r="L74" s="29">
        <f>'Cash Flow demo'!M13</f>
        <v>254</v>
      </c>
      <c r="M74" s="29"/>
      <c r="N74" s="24"/>
    </row>
    <row r="75" spans="2:14" x14ac:dyDescent="0.25">
      <c r="B75" s="22" t="str">
        <f>'Cash Flow demo'!A14</f>
        <v>Investments purchased</v>
      </c>
      <c r="C75" s="29">
        <f>'Cash Flow demo'!D14</f>
        <v>0</v>
      </c>
      <c r="D75" s="29">
        <f>'Cash Flow demo'!E14</f>
        <v>0</v>
      </c>
      <c r="E75" s="29">
        <f>'Cash Flow demo'!F14</f>
        <v>-2784</v>
      </c>
      <c r="F75" s="29">
        <f>'Cash Flow demo'!G14</f>
        <v>-8111</v>
      </c>
      <c r="G75" s="29">
        <f>'Cash Flow demo'!H14</f>
        <v>-8340</v>
      </c>
      <c r="H75" s="29">
        <f>'Cash Flow demo'!I14</f>
        <v>-762</v>
      </c>
      <c r="I75" s="29">
        <f>'Cash Flow demo'!J14</f>
        <v>-606</v>
      </c>
      <c r="J75" s="29">
        <f>'Cash Flow demo'!K14</f>
        <v>-4440</v>
      </c>
      <c r="K75" s="29">
        <f>'Cash Flow demo'!L14</f>
        <v>0</v>
      </c>
      <c r="L75" s="29">
        <f>'Cash Flow demo'!M14</f>
        <v>-3584</v>
      </c>
      <c r="M75" s="29"/>
      <c r="N75" s="24"/>
    </row>
    <row r="76" spans="2:14" x14ac:dyDescent="0.25">
      <c r="B76" s="22" t="str">
        <f>'Cash Flow demo'!A15</f>
        <v>Investments sold</v>
      </c>
      <c r="C76" s="29">
        <f>'Cash Flow demo'!D15</f>
        <v>70</v>
      </c>
      <c r="D76" s="29">
        <f>'Cash Flow demo'!E15</f>
        <v>0</v>
      </c>
      <c r="E76" s="29">
        <f>'Cash Flow demo'!F15</f>
        <v>2490</v>
      </c>
      <c r="F76" s="29">
        <f>'Cash Flow demo'!G15</f>
        <v>8120</v>
      </c>
      <c r="G76" s="29">
        <f>'Cash Flow demo'!H15</f>
        <v>8591</v>
      </c>
      <c r="H76" s="29">
        <f>'Cash Flow demo'!I15</f>
        <v>847</v>
      </c>
      <c r="I76" s="29">
        <f>'Cash Flow demo'!J15</f>
        <v>612</v>
      </c>
      <c r="J76" s="29">
        <f>'Cash Flow demo'!K15</f>
        <v>4153</v>
      </c>
      <c r="K76" s="29">
        <f>'Cash Flow demo'!L15</f>
        <v>5</v>
      </c>
      <c r="L76" s="29">
        <f>'Cash Flow demo'!M15</f>
        <v>3635</v>
      </c>
      <c r="M76" s="29"/>
      <c r="N76" s="23"/>
    </row>
    <row r="77" spans="2:14" x14ac:dyDescent="0.25">
      <c r="B77" s="22" t="str">
        <f>'Cash Flow demo'!A16</f>
        <v>Interest received</v>
      </c>
      <c r="C77" s="29">
        <f>'Cash Flow demo'!D16</f>
        <v>26</v>
      </c>
      <c r="D77" s="29">
        <f>'Cash Flow demo'!E16</f>
        <v>41</v>
      </c>
      <c r="E77" s="29">
        <f>'Cash Flow demo'!F16</f>
        <v>98</v>
      </c>
      <c r="F77" s="29">
        <f>'Cash Flow demo'!G16</f>
        <v>121</v>
      </c>
      <c r="G77" s="29">
        <f>'Cash Flow demo'!H16</f>
        <v>158</v>
      </c>
      <c r="H77" s="29">
        <f>'Cash Flow demo'!I16</f>
        <v>503</v>
      </c>
      <c r="I77" s="29">
        <f>'Cash Flow demo'!J16</f>
        <v>619</v>
      </c>
      <c r="J77" s="29">
        <f>'Cash Flow demo'!K16</f>
        <v>591</v>
      </c>
      <c r="K77" s="29">
        <f>'Cash Flow demo'!L16</f>
        <v>600</v>
      </c>
      <c r="L77" s="29">
        <f>'Cash Flow demo'!M16</f>
        <v>899</v>
      </c>
      <c r="M77" s="29"/>
      <c r="N77" s="23"/>
    </row>
    <row r="78" spans="2:14" x14ac:dyDescent="0.25">
      <c r="B78" s="22" t="str">
        <f>'Cash Flow demo'!A17</f>
        <v>Dividends received</v>
      </c>
      <c r="C78" s="29">
        <f>'Cash Flow demo'!D17</f>
        <v>21</v>
      </c>
      <c r="D78" s="29">
        <f>'Cash Flow demo'!E17</f>
        <v>20</v>
      </c>
      <c r="E78" s="29">
        <f>'Cash Flow demo'!F17</f>
        <v>20</v>
      </c>
      <c r="F78" s="29">
        <f>'Cash Flow demo'!G17</f>
        <v>5</v>
      </c>
      <c r="G78" s="29">
        <f>'Cash Flow demo'!H17</f>
        <v>0</v>
      </c>
      <c r="H78" s="29">
        <f>'Cash Flow demo'!I17</f>
        <v>10</v>
      </c>
      <c r="I78" s="29">
        <f>'Cash Flow demo'!J17</f>
        <v>11</v>
      </c>
      <c r="J78" s="29">
        <f>'Cash Flow demo'!K17</f>
        <v>25</v>
      </c>
      <c r="K78" s="29">
        <f>'Cash Flow demo'!L17</f>
        <v>21</v>
      </c>
      <c r="L78" s="29">
        <f>'Cash Flow demo'!M17</f>
        <v>21</v>
      </c>
      <c r="M78" s="29"/>
      <c r="N78" s="23"/>
    </row>
    <row r="79" spans="2:14" x14ac:dyDescent="0.25">
      <c r="B79" s="22" t="str">
        <f>'Cash Flow demo'!A18</f>
        <v>Investment in group cos</v>
      </c>
      <c r="C79" s="29">
        <f>'Cash Flow demo'!D18</f>
        <v>-40</v>
      </c>
      <c r="D79" s="29">
        <f>'Cash Flow demo'!E18</f>
        <v>-9</v>
      </c>
      <c r="E79" s="29">
        <f>'Cash Flow demo'!F18</f>
        <v>-37</v>
      </c>
      <c r="F79" s="29">
        <f>'Cash Flow demo'!G18</f>
        <v>-46</v>
      </c>
      <c r="G79" s="29">
        <f>'Cash Flow demo'!H18</f>
        <v>-413</v>
      </c>
      <c r="H79" s="29">
        <f>'Cash Flow demo'!I18</f>
        <v>0</v>
      </c>
      <c r="I79" s="29">
        <f>'Cash Flow demo'!J18</f>
        <v>-5087</v>
      </c>
      <c r="J79" s="29">
        <f>'Cash Flow demo'!K18</f>
        <v>-364</v>
      </c>
      <c r="K79" s="29">
        <f>'Cash Flow demo'!L18</f>
        <v>-244</v>
      </c>
      <c r="L79" s="29">
        <f>'Cash Flow demo'!M18</f>
        <v>-396</v>
      </c>
      <c r="M79" s="29"/>
      <c r="N79" s="23"/>
    </row>
    <row r="80" spans="2:14" x14ac:dyDescent="0.25">
      <c r="B80" s="22" t="str">
        <f>'Cash Flow demo'!A19</f>
        <v>Redemp n Canc of Shares</v>
      </c>
      <c r="C80" s="29">
        <f>'Cash Flow demo'!D19</f>
        <v>0</v>
      </c>
      <c r="D80" s="29">
        <f>'Cash Flow demo'!E19</f>
        <v>0</v>
      </c>
      <c r="E80" s="29">
        <f>'Cash Flow demo'!F19</f>
        <v>0</v>
      </c>
      <c r="F80" s="29">
        <f>'Cash Flow demo'!G19</f>
        <v>0</v>
      </c>
      <c r="G80" s="29">
        <f>'Cash Flow demo'!H19</f>
        <v>0</v>
      </c>
      <c r="H80" s="29">
        <f>'Cash Flow demo'!I19</f>
        <v>164</v>
      </c>
      <c r="I80" s="29">
        <f>'Cash Flow demo'!J19</f>
        <v>0</v>
      </c>
      <c r="J80" s="29">
        <f>'Cash Flow demo'!K19</f>
        <v>0</v>
      </c>
      <c r="K80" s="29">
        <f>'Cash Flow demo'!L19</f>
        <v>0</v>
      </c>
      <c r="L80" s="29">
        <f>'Cash Flow demo'!M19</f>
        <v>0</v>
      </c>
      <c r="M80" s="29"/>
      <c r="N80" s="23"/>
    </row>
    <row r="81" spans="2:14" x14ac:dyDescent="0.25">
      <c r="B81" s="22" t="str">
        <f>'Cash Flow demo'!A20</f>
        <v>Acquisition of companies</v>
      </c>
      <c r="C81" s="29">
        <f>'Cash Flow demo'!D20</f>
        <v>0</v>
      </c>
      <c r="D81" s="29">
        <f>'Cash Flow demo'!E20</f>
        <v>0</v>
      </c>
      <c r="E81" s="29">
        <f>'Cash Flow demo'!F20</f>
        <v>-110</v>
      </c>
      <c r="F81" s="29">
        <f>'Cash Flow demo'!G20</f>
        <v>-315</v>
      </c>
      <c r="G81" s="29">
        <f>'Cash Flow demo'!H20</f>
        <v>-1014</v>
      </c>
      <c r="H81" s="29">
        <f>'Cash Flow demo'!I20</f>
        <v>-64</v>
      </c>
      <c r="I81" s="29">
        <f>'Cash Flow demo'!J20</f>
        <v>-1575</v>
      </c>
      <c r="J81" s="29">
        <f>'Cash Flow demo'!K20</f>
        <v>-20</v>
      </c>
      <c r="K81" s="29">
        <f>'Cash Flow demo'!L20</f>
        <v>0</v>
      </c>
      <c r="L81" s="29">
        <f>'Cash Flow demo'!M20</f>
        <v>-630</v>
      </c>
      <c r="M81" s="29"/>
      <c r="N81" s="23"/>
    </row>
    <row r="82" spans="2:14" x14ac:dyDescent="0.25">
      <c r="B82" s="22" t="str">
        <f>'Cash Flow demo'!A21</f>
        <v>Inter corporate deposits</v>
      </c>
      <c r="C82" s="29">
        <f>'Cash Flow demo'!D21</f>
        <v>0</v>
      </c>
      <c r="D82" s="29">
        <f>'Cash Flow demo'!E21</f>
        <v>0</v>
      </c>
      <c r="E82" s="29">
        <f>'Cash Flow demo'!F21</f>
        <v>0</v>
      </c>
      <c r="F82" s="29">
        <f>'Cash Flow demo'!G21</f>
        <v>0</v>
      </c>
      <c r="G82" s="29">
        <f>'Cash Flow demo'!H21</f>
        <v>0</v>
      </c>
      <c r="H82" s="29">
        <f>'Cash Flow demo'!I21</f>
        <v>0</v>
      </c>
      <c r="I82" s="29">
        <f>'Cash Flow demo'!J21</f>
        <v>-293</v>
      </c>
      <c r="J82" s="29">
        <f>'Cash Flow demo'!K21</f>
        <v>-149</v>
      </c>
      <c r="K82" s="29">
        <f>'Cash Flow demo'!L21</f>
        <v>0</v>
      </c>
      <c r="L82" s="29">
        <f>'Cash Flow demo'!M21</f>
        <v>0</v>
      </c>
      <c r="M82" s="29"/>
      <c r="N82" s="24"/>
    </row>
    <row r="83" spans="2:14" x14ac:dyDescent="0.25">
      <c r="B83" s="22" t="str">
        <f>'Cash Flow demo'!A22</f>
        <v>Other investing items</v>
      </c>
      <c r="C83" s="29">
        <f>'Cash Flow demo'!D22</f>
        <v>-936</v>
      </c>
      <c r="D83" s="29">
        <f>'Cash Flow demo'!E22</f>
        <v>1252</v>
      </c>
      <c r="E83" s="29">
        <f>'Cash Flow demo'!F22</f>
        <v>-381</v>
      </c>
      <c r="F83" s="29">
        <f>'Cash Flow demo'!G22</f>
        <v>373</v>
      </c>
      <c r="G83" s="29">
        <f>'Cash Flow demo'!H22</f>
        <v>-207</v>
      </c>
      <c r="H83" s="29">
        <f>'Cash Flow demo'!I22</f>
        <v>-7520</v>
      </c>
      <c r="I83" s="29">
        <f>'Cash Flow demo'!J22</f>
        <v>7824</v>
      </c>
      <c r="J83" s="29">
        <f>'Cash Flow demo'!K22</f>
        <v>-4496</v>
      </c>
      <c r="K83" s="29">
        <f>'Cash Flow demo'!L22</f>
        <v>3637</v>
      </c>
      <c r="L83" s="29">
        <f>'Cash Flow demo'!M22</f>
        <v>1135</v>
      </c>
      <c r="M83" s="29"/>
      <c r="N83" s="20"/>
    </row>
    <row r="84" spans="2:14" x14ac:dyDescent="0.25">
      <c r="B84" s="32" t="s">
        <v>117</v>
      </c>
      <c r="C84" s="29">
        <f t="shared" ref="C84:J84" si="24">SUM(C73:C83)</f>
        <v>-7373</v>
      </c>
      <c r="D84" s="29">
        <f t="shared" si="24"/>
        <v>-3858</v>
      </c>
      <c r="E84" s="29">
        <f t="shared" si="24"/>
        <v>-5094</v>
      </c>
      <c r="F84" s="29">
        <f t="shared" si="24"/>
        <v>-4529</v>
      </c>
      <c r="G84" s="29">
        <f t="shared" si="24"/>
        <v>-11387</v>
      </c>
      <c r="H84" s="29">
        <f t="shared" si="24"/>
        <v>-19589</v>
      </c>
      <c r="I84" s="29">
        <f t="shared" si="24"/>
        <v>-7702</v>
      </c>
      <c r="J84" s="29">
        <f t="shared" si="24"/>
        <v>-14748</v>
      </c>
      <c r="K84" s="29">
        <f>SUM(K73:K83)</f>
        <v>-10730</v>
      </c>
      <c r="L84" s="29">
        <f>SUM(L73:L83)</f>
        <v>-14467</v>
      </c>
      <c r="M84" s="29"/>
      <c r="N84" s="23"/>
    </row>
    <row r="85" spans="2:14" x14ac:dyDescent="0.25">
      <c r="B85" s="26" t="s">
        <v>118</v>
      </c>
      <c r="C85" s="29"/>
      <c r="D85" s="29"/>
      <c r="E85" s="29"/>
      <c r="F85" s="29"/>
      <c r="G85" s="29"/>
      <c r="H85" s="29"/>
      <c r="I85" s="29"/>
      <c r="J85" s="29"/>
      <c r="M85" s="29"/>
      <c r="N85" s="23"/>
    </row>
    <row r="86" spans="2:14" x14ac:dyDescent="0.25">
      <c r="B86" s="22" t="str">
        <f>'Cash Flow demo'!A24</f>
        <v>Proceeds from shares</v>
      </c>
      <c r="C86" s="29">
        <f>'Cash Flow demo'!D24</f>
        <v>0</v>
      </c>
      <c r="D86" s="29">
        <f>'Cash Flow demo'!E24</f>
        <v>0</v>
      </c>
      <c r="E86" s="29">
        <f>'Cash Flow demo'!F24</f>
        <v>57</v>
      </c>
      <c r="F86" s="29">
        <f>'Cash Flow demo'!G24</f>
        <v>49</v>
      </c>
      <c r="G86" s="29">
        <f>'Cash Flow demo'!H24</f>
        <v>0</v>
      </c>
      <c r="H86" s="29">
        <f>'Cash Flow demo'!I24</f>
        <v>107</v>
      </c>
      <c r="I86" s="29">
        <f>'Cash Flow demo'!J24</f>
        <v>39</v>
      </c>
      <c r="J86" s="29">
        <f>'Cash Flow demo'!K24</f>
        <v>72</v>
      </c>
      <c r="K86" s="29">
        <f>'Cash Flow demo'!L24</f>
        <v>59</v>
      </c>
      <c r="L86" s="29">
        <f>'Cash Flow demo'!M24</f>
        <v>6</v>
      </c>
      <c r="M86" s="29"/>
      <c r="N86" s="24"/>
    </row>
    <row r="87" spans="2:14" x14ac:dyDescent="0.25">
      <c r="B87" s="22" t="str">
        <f>'Cash Flow demo'!A25</f>
        <v>Redemption of debentures</v>
      </c>
      <c r="C87" s="29">
        <f>'Cash Flow demo'!D25</f>
        <v>0</v>
      </c>
      <c r="D87" s="29">
        <f>'Cash Flow demo'!E25</f>
        <v>0</v>
      </c>
      <c r="E87" s="29">
        <f>'Cash Flow demo'!F25</f>
        <v>0</v>
      </c>
      <c r="F87" s="29">
        <f>'Cash Flow demo'!G25</f>
        <v>0</v>
      </c>
      <c r="G87" s="29">
        <f>'Cash Flow demo'!H25</f>
        <v>0</v>
      </c>
      <c r="H87" s="29">
        <f>'Cash Flow demo'!I25</f>
        <v>-572</v>
      </c>
      <c r="I87" s="29">
        <f>'Cash Flow demo'!J25</f>
        <v>0</v>
      </c>
      <c r="J87" s="29">
        <f>'Cash Flow demo'!K25</f>
        <v>0</v>
      </c>
      <c r="K87" s="29">
        <f>'Cash Flow demo'!L25</f>
        <v>0</v>
      </c>
      <c r="L87" s="29">
        <f>'Cash Flow demo'!M25</f>
        <v>0</v>
      </c>
      <c r="M87" s="29"/>
      <c r="N87" s="24"/>
    </row>
    <row r="88" spans="2:14" x14ac:dyDescent="0.25">
      <c r="B88" s="22" t="str">
        <f>'Cash Flow demo'!A26</f>
        <v>Proceeds from borrowings</v>
      </c>
      <c r="C88" s="29">
        <f>'Cash Flow demo'!D26</f>
        <v>10216</v>
      </c>
      <c r="D88" s="29">
        <f>'Cash Flow demo'!E26</f>
        <v>1197</v>
      </c>
      <c r="E88" s="29">
        <f>'Cash Flow demo'!F26</f>
        <v>7101</v>
      </c>
      <c r="F88" s="29">
        <f>'Cash Flow demo'!G26</f>
        <v>6209</v>
      </c>
      <c r="G88" s="29">
        <f>'Cash Flow demo'!H26</f>
        <v>13154</v>
      </c>
      <c r="H88" s="29">
        <f>'Cash Flow demo'!I26</f>
        <v>22754</v>
      </c>
      <c r="I88" s="29">
        <f>'Cash Flow demo'!J26</f>
        <v>15897</v>
      </c>
      <c r="J88" s="29">
        <f>'Cash Flow demo'!K26</f>
        <v>17043</v>
      </c>
      <c r="K88" s="29">
        <f>'Cash Flow demo'!L26</f>
        <v>19742</v>
      </c>
      <c r="L88" s="29">
        <f>'Cash Flow demo'!M26</f>
        <v>20858</v>
      </c>
      <c r="M88" s="29"/>
      <c r="N88" s="24"/>
    </row>
    <row r="89" spans="2:14" x14ac:dyDescent="0.25">
      <c r="B89" s="22" t="str">
        <f>'Cash Flow demo'!A27</f>
        <v>Repayment of borrowings</v>
      </c>
      <c r="C89" s="29">
        <f>'Cash Flow demo'!D27</f>
        <v>-7479</v>
      </c>
      <c r="D89" s="29">
        <f>'Cash Flow demo'!E27</f>
        <v>0</v>
      </c>
      <c r="E89" s="29">
        <f>'Cash Flow demo'!F27</f>
        <v>-5890</v>
      </c>
      <c r="F89" s="29">
        <f>'Cash Flow demo'!G27</f>
        <v>-10001</v>
      </c>
      <c r="G89" s="29">
        <f>'Cash Flow demo'!H27</f>
        <v>-6273</v>
      </c>
      <c r="H89" s="29">
        <f>'Cash Flow demo'!I27</f>
        <v>-11107</v>
      </c>
      <c r="I89" s="29">
        <f>'Cash Flow demo'!J27</f>
        <v>-13888</v>
      </c>
      <c r="J89" s="29">
        <f>'Cash Flow demo'!K27</f>
        <v>-24091</v>
      </c>
      <c r="K89" s="29">
        <f>'Cash Flow demo'!L27</f>
        <v>-14158</v>
      </c>
      <c r="L89" s="29">
        <f>'Cash Flow demo'!M27</f>
        <v>-16328</v>
      </c>
      <c r="M89" s="29"/>
      <c r="N89" s="23"/>
    </row>
    <row r="90" spans="2:14" x14ac:dyDescent="0.25">
      <c r="B90" s="22" t="str">
        <f>'Cash Flow demo'!A28</f>
        <v>Interest paid fin</v>
      </c>
      <c r="C90" s="29">
        <f>'Cash Flow demo'!D28</f>
        <v>-2563</v>
      </c>
      <c r="D90" s="29">
        <f>'Cash Flow demo'!E28</f>
        <v>-3125</v>
      </c>
      <c r="E90" s="29">
        <f>'Cash Flow demo'!F28</f>
        <v>-3569</v>
      </c>
      <c r="F90" s="29">
        <f>'Cash Flow demo'!G28</f>
        <v>-3511</v>
      </c>
      <c r="G90" s="29">
        <f>'Cash Flow demo'!H28</f>
        <v>-3815</v>
      </c>
      <c r="H90" s="29">
        <f>'Cash Flow demo'!I28</f>
        <v>-4520</v>
      </c>
      <c r="I90" s="29">
        <f>'Cash Flow demo'!J28</f>
        <v>-4340</v>
      </c>
      <c r="J90" s="29">
        <f>'Cash Flow demo'!K28</f>
        <v>-5102</v>
      </c>
      <c r="K90" s="29">
        <f>'Cash Flow demo'!L28</f>
        <v>-6902</v>
      </c>
      <c r="L90" s="29">
        <f>'Cash Flow demo'!M28</f>
        <v>-8087</v>
      </c>
      <c r="M90" s="29"/>
      <c r="N90" s="23"/>
    </row>
    <row r="91" spans="2:14" x14ac:dyDescent="0.25">
      <c r="B91" s="22" t="str">
        <f>'Cash Flow demo'!A29</f>
        <v>Dividends paid</v>
      </c>
      <c r="C91" s="29">
        <f>'Cash Flow demo'!D29</f>
        <v>-344</v>
      </c>
      <c r="D91" s="29">
        <f>'Cash Flow demo'!E29</f>
        <v>-320</v>
      </c>
      <c r="E91" s="29">
        <f>'Cash Flow demo'!F29</f>
        <v>-218</v>
      </c>
      <c r="F91" s="29">
        <f>'Cash Flow demo'!G29</f>
        <v>-655</v>
      </c>
      <c r="G91" s="29">
        <f>'Cash Flow demo'!H29</f>
        <v>-933</v>
      </c>
      <c r="H91" s="29">
        <f>'Cash Flow demo'!I29</f>
        <v>-1195</v>
      </c>
      <c r="I91" s="29">
        <f>'Cash Flow demo'!J29</f>
        <v>-483</v>
      </c>
      <c r="J91" s="29">
        <f>'Cash Flow demo'!K29</f>
        <v>-1571</v>
      </c>
      <c r="K91" s="29">
        <f>'Cash Flow demo'!L29</f>
        <v>-4194</v>
      </c>
      <c r="L91" s="29">
        <f>'Cash Flow demo'!M29</f>
        <v>-822</v>
      </c>
      <c r="M91" s="29"/>
      <c r="N91" s="23"/>
    </row>
    <row r="92" spans="2:14" x14ac:dyDescent="0.25">
      <c r="B92" s="22" t="str">
        <f>'Cash Flow demo'!A30</f>
        <v>Financial liabilities</v>
      </c>
      <c r="C92" s="29">
        <f>'Cash Flow demo'!D30</f>
        <v>0</v>
      </c>
      <c r="D92" s="29">
        <f>'Cash Flow demo'!E30</f>
        <v>-187</v>
      </c>
      <c r="E92" s="29">
        <f>'Cash Flow demo'!F30</f>
        <v>-186</v>
      </c>
      <c r="F92" s="29">
        <f>'Cash Flow demo'!G30</f>
        <v>-200</v>
      </c>
      <c r="G92" s="29">
        <f>'Cash Flow demo'!H30</f>
        <v>-227</v>
      </c>
      <c r="H92" s="29">
        <f>'Cash Flow demo'!I30</f>
        <v>-177</v>
      </c>
      <c r="I92" s="29">
        <f>'Cash Flow demo'!J30</f>
        <v>-335</v>
      </c>
      <c r="J92" s="29">
        <f>'Cash Flow demo'!K30</f>
        <v>-417</v>
      </c>
      <c r="K92" s="29">
        <f>'Cash Flow demo'!L30</f>
        <v>-524</v>
      </c>
      <c r="L92" s="29">
        <f>'Cash Flow demo'!M30</f>
        <v>-632</v>
      </c>
      <c r="M92" s="29"/>
      <c r="N92" s="20"/>
    </row>
    <row r="93" spans="2:14" x14ac:dyDescent="0.25">
      <c r="B93" s="22" t="str">
        <f>'Cash Flow demo'!A31</f>
        <v>Other financing items</v>
      </c>
      <c r="C93" s="29">
        <f>'Cash Flow demo'!D31</f>
        <v>0</v>
      </c>
      <c r="D93" s="29">
        <f>'Cash Flow demo'!E31</f>
        <v>-715</v>
      </c>
      <c r="E93" s="29">
        <f>'Cash Flow demo'!F31</f>
        <v>-5</v>
      </c>
      <c r="F93" s="29">
        <f>'Cash Flow demo'!G31</f>
        <v>-76</v>
      </c>
      <c r="G93" s="29">
        <f>'Cash Flow demo'!H31</f>
        <v>-153</v>
      </c>
      <c r="H93" s="29">
        <f>'Cash Flow demo'!I31</f>
        <v>-101</v>
      </c>
      <c r="I93" s="29">
        <f>'Cash Flow demo'!J31</f>
        <v>0</v>
      </c>
      <c r="J93" s="29">
        <f>'Cash Flow demo'!K31</f>
        <v>-591</v>
      </c>
      <c r="K93" s="29">
        <f>'Cash Flow demo'!L31</f>
        <v>0</v>
      </c>
      <c r="L93" s="29">
        <f>'Cash Flow demo'!M31</f>
        <v>0</v>
      </c>
      <c r="M93" s="29"/>
    </row>
    <row r="94" spans="2:14" x14ac:dyDescent="0.25">
      <c r="B94" s="32" t="s">
        <v>119</v>
      </c>
      <c r="C94" s="29">
        <f t="shared" ref="C94:J94" si="25">SUM(C86:C93)</f>
        <v>-170</v>
      </c>
      <c r="D94" s="29">
        <f t="shared" si="25"/>
        <v>-3150</v>
      </c>
      <c r="E94" s="29">
        <f t="shared" si="25"/>
        <v>-2710</v>
      </c>
      <c r="F94" s="29">
        <f t="shared" si="25"/>
        <v>-8185</v>
      </c>
      <c r="G94" s="29">
        <f t="shared" si="25"/>
        <v>1753</v>
      </c>
      <c r="H94" s="29">
        <f t="shared" si="25"/>
        <v>5189</v>
      </c>
      <c r="I94" s="29">
        <f t="shared" si="25"/>
        <v>-3110</v>
      </c>
      <c r="J94" s="29">
        <f t="shared" si="25"/>
        <v>-14657</v>
      </c>
      <c r="K94" s="29">
        <f>SUM(K86:K93)</f>
        <v>-5977</v>
      </c>
      <c r="L94" s="29">
        <f>SUM(L86:L93)</f>
        <v>-5005</v>
      </c>
      <c r="M94" s="29"/>
    </row>
    <row r="96" spans="2:14" x14ac:dyDescent="0.25">
      <c r="B96" s="12" t="s">
        <v>20</v>
      </c>
      <c r="C96" s="29">
        <f t="shared" ref="C96:J96" si="26">SUM(C71,C84,C94)</f>
        <v>332</v>
      </c>
      <c r="D96" s="29">
        <f t="shared" si="26"/>
        <v>-110</v>
      </c>
      <c r="E96" s="29">
        <f t="shared" si="26"/>
        <v>84</v>
      </c>
      <c r="F96" s="29">
        <f t="shared" si="26"/>
        <v>-335</v>
      </c>
      <c r="G96" s="29">
        <f t="shared" si="26"/>
        <v>4999</v>
      </c>
      <c r="H96" s="29">
        <f t="shared" si="26"/>
        <v>-1615</v>
      </c>
      <c r="I96" s="29">
        <f t="shared" si="26"/>
        <v>7977</v>
      </c>
      <c r="J96" s="29">
        <f t="shared" si="26"/>
        <v>-3135</v>
      </c>
      <c r="K96" s="29">
        <f>SUM(K71+K84+K94)</f>
        <v>6616</v>
      </c>
      <c r="L96" s="29">
        <f>SUM(L71+L84+L94)</f>
        <v>-7394</v>
      </c>
    </row>
  </sheetData>
  <mergeCells count="1">
    <mergeCell ref="B2:L2"/>
  </mergeCells>
  <pageMargins left="0.7" right="0.7" top="0.75" bottom="0.75" header="0.3" footer="0.3"/>
  <pageSetup orientation="portrait" r:id="rId1"/>
  <ignoredErrors>
    <ignoredError sqref="C15:L15 M9 M19:M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41"/>
  <sheetViews>
    <sheetView showGridLines="0" tabSelected="1" topLeftCell="A20" zoomScaleNormal="100" workbookViewId="0">
      <selection activeCell="B22" sqref="B22"/>
    </sheetView>
  </sheetViews>
  <sheetFormatPr defaultRowHeight="15" x14ac:dyDescent="0.25"/>
  <cols>
    <col min="1" max="1" width="1.85546875" customWidth="1"/>
    <col min="2" max="2" width="25.5703125" customWidth="1"/>
    <col min="3" max="3" width="20.42578125" customWidth="1"/>
    <col min="4" max="12" width="13.85546875" customWidth="1"/>
    <col min="13" max="13" width="15" customWidth="1"/>
    <col min="14" max="15" width="13.85546875" customWidth="1"/>
  </cols>
  <sheetData>
    <row r="2" spans="2:15" x14ac:dyDescent="0.25">
      <c r="B2" s="176" t="str">
        <f>"Ratio Analysis-"&amp;'Data Sheet'!B1</f>
        <v>Ratio Analysis-JSW STEEL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35"/>
      <c r="N2" s="35"/>
      <c r="O2" s="35"/>
    </row>
    <row r="3" spans="2:15" x14ac:dyDescent="0.25">
      <c r="B3" s="8" t="s">
        <v>55</v>
      </c>
      <c r="C3" s="9">
        <f>'Data Sheet'!B16</f>
        <v>42094</v>
      </c>
      <c r="D3" s="9">
        <f>'Data Sheet'!C16</f>
        <v>42460</v>
      </c>
      <c r="E3" s="9">
        <f>'Data Sheet'!D16</f>
        <v>42825</v>
      </c>
      <c r="F3" s="9">
        <f>'Data Sheet'!E16</f>
        <v>43190</v>
      </c>
      <c r="G3" s="9">
        <f>'Data Sheet'!F16</f>
        <v>43555</v>
      </c>
      <c r="H3" s="9">
        <f>'Data Sheet'!G16</f>
        <v>43921</v>
      </c>
      <c r="I3" s="9">
        <f>'Data Sheet'!H16</f>
        <v>44286</v>
      </c>
      <c r="J3" s="9">
        <f>'Data Sheet'!I16</f>
        <v>44651</v>
      </c>
      <c r="K3" s="9">
        <f>'Data Sheet'!J16</f>
        <v>45016</v>
      </c>
      <c r="L3" s="9">
        <f>'Data Sheet'!K16</f>
        <v>45382</v>
      </c>
      <c r="M3" s="37" t="s">
        <v>152</v>
      </c>
      <c r="N3" s="36" t="s">
        <v>153</v>
      </c>
      <c r="O3" s="36" t="s">
        <v>154</v>
      </c>
    </row>
    <row r="5" spans="2:15" x14ac:dyDescent="0.25">
      <c r="B5" s="38" t="s">
        <v>122</v>
      </c>
      <c r="C5" s="38"/>
      <c r="D5" s="39">
        <f>'Historical FS'!D7</f>
        <v>-0.21568839551675989</v>
      </c>
      <c r="E5" s="39">
        <f>'Historical FS'!E7</f>
        <v>0.33836644870032551</v>
      </c>
      <c r="F5" s="39">
        <f>'Historical FS'!F7</f>
        <v>0.29366592331486951</v>
      </c>
      <c r="G5" s="39">
        <f>'Historical FS'!G7</f>
        <v>0.17827700777112043</v>
      </c>
      <c r="H5" s="39">
        <f>'Historical FS'!H7</f>
        <v>-0.13486791651427021</v>
      </c>
      <c r="I5" s="39">
        <f>'Historical FS'!I7</f>
        <v>8.8822518615497836E-2</v>
      </c>
      <c r="J5" s="39">
        <f>'Historical FS'!J7</f>
        <v>0.83332707072984391</v>
      </c>
      <c r="K5" s="39">
        <f>'Historical FS'!K7</f>
        <v>0.13383115507853338</v>
      </c>
      <c r="L5" s="39">
        <f>'Historical FS'!L7</f>
        <v>5.4507110147023363E-2</v>
      </c>
      <c r="M5" s="38"/>
      <c r="N5" s="40">
        <f>AVERAGE(D5:L5)</f>
        <v>0.17447121359179818</v>
      </c>
      <c r="O5" s="40">
        <f>MEDIAN(D5:L5)</f>
        <v>0.13383115507853338</v>
      </c>
    </row>
    <row r="6" spans="2:15" x14ac:dyDescent="0.25">
      <c r="B6" t="s">
        <v>123</v>
      </c>
      <c r="D6" s="41">
        <f>'Historical FS'!D17/'Historical FS'!C17-1</f>
        <v>-0.31413861377679864</v>
      </c>
      <c r="E6" s="41">
        <f>'Historical FS'!E17/'Historical FS'!D17-1</f>
        <v>0.91644439461813754</v>
      </c>
      <c r="F6" s="41">
        <f>'Historical FS'!F17/'Historical FS'!E17-1</f>
        <v>0.21189470263243426</v>
      </c>
      <c r="G6" s="41">
        <f>'Historical FS'!G17/'Historical FS'!F17-1</f>
        <v>0.26910699919549486</v>
      </c>
      <c r="H6" s="41">
        <f>'Historical FS'!H17/'Historical FS'!G17-1</f>
        <v>-0.37596407818277866</v>
      </c>
      <c r="I6" s="41">
        <f>'Historical FS'!I17/'Historical FS'!H17-1</f>
        <v>0.70811817489206796</v>
      </c>
      <c r="J6" s="41">
        <f>'Historical FS'!J17/'Historical FS'!I17-1</f>
        <v>0.93844781445138259</v>
      </c>
      <c r="K6" s="41">
        <f>'Historical FS'!K17/'Historical FS'!J17-1</f>
        <v>-0.52779056092447718</v>
      </c>
      <c r="L6" s="41">
        <f>'Historical FS'!L17/'Historical FS'!K17-1</f>
        <v>0.5244721169463995</v>
      </c>
      <c r="N6" s="33">
        <f t="shared" ref="N6:N39" si="0">AVERAGE(D6:L6)</f>
        <v>0.26117677220576252</v>
      </c>
      <c r="O6" s="33">
        <f t="shared" ref="O6:O39" si="1">MEDIAN(D6:L6)</f>
        <v>0.26910699919549486</v>
      </c>
    </row>
    <row r="7" spans="2:15" x14ac:dyDescent="0.25">
      <c r="B7" t="s">
        <v>124</v>
      </c>
      <c r="D7" s="41">
        <f>'Historical FS'!D23/'Historical FS'!C23-1</f>
        <v>-1.2058128175870377</v>
      </c>
      <c r="E7" s="41">
        <f>'Historical FS'!E23/'Historical FS'!D23-1</f>
        <v>-11.190854157110547</v>
      </c>
      <c r="F7" s="41">
        <f>'Historical FS'!F23/'Historical FS'!E23-1</f>
        <v>0.53189823874755371</v>
      </c>
      <c r="G7" s="41">
        <f>'Historical FS'!G23/'Historical FS'!F23-1</f>
        <v>0.40163515585079201</v>
      </c>
      <c r="H7" s="41">
        <f>'Historical FS'!H23/'Historical FS'!G23-1</f>
        <v>-0.69905213270142186</v>
      </c>
      <c r="I7" s="41">
        <f>'Historical FS'!I23/'Historical FS'!H23-1</f>
        <v>2.495457298606905</v>
      </c>
      <c r="J7" s="41">
        <f>'Historical FS'!J23/'Historical FS'!I23-1</f>
        <v>1.4384855311037947</v>
      </c>
      <c r="K7" s="41">
        <f>'Historical FS'!K23/'Historical FS'!J23-1</f>
        <v>-0.85453899449280513</v>
      </c>
      <c r="L7" s="41">
        <f>'Historical FS'!L23/'Historical FS'!K23-1</f>
        <v>1.9018075232046896</v>
      </c>
      <c r="N7" s="33">
        <f t="shared" si="0"/>
        <v>-0.79788603937534175</v>
      </c>
      <c r="O7" s="33">
        <f t="shared" si="1"/>
        <v>0.40163515585079201</v>
      </c>
    </row>
    <row r="8" spans="2:15" x14ac:dyDescent="0.25">
      <c r="B8" t="s">
        <v>125</v>
      </c>
      <c r="D8" s="41">
        <f>'Historical FS'!D27/'Historical FS'!C27-1</f>
        <v>-9.4098074746597482E-2</v>
      </c>
      <c r="E8" s="41">
        <f>'Historical FS'!E27/'Historical FS'!D27-1</f>
        <v>1.3457447534783471</v>
      </c>
      <c r="F8" s="41">
        <f>'Historical FS'!F27/'Historical FS'!E27-1</f>
        <v>0.83061699650756693</v>
      </c>
      <c r="G8" s="41">
        <f>'Historical FS'!G27/'Historical FS'!F27-1</f>
        <v>0.16502384737678866</v>
      </c>
      <c r="H8" s="41">
        <f>'Historical FS'!H27/'Historical FS'!G27-1</f>
        <v>-0.42576419213973804</v>
      </c>
      <c r="I8" s="41">
        <f>'Historical FS'!I27/'Historical FS'!H27-1</f>
        <v>0.7585551330798479</v>
      </c>
      <c r="J8" s="41">
        <f>'Historical FS'!J27/'Historical FS'!I27-1</f>
        <v>1.6132432432432431</v>
      </c>
      <c r="K8" s="41">
        <f>'Historical FS'!K27/'Historical FS'!J27-1</f>
        <v>-0.86668735132898955</v>
      </c>
      <c r="L8" s="41">
        <f>'Historical FS'!L27/'Historical FS'!K27-1</f>
        <v>1.8987587276958884</v>
      </c>
      <c r="N8" s="33">
        <f t="shared" si="0"/>
        <v>0.58059923146292858</v>
      </c>
      <c r="O8" s="33">
        <f t="shared" si="1"/>
        <v>0.7585551330798479</v>
      </c>
    </row>
    <row r="9" spans="2:15" x14ac:dyDescent="0.25">
      <c r="B9" s="42" t="s">
        <v>126</v>
      </c>
      <c r="C9" s="42"/>
      <c r="D9" s="43">
        <f>'Historical FS'!D33/'Historical FS'!C33-1</f>
        <v>-0.32232298360458833</v>
      </c>
      <c r="E9" s="43">
        <f>'Historical FS'!E33/'Historical FS'!D33-1</f>
        <v>2.0009305210918114</v>
      </c>
      <c r="F9" s="43">
        <f>'Historical FS'!F33/'Historical FS'!E33-1</f>
        <v>0.42694721299372462</v>
      </c>
      <c r="G9" s="43">
        <f>'Historical FS'!G33/'Historical FS'!F33-1</f>
        <v>0.27700745033112573</v>
      </c>
      <c r="H9" s="43">
        <f>'Historical FS'!H33/'Historical FS'!G33-1</f>
        <v>-0.51219512195121952</v>
      </c>
      <c r="I9" s="43">
        <f>'Historical FS'!I33/'Historical FS'!H33-1</f>
        <v>2.2607973421926917</v>
      </c>
      <c r="J9" s="43">
        <f>'Historical FS'!J33/'Historical FS'!I33-1</f>
        <v>1.6603922567498728</v>
      </c>
      <c r="K9" s="43">
        <f>'Historical FS'!K33/'Historical FS'!J33-1</f>
        <v>-0.80403458213256485</v>
      </c>
      <c r="L9" s="43">
        <f>'Historical FS'!L33/'Historical FS'!K33-1</f>
        <v>1.1504146261072981</v>
      </c>
      <c r="M9" s="42"/>
      <c r="N9" s="44">
        <f t="shared" si="0"/>
        <v>0.68199296908646134</v>
      </c>
      <c r="O9" s="44">
        <f t="shared" si="1"/>
        <v>0.42694721299372462</v>
      </c>
    </row>
    <row r="10" spans="2:15" x14ac:dyDescent="0.25">
      <c r="N10" s="33"/>
      <c r="O10" s="33"/>
    </row>
    <row r="11" spans="2:15" x14ac:dyDescent="0.25">
      <c r="B11" s="38" t="s">
        <v>127</v>
      </c>
      <c r="C11" s="39">
        <f>'Historical FS'!C13</f>
        <v>0.20574437088918196</v>
      </c>
      <c r="D11" s="39">
        <f>'Historical FS'!D13</f>
        <v>0.19442923378978119</v>
      </c>
      <c r="E11" s="39">
        <f>'Historical FS'!E13</f>
        <v>0.24946047046975037</v>
      </c>
      <c r="F11" s="39">
        <f>'Historical FS'!F13</f>
        <v>0.23153490053243991</v>
      </c>
      <c r="G11" s="39">
        <f>'Historical FS'!G13</f>
        <v>0.2578076147102894</v>
      </c>
      <c r="H11" s="39">
        <f>'Historical FS'!H13</f>
        <v>0.2078662411695715</v>
      </c>
      <c r="I11" s="39">
        <f>'Historical FS'!I13</f>
        <v>0.28298200127757112</v>
      </c>
      <c r="J11" s="39">
        <f>'Historical FS'!J13</f>
        <v>0.29099343449180509</v>
      </c>
      <c r="K11" s="39">
        <f>'Historical FS'!K13</f>
        <v>0.15084960231381056</v>
      </c>
      <c r="L11" s="39">
        <f>'Historical FS'!L13</f>
        <v>0.19373621475835115</v>
      </c>
      <c r="M11" s="38"/>
      <c r="N11" s="40">
        <f t="shared" si="0"/>
        <v>0.2288510792792634</v>
      </c>
      <c r="O11" s="40">
        <f t="shared" si="1"/>
        <v>0.23153490053243991</v>
      </c>
    </row>
    <row r="12" spans="2:15" x14ac:dyDescent="0.25">
      <c r="B12" t="s">
        <v>128</v>
      </c>
      <c r="C12" s="41">
        <f>'Historical FS'!C18</f>
        <v>0.17677162686130735</v>
      </c>
      <c r="D12" s="41">
        <f>'Historical FS'!D18</f>
        <v>0.15458248016604165</v>
      </c>
      <c r="E12" s="41">
        <f>'Historical FS'!E18</f>
        <v>0.22135098194374506</v>
      </c>
      <c r="F12" s="41">
        <f>'Historical FS'!F18</f>
        <v>0.20735962631893567</v>
      </c>
      <c r="G12" s="41">
        <f>'Historical FS'!G18</f>
        <v>0.22334438453461072</v>
      </c>
      <c r="H12" s="41">
        <f>'Historical FS'!H18</f>
        <v>0.16110247388375201</v>
      </c>
      <c r="I12" s="41">
        <f>'Historical FS'!I18</f>
        <v>0.25273362642317665</v>
      </c>
      <c r="J12" s="41">
        <f>'Historical FS'!J18</f>
        <v>0.26722506507436583</v>
      </c>
      <c r="K12" s="41">
        <f>'Historical FS'!K18</f>
        <v>0.11129187756085804</v>
      </c>
      <c r="L12" s="41">
        <f>'Historical FS'!L18</f>
        <v>0.16089162657280323</v>
      </c>
      <c r="N12" s="33">
        <f t="shared" si="0"/>
        <v>0.1955424602753654</v>
      </c>
      <c r="O12" s="33">
        <f t="shared" si="1"/>
        <v>0.20735962631893567</v>
      </c>
    </row>
    <row r="13" spans="2:15" x14ac:dyDescent="0.25">
      <c r="B13" t="s">
        <v>74</v>
      </c>
      <c r="C13" s="33">
        <f>'Data Sheet'!B35</f>
        <v>0.11193507604370749</v>
      </c>
      <c r="D13" s="33">
        <f>'Data Sheet'!C35</f>
        <v>7.4609765472966438E-2</v>
      </c>
      <c r="E13" s="33">
        <f>'Data Sheet'!D35</f>
        <v>0.15966477231853823</v>
      </c>
      <c r="F13" s="33">
        <f>'Data Sheet'!E35</f>
        <v>0.16027414399510656</v>
      </c>
      <c r="G13" s="33">
        <f>'Data Sheet'!F35</f>
        <v>0.17566690656818906</v>
      </c>
      <c r="H13" s="33">
        <f>'Data Sheet'!G35</f>
        <v>0.1031966833046941</v>
      </c>
      <c r="I13" s="33">
        <f>'Data Sheet'!H35</f>
        <v>0.19412818296822354</v>
      </c>
      <c r="J13" s="33">
        <f>'Data Sheet'!I35</f>
        <v>0.22622650661674784</v>
      </c>
      <c r="K13" s="33">
        <f>'Data Sheet'!J35</f>
        <v>6.6256929380573634E-2</v>
      </c>
      <c r="L13" s="33">
        <f>'Data Sheet'!K35</f>
        <v>0.11419608470566724</v>
      </c>
      <c r="N13" s="33">
        <f t="shared" si="0"/>
        <v>0.14157999725896742</v>
      </c>
      <c r="O13" s="33">
        <f t="shared" si="1"/>
        <v>0.15966477231853823</v>
      </c>
    </row>
    <row r="14" spans="2:15" x14ac:dyDescent="0.25">
      <c r="B14" t="s">
        <v>130</v>
      </c>
      <c r="C14" s="41">
        <f>'Historical FS'!C24</f>
        <v>4.5993402868825355E-2</v>
      </c>
      <c r="D14" s="41">
        <f>'Historical FS'!D24</f>
        <v>-1.2069223228037766E-2</v>
      </c>
      <c r="E14" s="41">
        <f>'Historical FS'!E24</f>
        <v>9.1899863319185676E-2</v>
      </c>
      <c r="F14" s="41">
        <f>'Historical FS'!F24</f>
        <v>0.10882348852404321</v>
      </c>
      <c r="G14" s="41">
        <f>'Historical FS'!G24</f>
        <v>0.1294524346071711</v>
      </c>
      <c r="H14" s="41">
        <f>'Historical FS'!H24</f>
        <v>4.5031775904863215E-2</v>
      </c>
      <c r="I14" s="41">
        <f>'Historical FS'!I24</f>
        <v>0.14456593895214118</v>
      </c>
      <c r="J14" s="41">
        <f>'Historical FS'!J24</f>
        <v>0.19228535707209762</v>
      </c>
      <c r="K14" s="41">
        <f>'Historical FS'!K24</f>
        <v>2.4668594842130635E-2</v>
      </c>
      <c r="L14" s="41">
        <f>'Historical FS'!L24</f>
        <v>6.7883386855307815E-2</v>
      </c>
      <c r="N14" s="33">
        <f t="shared" si="0"/>
        <v>8.806017964987807E-2</v>
      </c>
      <c r="O14" s="33">
        <f t="shared" si="1"/>
        <v>9.1899863319185676E-2</v>
      </c>
    </row>
    <row r="15" spans="2:15" x14ac:dyDescent="0.25">
      <c r="B15" s="42" t="s">
        <v>129</v>
      </c>
      <c r="C15" s="43">
        <f>'Historical FS'!C28</f>
        <v>3.0524521577731334E-2</v>
      </c>
      <c r="D15" s="43">
        <f>'Historical FS'!D28</f>
        <v>3.5256679496569583E-2</v>
      </c>
      <c r="E15" s="43">
        <f>'Historical FS'!E28</f>
        <v>6.1794115531256744E-2</v>
      </c>
      <c r="F15" s="43">
        <f>'Historical FS'!F28</f>
        <v>8.7442481197781266E-2</v>
      </c>
      <c r="G15" s="43">
        <f>'Historical FS'!G28</f>
        <v>8.645893554514672E-2</v>
      </c>
      <c r="H15" s="43">
        <f>'Historical FS'!H28</f>
        <v>5.7387556937511935E-2</v>
      </c>
      <c r="I15" s="43">
        <f>'Historical FS'!I28</f>
        <v>9.2686531644935427E-2</v>
      </c>
      <c r="J15" s="43">
        <f>'Historical FS'!J28</f>
        <v>0.13211633451981608</v>
      </c>
      <c r="K15" s="43">
        <f>'Historical FS'!K28</f>
        <v>1.5533863581585924E-2</v>
      </c>
      <c r="L15" s="43">
        <f>'Historical FS'!L28</f>
        <v>4.2701393095093881E-2</v>
      </c>
      <c r="M15" s="42"/>
      <c r="N15" s="44">
        <f t="shared" si="0"/>
        <v>6.7930876838855292E-2</v>
      </c>
      <c r="O15" s="44">
        <f t="shared" si="1"/>
        <v>6.1794115531256744E-2</v>
      </c>
    </row>
    <row r="16" spans="2:15" x14ac:dyDescent="0.25">
      <c r="N16" s="33"/>
      <c r="O16" s="33"/>
    </row>
    <row r="17" spans="2:15" x14ac:dyDescent="0.25">
      <c r="B17" s="38" t="s">
        <v>131</v>
      </c>
      <c r="C17" s="39">
        <f>'Historical FS'!C16</f>
        <v>2.8972744027874607E-2</v>
      </c>
      <c r="D17" s="39">
        <f>'Historical FS'!D16</f>
        <v>3.9846753623739566E-2</v>
      </c>
      <c r="E17" s="39">
        <f>'Historical FS'!E16</f>
        <v>2.8109488526005325E-2</v>
      </c>
      <c r="F17" s="39">
        <f>'Historical FS'!F16</f>
        <v>2.4175274213504232E-2</v>
      </c>
      <c r="G17" s="39">
        <f>'Historical FS'!G16</f>
        <v>3.4463230175678705E-2</v>
      </c>
      <c r="H17" s="39">
        <f>'Historical FS'!H16</f>
        <v>4.6763767285819491E-2</v>
      </c>
      <c r="I17" s="39">
        <f>'Historical FS'!I16</f>
        <v>3.024837485439447E-2</v>
      </c>
      <c r="J17" s="39">
        <f>'Historical FS'!J16</f>
        <v>2.3768369417439247E-2</v>
      </c>
      <c r="K17" s="39">
        <f>'Historical FS'!K16</f>
        <v>3.9557724752952515E-2</v>
      </c>
      <c r="L17" s="39">
        <f>'Historical FS'!L16</f>
        <v>3.2844588185547925E-2</v>
      </c>
      <c r="M17" s="38"/>
      <c r="N17" s="40">
        <f t="shared" si="0"/>
        <v>3.3308619003897942E-2</v>
      </c>
      <c r="O17" s="40">
        <f t="shared" si="1"/>
        <v>3.2844588185547925E-2</v>
      </c>
    </row>
    <row r="18" spans="2:15" x14ac:dyDescent="0.25">
      <c r="B18" s="42" t="s">
        <v>132</v>
      </c>
      <c r="C18" s="43">
        <f>'Historical FS'!C22</f>
        <v>6.4836550817599869E-2</v>
      </c>
      <c r="D18" s="43">
        <f>'Historical FS'!D22</f>
        <v>7.9972714693075195E-2</v>
      </c>
      <c r="E18" s="43">
        <f>'Historical FS'!E22</f>
        <v>6.1686209625206823E-2</v>
      </c>
      <c r="F18" s="43">
        <f>'Historical FS'!F22</f>
        <v>4.7085482323829121E-2</v>
      </c>
      <c r="G18" s="43">
        <f>'Historical FS'!G22</f>
        <v>4.7677477966421654E-2</v>
      </c>
      <c r="H18" s="43">
        <f>'Historical FS'!H22</f>
        <v>5.7905790579057904E-2</v>
      </c>
      <c r="I18" s="43">
        <f>'Historical FS'!I22</f>
        <v>5.8605443454953096E-2</v>
      </c>
      <c r="J18" s="43">
        <f>'Historical FS'!J22</f>
        <v>4.0998558457617969E-2</v>
      </c>
      <c r="K18" s="43">
        <f>'Historical FS'!K22</f>
        <v>4.5034948180284404E-2</v>
      </c>
      <c r="L18" s="43">
        <f>'Historical FS'!L22</f>
        <v>4.6695541867135981E-2</v>
      </c>
      <c r="M18" s="42"/>
      <c r="N18" s="44">
        <f t="shared" si="0"/>
        <v>5.3962463016398024E-2</v>
      </c>
      <c r="O18" s="44">
        <f t="shared" si="1"/>
        <v>4.7677477966421654E-2</v>
      </c>
    </row>
    <row r="19" spans="2:15" x14ac:dyDescent="0.25">
      <c r="N19" s="33"/>
      <c r="O19" s="33"/>
    </row>
    <row r="20" spans="2:15" x14ac:dyDescent="0.25">
      <c r="B20" s="38" t="s">
        <v>134</v>
      </c>
      <c r="C20" s="39">
        <f>('Historical FS'!C23+'Historical FS'!C19)/SUM('Historical FS'!C39,'Historical FS'!C40,'Historical FS'!C41)</f>
        <v>9.713288305629246E-2</v>
      </c>
      <c r="D20" s="39">
        <f>('Historical FS'!D23+'Historical FS'!D19)/SUM('Historical FS'!D39,'Historical FS'!D40,'Historical FS'!D41)</f>
        <v>5.0674780952854173E-2</v>
      </c>
      <c r="E20" s="39">
        <f>('Historical FS'!E23+'Historical FS'!E19)/SUM('Historical FS'!E39,'Historical FS'!E40,'Historical FS'!E41)</f>
        <v>0.13455388672496627</v>
      </c>
      <c r="F20" s="39">
        <f>('Historical FS'!F23+'Historical FS'!F19)/SUM('Historical FS'!F39,'Historical FS'!F40,'Historical FS'!F41)</f>
        <v>0.17107625647341634</v>
      </c>
      <c r="G20" s="39">
        <f>('Historical FS'!G23+'Historical FS'!G19)/SUM('Historical FS'!G39,'Historical FS'!G40,'Historical FS'!G41)</f>
        <v>0.18115122093659891</v>
      </c>
      <c r="H20" s="39">
        <f>('Historical FS'!H23+'Historical FS'!H19)/SUM('Historical FS'!H39,'Historical FS'!H40,'Historical FS'!H41)</f>
        <v>7.7196955785435922E-2</v>
      </c>
      <c r="I20" s="39">
        <f>('Historical FS'!I23+'Historical FS'!I19)/SUM('Historical FS'!I39,'Historical FS'!I40,'Historical FS'!I41)</f>
        <v>0.14198944629704277</v>
      </c>
      <c r="J20" s="39">
        <f>('Historical FS'!J23+'Historical FS'!J19)/SUM('Historical FS'!J39,'Historical FS'!J40,'Historical FS'!J41)</f>
        <v>0.23731133630512993</v>
      </c>
      <c r="K20" s="39">
        <f>('Historical FS'!K23+'Historical FS'!K19)/SUM('Historical FS'!K39,'Historical FS'!K40,'Historical FS'!K41)</f>
        <v>7.5033436143789059E-2</v>
      </c>
      <c r="L20" s="39">
        <f>('Historical FS'!L23+'Historical FS'!L19)/SUM('Historical FS'!L39,'Historical FS'!L40,'Historical FS'!L41)</f>
        <v>0.12064375531985536</v>
      </c>
      <c r="M20" s="38"/>
      <c r="N20" s="40">
        <f t="shared" si="0"/>
        <v>0.13218123054878764</v>
      </c>
      <c r="O20" s="40">
        <f t="shared" si="1"/>
        <v>0.13455388672496627</v>
      </c>
    </row>
    <row r="21" spans="2:15" x14ac:dyDescent="0.25">
      <c r="B21" t="s">
        <v>133</v>
      </c>
      <c r="C21" s="41">
        <f>'Historical FS'!C27/SUM('Historical FS'!C39:C40)</f>
        <v>7.254177276977157E-2</v>
      </c>
      <c r="D21" s="41">
        <f>'Historical FS'!D27/SUM('Historical FS'!D39:D40)</f>
        <v>7.723412837554576E-2</v>
      </c>
      <c r="E21" s="41">
        <f>'Historical FS'!E27/SUM('Historical FS'!E39:E40)</f>
        <v>0.15171987459707686</v>
      </c>
      <c r="F21" s="41">
        <f>'Historical FS'!F27/SUM('Historical FS'!F39:F40)</f>
        <v>0.22465890420744339</v>
      </c>
      <c r="G21" s="41">
        <f>'Historical FS'!G27/SUM('Historical FS'!G39:G40)</f>
        <v>0.21060497197873257</v>
      </c>
      <c r="H21" s="41">
        <f>'Historical FS'!H27/SUM('Historical FS'!H39:H40)</f>
        <v>0.1149758190114484</v>
      </c>
      <c r="I21" s="41">
        <f>'Historical FS'!I27/SUM('Historical FS'!I39:I40)</f>
        <v>0.15824138225985801</v>
      </c>
      <c r="J21" s="41">
        <f>'Historical FS'!J27/SUM('Historical FS'!J39:J40)</f>
        <v>0.28735307666017801</v>
      </c>
      <c r="K21" s="41">
        <f>'Historical FS'!K27/SUM('Historical FS'!K39:K40)</f>
        <v>3.9241951442271099E-2</v>
      </c>
      <c r="L21" s="41">
        <f>'Historical FS'!L27/SUM('Historical FS'!L39:L40)</f>
        <v>9.6215993510924566E-2</v>
      </c>
      <c r="N21" s="33">
        <f t="shared" si="0"/>
        <v>0.15113845578260873</v>
      </c>
      <c r="O21" s="33">
        <f t="shared" si="1"/>
        <v>0.15171987459707686</v>
      </c>
    </row>
    <row r="22" spans="2:15" x14ac:dyDescent="0.25">
      <c r="B22" t="s">
        <v>135</v>
      </c>
      <c r="C22" s="41">
        <f>'Historical FS'!C35</f>
        <v>5.3115588283965387</v>
      </c>
      <c r="D22" s="41">
        <f>'Historical FS'!D35</f>
        <v>5.1261790501406352</v>
      </c>
      <c r="E22" s="41">
        <f>'Historical FS'!E35</f>
        <v>11.412998510673507</v>
      </c>
      <c r="F22" s="41">
        <f>'Historical FS'!F35</f>
        <v>22.023829223895419</v>
      </c>
      <c r="G22" s="41">
        <f>'Historical FS'!G35</f>
        <v>25.210574218103591</v>
      </c>
      <c r="H22" s="41">
        <f>'Historical FS'!H35</f>
        <v>14.918087042859508</v>
      </c>
      <c r="I22" s="41">
        <f>'Historical FS'!I35</f>
        <v>22.492967069336423</v>
      </c>
      <c r="J22" s="41">
        <f>'Historical FS'!J35</f>
        <v>58.396698659606159</v>
      </c>
      <c r="K22" s="41">
        <f>'Historical FS'!K35</f>
        <v>6.4314082409399296</v>
      </c>
      <c r="L22" s="41">
        <f>'Historical FS'!L35</f>
        <v>21.453690451850335</v>
      </c>
      <c r="N22" s="33">
        <f t="shared" si="0"/>
        <v>20.829603607489503</v>
      </c>
      <c r="O22" s="33">
        <f t="shared" si="1"/>
        <v>21.453690451850335</v>
      </c>
    </row>
    <row r="23" spans="2:15" x14ac:dyDescent="0.25">
      <c r="B23" t="s">
        <v>136</v>
      </c>
      <c r="C23" s="33">
        <f>C21*C22</f>
        <v>0.38530989358281581</v>
      </c>
      <c r="D23" s="33">
        <f t="shared" ref="D23:L23" si="2">D21*D22</f>
        <v>0.39591597083459507</v>
      </c>
      <c r="E23" s="33">
        <f t="shared" si="2"/>
        <v>1.7315787028160095</v>
      </c>
      <c r="F23" s="33">
        <f t="shared" si="2"/>
        <v>4.9478493398922128</v>
      </c>
      <c r="G23" s="33">
        <f t="shared" si="2"/>
        <v>5.3094722767714648</v>
      </c>
      <c r="H23" s="33">
        <f t="shared" si="2"/>
        <v>1.7152192758368483</v>
      </c>
      <c r="I23" s="33">
        <f t="shared" si="2"/>
        <v>3.559318200177263</v>
      </c>
      <c r="J23" s="33">
        <f t="shared" si="2"/>
        <v>16.780471026635123</v>
      </c>
      <c r="K23" s="33">
        <f t="shared" si="2"/>
        <v>0.2523810098963869</v>
      </c>
      <c r="L23" s="33">
        <f t="shared" si="2"/>
        <v>2.0641881413006162</v>
      </c>
      <c r="N23" s="33">
        <f t="shared" si="0"/>
        <v>4.0840437715733922</v>
      </c>
      <c r="O23" s="33">
        <f t="shared" si="1"/>
        <v>2.0641881413006162</v>
      </c>
    </row>
    <row r="24" spans="2:15" x14ac:dyDescent="0.25">
      <c r="B24" s="42" t="s">
        <v>137</v>
      </c>
      <c r="C24" s="45">
        <f>SUM('Historical FS'!C23,'Historical FS'!C19)/'Historical FS'!C19</f>
        <v>1.6974861366779017</v>
      </c>
      <c r="D24" s="45">
        <f>SUM('Historical FS'!D23,'Historical FS'!D19)/'Historical FS'!D19</f>
        <v>0.86075952882110707</v>
      </c>
      <c r="E24" s="45">
        <f>SUM('Historical FS'!E23,'Historical FS'!E19)/'Historical FS'!E19</f>
        <v>2.3561571125265393</v>
      </c>
      <c r="F24" s="45">
        <f>SUM('Historical FS'!F23,'Historical FS'!F19)/'Historical FS'!F19</f>
        <v>3.1151040259389355</v>
      </c>
      <c r="G24" s="45">
        <f>SUM('Historical FS'!G23,'Historical FS'!G19)/'Historical FS'!G19</f>
        <v>3.8011233086545824</v>
      </c>
      <c r="H24" s="45">
        <f>SUM('Historical FS'!H23,'Historical FS'!H19)/'Historical FS'!H19</f>
        <v>1.7742086752637749</v>
      </c>
      <c r="I24" s="45">
        <f>SUM('Historical FS'!I23,'Historical FS'!I19)/'Historical FS'!I19</f>
        <v>3.9168562041950974</v>
      </c>
      <c r="J24" s="45">
        <f>SUM('Historical FS'!J23,'Historical FS'!J19)/'Historical FS'!J19</f>
        <v>6.6652576489533013</v>
      </c>
      <c r="K24" s="45">
        <f>SUM('Historical FS'!K23,'Historical FS'!K19)/'Historical FS'!K19</f>
        <v>1.5931614024920313</v>
      </c>
      <c r="L24" s="45">
        <f>SUM('Historical FS'!L23,'Historical FS'!L19)/'Historical FS'!L19</f>
        <v>2.4657618753855646</v>
      </c>
      <c r="M24" s="42"/>
      <c r="N24" s="44">
        <f t="shared" si="0"/>
        <v>2.9498210869145485</v>
      </c>
      <c r="O24" s="44">
        <f t="shared" si="1"/>
        <v>2.4657618753855646</v>
      </c>
    </row>
    <row r="25" spans="2:15" x14ac:dyDescent="0.25">
      <c r="N25" s="33"/>
      <c r="O25" s="33"/>
    </row>
    <row r="26" spans="2:15" x14ac:dyDescent="0.25">
      <c r="B26" s="38" t="s">
        <v>138</v>
      </c>
      <c r="C26" s="46">
        <f>'Historical FS'!C6/'Historical FS'!C51</f>
        <v>21.190723072307232</v>
      </c>
      <c r="D26" s="46">
        <f>'Historical FS'!D6/'Historical FS'!D51</f>
        <v>15.233052354466023</v>
      </c>
      <c r="E26" s="46">
        <f>'Historical FS'!E6/'Historical FS'!E51</f>
        <v>13.401783562304169</v>
      </c>
      <c r="F26" s="46">
        <f>'Historical FS'!F6/'Historical FS'!F51</f>
        <v>15.29187925170068</v>
      </c>
      <c r="G26" s="46">
        <f>'Historical FS'!G6/'Historical FS'!G51</f>
        <v>11.837569832402234</v>
      </c>
      <c r="H26" s="46">
        <f>'Historical FS'!H6/'Historical FS'!H51</f>
        <v>16.276581576026636</v>
      </c>
      <c r="I26" s="46">
        <f>'Historical FS'!I6/'Historical FS'!I51</f>
        <v>17.797369594293357</v>
      </c>
      <c r="J26" s="46">
        <f>'Historical FS'!J6/'Historical FS'!J51</f>
        <v>19.62867104733807</v>
      </c>
      <c r="K26" s="46">
        <f>'Historical FS'!K6/'Historical FS'!K51</f>
        <v>23.263246425567704</v>
      </c>
      <c r="L26" s="46">
        <f>'Historical FS'!L6/'Historical FS'!L51</f>
        <v>23.185744568097508</v>
      </c>
      <c r="M26" s="38"/>
      <c r="N26" s="40">
        <f t="shared" si="0"/>
        <v>17.32398869024404</v>
      </c>
      <c r="O26" s="40">
        <f t="shared" si="1"/>
        <v>16.276581576026636</v>
      </c>
    </row>
    <row r="27" spans="2:15" x14ac:dyDescent="0.25">
      <c r="B27" t="s">
        <v>139</v>
      </c>
      <c r="C27" s="47">
        <f>'Historical FS'!C6/'Data Sheet'!C77</f>
        <v>3.7165165228372974</v>
      </c>
      <c r="D27" s="47">
        <f>'Historical FS'!D6/'Data Sheet'!D77</f>
        <v>3.2564798557767674</v>
      </c>
      <c r="E27" s="47">
        <f>'Historical FS'!E6/'Data Sheet'!E77</f>
        <v>4.1657177105184298</v>
      </c>
      <c r="F27" s="47">
        <f>'Historical FS'!F6/'Data Sheet'!F77</f>
        <v>4.5116031108881085</v>
      </c>
      <c r="G27" s="47">
        <f>'Historical FS'!G6/'Data Sheet'!G77</f>
        <v>5.2451884398787056</v>
      </c>
      <c r="H27" s="47">
        <f>'Historical FS'!H6/'Data Sheet'!H77</f>
        <v>4.092309409532314</v>
      </c>
      <c r="I27" s="47">
        <f>'Historical FS'!I6/'Data Sheet'!I77</f>
        <v>5.2377484747097025</v>
      </c>
      <c r="J27" s="47">
        <f>'Historical FS'!J6/'Data Sheet'!J77</f>
        <v>4.7386124510343484</v>
      </c>
      <c r="K27" s="47">
        <f>'Historical FS'!K6/'Data Sheet'!K77</f>
        <v>4.3441614532890087</v>
      </c>
      <c r="L27" s="47">
        <f>'Historical FS'!L6/'Data Sheet'!L77</f>
        <v>5.245197062790349</v>
      </c>
      <c r="N27" s="33">
        <f t="shared" si="0"/>
        <v>4.5374464409353044</v>
      </c>
      <c r="O27" s="33">
        <f t="shared" si="1"/>
        <v>4.5116031108881085</v>
      </c>
    </row>
    <row r="28" spans="2:15" x14ac:dyDescent="0.25">
      <c r="B28" t="s">
        <v>140</v>
      </c>
      <c r="C28" s="47">
        <f>'Historical FS'!C6/'Historical FS'!C52</f>
        <v>4.8116375269778286</v>
      </c>
      <c r="D28" s="47">
        <f>'Historical FS'!D6/'Historical FS'!D52</f>
        <v>4.9928219315049063</v>
      </c>
      <c r="E28" s="47">
        <f>'Historical FS'!E6/'Historical FS'!E52</f>
        <v>4.8796840719613863</v>
      </c>
      <c r="F28" s="47">
        <f>'Historical FS'!F6/'Historical FS'!F52</f>
        <v>5.7116881054470383</v>
      </c>
      <c r="G28" s="47">
        <f>'Historical FS'!G6/'Historical FS'!G52</f>
        <v>5.8260241957657408</v>
      </c>
      <c r="H28" s="47">
        <f>'Historical FS'!H6/'Historical FS'!H52</f>
        <v>5.3238945763450225</v>
      </c>
      <c r="I28" s="47">
        <f>'Historical FS'!I6/'Historical FS'!I52</f>
        <v>5.6031300442136294</v>
      </c>
      <c r="J28" s="47">
        <f>'Historical FS'!J6/'Historical FS'!J52</f>
        <v>4.3321691774943023</v>
      </c>
      <c r="K28" s="47">
        <f>'Historical FS'!K6/'Historical FS'!K52</f>
        <v>5.0086011770031691</v>
      </c>
      <c r="L28" s="47">
        <f>'Historical FS'!L6/'Historical FS'!L52</f>
        <v>4.6279518709506808</v>
      </c>
      <c r="N28" s="33">
        <f t="shared" si="0"/>
        <v>5.1451072389650978</v>
      </c>
      <c r="O28" s="33">
        <f t="shared" si="1"/>
        <v>5.0086011770031691</v>
      </c>
    </row>
    <row r="29" spans="2:15" x14ac:dyDescent="0.25">
      <c r="B29" t="s">
        <v>141</v>
      </c>
      <c r="C29" s="47">
        <f>'Historical FS'!C6/'Historical FS'!C45</f>
        <v>1.0152412168901273</v>
      </c>
      <c r="D29" s="47">
        <f>'Historical FS'!D6/'Historical FS'!D45</f>
        <v>0.74005210589616732</v>
      </c>
      <c r="E29" s="47">
        <f>'Historical FS'!E6/'Historical FS'!E45</f>
        <v>0.94677336965775583</v>
      </c>
      <c r="F29" s="47">
        <f>'Historical FS'!F6/'Historical FS'!F45</f>
        <v>1.2434829207578482</v>
      </c>
      <c r="G29" s="47">
        <f>'Historical FS'!G6/'Historical FS'!G45</f>
        <v>1.3529947002107146</v>
      </c>
      <c r="H29" s="47">
        <f>'Historical FS'!H6/'Historical FS'!H45</f>
        <v>1.1810582266247887</v>
      </c>
      <c r="I29" s="47">
        <f>'Historical FS'!I6/'Historical FS'!I45</f>
        <v>1.2298627478164426</v>
      </c>
      <c r="J29" s="47">
        <f>'Historical FS'!J6/'Historical FS'!J45</f>
        <v>1.4654685622747297</v>
      </c>
      <c r="K29" s="47">
        <f>'Historical FS'!K6/'Historical FS'!K45</f>
        <v>1.5888637843219853</v>
      </c>
      <c r="L29" s="47">
        <f>'Historical FS'!L6/'Historical FS'!L45</f>
        <v>1.5561483536514882</v>
      </c>
      <c r="N29" s="33">
        <f t="shared" si="0"/>
        <v>1.2560783079124356</v>
      </c>
      <c r="O29" s="33">
        <f t="shared" si="1"/>
        <v>1.2434829207578482</v>
      </c>
    </row>
    <row r="30" spans="2:15" x14ac:dyDescent="0.25">
      <c r="B30" s="42" t="s">
        <v>143</v>
      </c>
      <c r="C30" s="45">
        <f>'Historical FS'!C6/SUM('Historical FS'!C39:C40)</f>
        <v>2.3765080997270482</v>
      </c>
      <c r="D30" s="45">
        <f>'Historical FS'!D6/SUM('Historical FS'!D39:D40)</f>
        <v>2.1906240031214654</v>
      </c>
      <c r="E30" s="45">
        <f>'Historical FS'!E6/SUM('Historical FS'!E39:E40)</f>
        <v>2.4552479357089241</v>
      </c>
      <c r="F30" s="45">
        <f>'Historical FS'!F6/SUM('Historical FS'!F39:F40)</f>
        <v>2.5692192299449959</v>
      </c>
      <c r="G30" s="45">
        <f>'Historical FS'!G6/SUM('Historical FS'!G39:G40)</f>
        <v>2.435895962063515</v>
      </c>
      <c r="H30" s="45">
        <f>'Historical FS'!H6/SUM('Historical FS'!H39:H40)</f>
        <v>2.0034973633159376</v>
      </c>
      <c r="I30" s="45">
        <f>'Historical FS'!I6/SUM('Historical FS'!I39:I40)</f>
        <v>1.7072748267898383</v>
      </c>
      <c r="J30" s="45">
        <f>'Historical FS'!J6/SUM('Historical FS'!J39:J40)</f>
        <v>2.175000371487585</v>
      </c>
      <c r="K30" s="45">
        <f>'Historical FS'!K6/SUM('Historical FS'!K39:K40)</f>
        <v>2.5262196514194382</v>
      </c>
      <c r="L30" s="45">
        <f>'Historical FS'!L6/SUM('Historical FS'!L39:L40)</f>
        <v>2.2532284437806589</v>
      </c>
      <c r="M30" s="42"/>
      <c r="N30" s="44">
        <f t="shared" si="0"/>
        <v>2.2573564208480397</v>
      </c>
      <c r="O30" s="44">
        <f t="shared" si="1"/>
        <v>2.2532284437806589</v>
      </c>
    </row>
    <row r="31" spans="2:15" x14ac:dyDescent="0.25">
      <c r="N31" s="33"/>
      <c r="O31" s="33"/>
    </row>
    <row r="32" spans="2:15" x14ac:dyDescent="0.25">
      <c r="B32" s="38" t="s">
        <v>144</v>
      </c>
      <c r="C32" s="48">
        <f>365/C26</f>
        <v>17.224518425093034</v>
      </c>
      <c r="D32" s="48">
        <f t="shared" ref="D32:L32" si="3">365/D26</f>
        <v>23.961054653172603</v>
      </c>
      <c r="E32" s="48">
        <f t="shared" si="3"/>
        <v>27.235180922235809</v>
      </c>
      <c r="F32" s="48">
        <f t="shared" si="3"/>
        <v>23.868877983679258</v>
      </c>
      <c r="G32" s="48">
        <f t="shared" si="3"/>
        <v>30.834031407435376</v>
      </c>
      <c r="H32" s="48">
        <f t="shared" si="3"/>
        <v>22.424856121975836</v>
      </c>
      <c r="I32" s="48">
        <f t="shared" si="3"/>
        <v>20.50864865541903</v>
      </c>
      <c r="J32" s="48">
        <f t="shared" si="3"/>
        <v>18.595247692507396</v>
      </c>
      <c r="K32" s="48">
        <f t="shared" si="3"/>
        <v>15.68998553868402</v>
      </c>
      <c r="L32" s="48">
        <f t="shared" si="3"/>
        <v>15.74243168805641</v>
      </c>
      <c r="M32" s="38"/>
      <c r="N32" s="40">
        <f t="shared" si="0"/>
        <v>22.095590518129526</v>
      </c>
      <c r="O32" s="40">
        <f t="shared" si="1"/>
        <v>22.424856121975836</v>
      </c>
    </row>
    <row r="33" spans="2:15" x14ac:dyDescent="0.25">
      <c r="B33" t="s">
        <v>145</v>
      </c>
      <c r="C33" s="49">
        <f t="shared" ref="C33:L35" si="4">365/C27</f>
        <v>98.210245469687379</v>
      </c>
      <c r="D33" s="49">
        <f t="shared" si="4"/>
        <v>112.08421859343473</v>
      </c>
      <c r="E33" s="49">
        <f t="shared" si="4"/>
        <v>87.619955398892159</v>
      </c>
      <c r="F33" s="49">
        <f t="shared" si="4"/>
        <v>80.902506499103325</v>
      </c>
      <c r="G33" s="49">
        <f t="shared" si="4"/>
        <v>69.587585686138013</v>
      </c>
      <c r="H33" s="49">
        <f t="shared" si="4"/>
        <v>89.191691896462373</v>
      </c>
      <c r="I33" s="49">
        <f t="shared" si="4"/>
        <v>69.686431443279602</v>
      </c>
      <c r="J33" s="49">
        <f t="shared" si="4"/>
        <v>77.026767597406604</v>
      </c>
      <c r="K33" s="49">
        <f t="shared" si="4"/>
        <v>84.020818269462524</v>
      </c>
      <c r="L33" s="49">
        <f t="shared" si="4"/>
        <v>69.587471286698744</v>
      </c>
      <c r="N33" s="33">
        <f t="shared" si="0"/>
        <v>82.189716296764232</v>
      </c>
      <c r="O33" s="33">
        <f t="shared" si="1"/>
        <v>80.902506499103325</v>
      </c>
    </row>
    <row r="34" spans="2:15" x14ac:dyDescent="0.25">
      <c r="B34" t="s">
        <v>146</v>
      </c>
      <c r="C34" s="49">
        <f t="shared" si="4"/>
        <v>75.857750704104916</v>
      </c>
      <c r="D34" s="49">
        <f t="shared" si="4"/>
        <v>73.104950468358467</v>
      </c>
      <c r="E34" s="49">
        <f t="shared" si="4"/>
        <v>74.799924465865772</v>
      </c>
      <c r="F34" s="49">
        <f t="shared" si="4"/>
        <v>63.904049601712707</v>
      </c>
      <c r="G34" s="49">
        <f t="shared" si="4"/>
        <v>62.649928619465058</v>
      </c>
      <c r="H34" s="49">
        <f t="shared" si="4"/>
        <v>68.55883315604288</v>
      </c>
      <c r="I34" s="49">
        <f t="shared" si="4"/>
        <v>65.14216109921216</v>
      </c>
      <c r="J34" s="49">
        <f t="shared" si="4"/>
        <v>84.253404021288375</v>
      </c>
      <c r="K34" s="49">
        <f t="shared" si="4"/>
        <v>72.874638467100496</v>
      </c>
      <c r="L34" s="49">
        <f t="shared" si="4"/>
        <v>78.868581648629188</v>
      </c>
      <c r="N34" s="33">
        <f t="shared" si="0"/>
        <v>71.572941283075011</v>
      </c>
      <c r="O34" s="33">
        <f t="shared" si="1"/>
        <v>72.874638467100496</v>
      </c>
    </row>
    <row r="35" spans="2:15" x14ac:dyDescent="0.25">
      <c r="B35" s="42" t="s">
        <v>147</v>
      </c>
      <c r="C35" s="50">
        <f t="shared" si="4"/>
        <v>359.52047053217848</v>
      </c>
      <c r="D35" s="50">
        <f t="shared" si="4"/>
        <v>493.2085147680279</v>
      </c>
      <c r="E35" s="50">
        <f t="shared" si="4"/>
        <v>385.51992662398391</v>
      </c>
      <c r="F35" s="50">
        <f t="shared" si="4"/>
        <v>293.53036853738894</v>
      </c>
      <c r="G35" s="50">
        <f t="shared" si="4"/>
        <v>269.77193624125442</v>
      </c>
      <c r="H35" s="50">
        <f t="shared" si="4"/>
        <v>309.04488176090337</v>
      </c>
      <c r="I35" s="50">
        <f t="shared" si="4"/>
        <v>296.78108443242024</v>
      </c>
      <c r="J35" s="50">
        <f t="shared" si="4"/>
        <v>249.06709662433133</v>
      </c>
      <c r="K35" s="50">
        <f t="shared" si="4"/>
        <v>229.72390937575318</v>
      </c>
      <c r="L35" s="50">
        <f t="shared" si="4"/>
        <v>234.55347245237306</v>
      </c>
      <c r="M35" s="42"/>
      <c r="N35" s="44">
        <f t="shared" si="0"/>
        <v>306.80013231293736</v>
      </c>
      <c r="O35" s="44">
        <f t="shared" si="1"/>
        <v>293.53036853738894</v>
      </c>
    </row>
    <row r="36" spans="2:15" x14ac:dyDescent="0.25">
      <c r="N36" s="33"/>
      <c r="O36" s="33"/>
    </row>
    <row r="37" spans="2:15" x14ac:dyDescent="0.25">
      <c r="B37" s="38" t="s">
        <v>149</v>
      </c>
      <c r="C37" s="39">
        <f>'Historical FS'!C71/'Historical FS'!C6</f>
        <v>0.14866482001362619</v>
      </c>
      <c r="D37" s="39">
        <f>'Historical FS'!D71/'Historical FS'!D6</f>
        <v>0.16603215170014468</v>
      </c>
      <c r="E37" s="39">
        <f>'Historical FS'!E71/'Historical FS'!E6</f>
        <v>0.14186029782030068</v>
      </c>
      <c r="F37" s="39">
        <f>'Historical FS'!F71/'Historical FS'!F6</f>
        <v>0.17209069550832023</v>
      </c>
      <c r="G37" s="39">
        <f>'Historical FS'!G71/'Historical FS'!G6</f>
        <v>0.17264650707316209</v>
      </c>
      <c r="H37" s="39">
        <f>'Historical FS'!H71/'Historical FS'!H6</f>
        <v>0.17435834492540164</v>
      </c>
      <c r="I37" s="39">
        <f>'Historical FS'!I71/'Historical FS'!I6</f>
        <v>0.23533611392928269</v>
      </c>
      <c r="J37" s="39">
        <f>'Historical FS'!J71/'Historical FS'!J6</f>
        <v>0.17947544253984737</v>
      </c>
      <c r="K37" s="39">
        <f>'Historical FS'!K71/'Historical FS'!K6</f>
        <v>0.14053386358158593</v>
      </c>
      <c r="L37" s="39">
        <f>'Historical FS'!L71/'Historical FS'!L6</f>
        <v>6.9014776636229611E-2</v>
      </c>
      <c r="M37" s="38"/>
      <c r="N37" s="40">
        <f t="shared" si="0"/>
        <v>0.16126091041269719</v>
      </c>
      <c r="O37" s="40">
        <f t="shared" si="1"/>
        <v>0.17209069550832023</v>
      </c>
    </row>
    <row r="38" spans="2:15" x14ac:dyDescent="0.25">
      <c r="B38" t="s">
        <v>150</v>
      </c>
      <c r="C38" s="41">
        <f>'Historical FS'!C71/'Historical FS'!C56</f>
        <v>9.1939793036812809E-2</v>
      </c>
      <c r="D38" s="41">
        <f>'Historical FS'!D71/'Historical FS'!D56</f>
        <v>8.4217568971600695E-2</v>
      </c>
      <c r="E38" s="41">
        <f>'Historical FS'!E71/'Historical FS'!E56</f>
        <v>8.963127095051418E-2</v>
      </c>
      <c r="F38" s="41">
        <f>'Historical FS'!F71/'Historical FS'!F56</f>
        <v>0.13459823855605088</v>
      </c>
      <c r="G38" s="41">
        <f>'Historical FS'!G71/'Historical FS'!G56</f>
        <v>0.12746848785247</v>
      </c>
      <c r="H38" s="41">
        <f>'Historical FS'!H71/'Historical FS'!H56</f>
        <v>9.6988317402518592E-2</v>
      </c>
      <c r="I38" s="41">
        <f>'Historical FS'!I71/'Historical FS'!I56</f>
        <v>0.12668136491433887</v>
      </c>
      <c r="J38" s="41">
        <f>'Historical FS'!J71/'Historical FS'!J56</f>
        <v>0.1336997735196071</v>
      </c>
      <c r="K38" s="41">
        <f>'Historical FS'!K71/'Historical FS'!K56</f>
        <v>0.11077757565106702</v>
      </c>
      <c r="L38" s="41">
        <f>'Historical FS'!L71/'Historical FS'!L56</f>
        <v>5.2997393570807995E-2</v>
      </c>
      <c r="N38" s="33">
        <f t="shared" si="0"/>
        <v>0.1063399990432195</v>
      </c>
      <c r="O38" s="33">
        <f t="shared" si="1"/>
        <v>0.11077757565106702</v>
      </c>
    </row>
    <row r="39" spans="2:15" x14ac:dyDescent="0.25">
      <c r="B39" s="42" t="s">
        <v>151</v>
      </c>
      <c r="C39" s="43">
        <f>'Historical FS'!C71/'Historical FS'!C41</f>
        <v>0.20320346718012419</v>
      </c>
      <c r="D39" s="43">
        <f>'Historical FS'!D71/'Historical FS'!D41</f>
        <v>0.16344410711488927</v>
      </c>
      <c r="E39" s="43">
        <f>'Historical FS'!E71/'Historical FS'!E41</f>
        <v>0.18202796880048</v>
      </c>
      <c r="F39" s="43">
        <f>'Historical FS'!F71/'Historical FS'!F41</f>
        <v>0.31424364734851368</v>
      </c>
      <c r="G39" s="43">
        <f>'Historical FS'!G71/'Historical FS'!G41</f>
        <v>0.30873913410414383</v>
      </c>
      <c r="H39" s="43">
        <f>'Historical FS'!H71/'Historical FS'!H41</f>
        <v>0.20814678540611822</v>
      </c>
      <c r="I39" s="43">
        <f>'Historical FS'!I71/'Historical FS'!I41</f>
        <v>0.30114437748429285</v>
      </c>
      <c r="J39" s="43">
        <f>'Historical FS'!J71/'Historical FS'!J41</f>
        <v>0.36366405027894294</v>
      </c>
      <c r="K39" s="43">
        <f>'Historical FS'!K71/'Historical FS'!K41</f>
        <v>0.28846177631009362</v>
      </c>
      <c r="L39" s="43">
        <f>'Historical FS'!L71/'Historical FS'!L41</f>
        <v>0.13727495908346973</v>
      </c>
      <c r="M39" s="42"/>
      <c r="N39" s="44">
        <f t="shared" si="0"/>
        <v>0.2519052006589938</v>
      </c>
      <c r="O39" s="44">
        <f t="shared" si="1"/>
        <v>0.28846177631009362</v>
      </c>
    </row>
    <row r="40" spans="2:15" x14ac:dyDescent="0.25">
      <c r="N40" s="33"/>
    </row>
    <row r="41" spans="2:15" x14ac:dyDescent="0.25">
      <c r="N41" s="33"/>
    </row>
  </sheetData>
  <mergeCells count="1">
    <mergeCell ref="B2:L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6"/>
  <sheetViews>
    <sheetView showGridLines="0" workbookViewId="0">
      <pane ySplit="2" topLeftCell="A10" activePane="bottomLeft" state="frozen"/>
      <selection pane="bottomLeft" activeCell="H32" sqref="G32:H33"/>
    </sheetView>
  </sheetViews>
  <sheetFormatPr defaultRowHeight="15" x14ac:dyDescent="0.25"/>
  <cols>
    <col min="1" max="1" width="1.85546875" customWidth="1"/>
    <col min="2" max="2" width="25.140625" customWidth="1"/>
  </cols>
  <sheetData>
    <row r="2" spans="2:12" x14ac:dyDescent="0.25">
      <c r="B2" s="176" t="str">
        <f>"Common Size Statement "&amp;" "&amp; " - "&amp;'Data Sheet'!$B$1</f>
        <v>Common Size Statement   - JSW STEEL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4" spans="2:12" ht="15.75" thickBot="1" x14ac:dyDescent="0.3">
      <c r="B4" s="59" t="s">
        <v>165</v>
      </c>
      <c r="C4" s="60">
        <f>'Historical FS'!C3</f>
        <v>42094</v>
      </c>
      <c r="D4" s="60">
        <f>'Historical FS'!D3</f>
        <v>42460</v>
      </c>
      <c r="E4" s="60">
        <f>'Historical FS'!E3</f>
        <v>42825</v>
      </c>
      <c r="F4" s="60">
        <f>'Historical FS'!F3</f>
        <v>43190</v>
      </c>
      <c r="G4" s="60">
        <f>'Historical FS'!G3</f>
        <v>43555</v>
      </c>
      <c r="H4" s="60">
        <f>'Historical FS'!H3</f>
        <v>43921</v>
      </c>
      <c r="I4" s="60">
        <f>'Historical FS'!I3</f>
        <v>44286</v>
      </c>
      <c r="J4" s="60">
        <f>'Historical FS'!J3</f>
        <v>44651</v>
      </c>
      <c r="K4" s="60">
        <f>'Historical FS'!K3</f>
        <v>45016</v>
      </c>
      <c r="L4" s="60">
        <f>'Historical FS'!L3</f>
        <v>45382</v>
      </c>
    </row>
    <row r="5" spans="2:12" x14ac:dyDescent="0.25">
      <c r="B5" s="11" t="str">
        <f>'Data Sheet'!A17</f>
        <v>Sales</v>
      </c>
      <c r="C5" s="58">
        <f>'Data Sheet'!B17/'Data Sheet'!B$17</f>
        <v>1</v>
      </c>
      <c r="D5" s="58">
        <f>'Data Sheet'!C17/'Data Sheet'!C$17</f>
        <v>1</v>
      </c>
      <c r="E5" s="58">
        <f>'Data Sheet'!D17/'Data Sheet'!D$17</f>
        <v>1</v>
      </c>
      <c r="F5" s="58">
        <f>'Data Sheet'!E17/'Data Sheet'!E$17</f>
        <v>1</v>
      </c>
      <c r="G5" s="58">
        <f>'Data Sheet'!F17/'Data Sheet'!F$17</f>
        <v>1</v>
      </c>
      <c r="H5" s="58">
        <f>'Data Sheet'!G17/'Data Sheet'!G$17</f>
        <v>1</v>
      </c>
      <c r="I5" s="58">
        <f>'Data Sheet'!H17/'Data Sheet'!H$17</f>
        <v>1</v>
      </c>
      <c r="J5" s="58">
        <f>'Data Sheet'!I17/'Data Sheet'!I$17</f>
        <v>1</v>
      </c>
      <c r="K5" s="58">
        <f>'Data Sheet'!J17/'Data Sheet'!J$17</f>
        <v>1</v>
      </c>
      <c r="L5" s="58">
        <f>'Data Sheet'!K17/'Data Sheet'!K$17</f>
        <v>1</v>
      </c>
    </row>
    <row r="6" spans="2:12" x14ac:dyDescent="0.25">
      <c r="B6" s="10" t="str">
        <f>'Data Sheet'!A18</f>
        <v>Raw Material Cost</v>
      </c>
      <c r="C6" s="57">
        <f>'Data Sheet'!B18/'Data Sheet'!B$17</f>
        <v>0.58787110278713972</v>
      </c>
      <c r="D6" s="57">
        <f>'Data Sheet'!C18/'Data Sheet'!C$17</f>
        <v>0.50981883528614069</v>
      </c>
      <c r="E6" s="57">
        <f>'Data Sheet'!D18/'Data Sheet'!D$17</f>
        <v>0.53501546651320053</v>
      </c>
      <c r="F6" s="57">
        <f>'Data Sheet'!E18/'Data Sheet'!E$17</f>
        <v>0.53912668733404701</v>
      </c>
      <c r="G6" s="57">
        <f>'Data Sheet'!F18/'Data Sheet'!F$17</f>
        <v>0.51672428236015899</v>
      </c>
      <c r="H6" s="57">
        <f>'Data Sheet'!G18/'Data Sheet'!G$17</f>
        <v>0.53187136895507736</v>
      </c>
      <c r="I6" s="57">
        <f>'Data Sheet'!H18/'Data Sheet'!H$17</f>
        <v>0.4115282005035133</v>
      </c>
      <c r="J6" s="57">
        <f>'Data Sheet'!I18/'Data Sheet'!I$17</f>
        <v>0.42953180616378928</v>
      </c>
      <c r="K6" s="57">
        <f>'Data Sheet'!J18/'Data Sheet'!J$17</f>
        <v>0.57827187274041936</v>
      </c>
      <c r="L6" s="57">
        <f>'Data Sheet'!K18/'Data Sheet'!K$17</f>
        <v>0.54143286515890887</v>
      </c>
    </row>
    <row r="7" spans="2:12" x14ac:dyDescent="0.25">
      <c r="B7" s="10" t="str">
        <f>'Data Sheet'!A19</f>
        <v>Change in Inventory</v>
      </c>
      <c r="C7" s="57">
        <f>'Data Sheet'!B19/'Data Sheet'!B$17</f>
        <v>2.8094536100632207E-2</v>
      </c>
      <c r="D7" s="57">
        <f>'Data Sheet'!C19/'Data Sheet'!C$17</f>
        <v>-3.2873306973903976E-2</v>
      </c>
      <c r="E7" s="57">
        <f>'Data Sheet'!D19/'Data Sheet'!D$17</f>
        <v>2.6724696065031292E-2</v>
      </c>
      <c r="F7" s="57">
        <f>'Data Sheet'!E19/'Data Sheet'!E$17</f>
        <v>-3.3920453755578108E-3</v>
      </c>
      <c r="G7" s="57">
        <f>'Data Sheet'!F19/'Data Sheet'!F$17</f>
        <v>6.9610769611949458E-3</v>
      </c>
      <c r="H7" s="57">
        <f>'Data Sheet'!G19/'Data Sheet'!G$17</f>
        <v>3.6821864004582278E-3</v>
      </c>
      <c r="I7" s="57">
        <f>'Data Sheet'!H19/'Data Sheet'!H$17</f>
        <v>4.3587720287077743E-3</v>
      </c>
      <c r="J7" s="57">
        <f>'Data Sheet'!I19/'Data Sheet'!I$17</f>
        <v>2.4601867856337663E-2</v>
      </c>
      <c r="K7" s="57">
        <f>'Data Sheet'!J19/'Data Sheet'!J$17</f>
        <v>1.5883345384429984E-2</v>
      </c>
      <c r="L7" s="57">
        <f>'Data Sheet'!K19/'Data Sheet'!K$17</f>
        <v>1.763939522073529E-2</v>
      </c>
    </row>
    <row r="8" spans="2:12" x14ac:dyDescent="0.25">
      <c r="B8" s="10" t="str">
        <f>'Data Sheet'!A20</f>
        <v>Power and Fuel</v>
      </c>
      <c r="C8" s="57">
        <f>'Data Sheet'!B20/'Data Sheet'!B$17</f>
        <v>7.7836180241039013E-2</v>
      </c>
      <c r="D8" s="57">
        <f>'Data Sheet'!C20/'Data Sheet'!C$17</f>
        <v>8.8043735439391896E-2</v>
      </c>
      <c r="E8" s="57">
        <f>'Data Sheet'!D20/'Data Sheet'!D$17</f>
        <v>8.7817423206963521E-2</v>
      </c>
      <c r="F8" s="57">
        <f>'Data Sheet'!E20/'Data Sheet'!E$17</f>
        <v>7.919869878915102E-2</v>
      </c>
      <c r="G8" s="57">
        <f>'Data Sheet'!F20/'Data Sheet'!F$17</f>
        <v>8.321436577509822E-2</v>
      </c>
      <c r="H8" s="57">
        <f>'Data Sheet'!G20/'Data Sheet'!G$17</f>
        <v>8.5535826309903723E-2</v>
      </c>
      <c r="I8" s="57">
        <f>'Data Sheet'!H20/'Data Sheet'!H$17</f>
        <v>7.4963363769586289E-2</v>
      </c>
      <c r="J8" s="57">
        <f>'Data Sheet'!I20/'Data Sheet'!I$17</f>
        <v>7.7125933415772244E-2</v>
      </c>
      <c r="K8" s="57">
        <f>'Data Sheet'!J20/'Data Sheet'!J$17</f>
        <v>0.10515786936611232</v>
      </c>
      <c r="L8" s="57">
        <f>'Data Sheet'!K20/'Data Sheet'!K$17</f>
        <v>8.6437036444464765E-2</v>
      </c>
    </row>
    <row r="9" spans="2:12" x14ac:dyDescent="0.25">
      <c r="B9" s="10" t="str">
        <f>'Data Sheet'!A21</f>
        <v>Other Mfr. Exp</v>
      </c>
      <c r="C9" s="57">
        <f>'Data Sheet'!B21/'Data Sheet'!B$17</f>
        <v>0.12770581771220038</v>
      </c>
      <c r="D9" s="57">
        <f>'Data Sheet'!C21/'Data Sheet'!C$17</f>
        <v>0.13828109787255963</v>
      </c>
      <c r="E9" s="57">
        <f>'Data Sheet'!D21/'Data Sheet'!D$17</f>
        <v>0.1238579958276383</v>
      </c>
      <c r="F9" s="57">
        <f>'Data Sheet'!E21/'Data Sheet'!E$17</f>
        <v>0.1211266039230951</v>
      </c>
      <c r="G9" s="57">
        <f>'Data Sheet'!F21/'Data Sheet'!F$17</f>
        <v>0.11984850808782756</v>
      </c>
      <c r="H9" s="57">
        <f>'Data Sheet'!G21/'Data Sheet'!G$17</f>
        <v>0.13969124185145787</v>
      </c>
      <c r="I9" s="57">
        <f>'Data Sheet'!H21/'Data Sheet'!H$17</f>
        <v>0.20349703778854947</v>
      </c>
      <c r="J9" s="57">
        <f>'Data Sheet'!I21/'Data Sheet'!I$17</f>
        <v>0.20308667700569102</v>
      </c>
      <c r="K9" s="57">
        <f>'Data Sheet'!J21/'Data Sheet'!J$17</f>
        <v>0.15801397927211377</v>
      </c>
      <c r="L9" s="57">
        <f>'Data Sheet'!K21/'Data Sheet'!K$17</f>
        <v>0.16979989257511172</v>
      </c>
    </row>
    <row r="10" spans="2:12" x14ac:dyDescent="0.25">
      <c r="B10" s="10" t="str">
        <f>'Data Sheet'!A22</f>
        <v>Employee Cost</v>
      </c>
      <c r="C10" s="57">
        <f>'Data Sheet'!B22/'Data Sheet'!B$17</f>
        <v>2.8937064471071333E-2</v>
      </c>
      <c r="D10" s="57">
        <f>'Data Sheet'!C22/'Data Sheet'!C$17</f>
        <v>3.6553790638222491E-2</v>
      </c>
      <c r="E10" s="57">
        <f>'Data Sheet'!D22/'Data Sheet'!D$17</f>
        <v>3.0573340047478598E-2</v>
      </c>
      <c r="F10" s="57">
        <f>'Data Sheet'!E22/'Data Sheet'!E$17</f>
        <v>2.5621064045709203E-2</v>
      </c>
      <c r="G10" s="57">
        <f>'Data Sheet'!F22/'Data Sheet'!F$17</f>
        <v>2.9366306027820709E-2</v>
      </c>
      <c r="H10" s="57">
        <f>'Data Sheet'!G22/'Data Sheet'!G$17</f>
        <v>3.871750811444781E-2</v>
      </c>
      <c r="I10" s="57">
        <f>'Data Sheet'!H22/'Data Sheet'!H$17</f>
        <v>3.1388168689487593E-2</v>
      </c>
      <c r="J10" s="57">
        <f>'Data Sheet'!I22/'Data Sheet'!I$17</f>
        <v>2.3864016779280049E-2</v>
      </c>
      <c r="K10" s="57">
        <f>'Data Sheet'!J22/'Data Sheet'!J$17</f>
        <v>2.359002169197397E-2</v>
      </c>
      <c r="L10" s="57">
        <f>'Data Sheet'!K22/'Data Sheet'!K$17</f>
        <v>2.6233386283898839E-2</v>
      </c>
    </row>
    <row r="11" spans="2:12" x14ac:dyDescent="0.25">
      <c r="B11" s="10" t="str">
        <f>'Data Sheet'!A23</f>
        <v>Selling and admin</v>
      </c>
      <c r="C11" s="57">
        <f>'Data Sheet'!B23/'Data Sheet'!B$17</f>
        <v>7.0349136734067039E-3</v>
      </c>
      <c r="D11" s="57">
        <f>'Data Sheet'!C23/'Data Sheet'!C$17</f>
        <v>8.0108467278692599E-3</v>
      </c>
      <c r="E11" s="57">
        <f>'Data Sheet'!D23/'Data Sheet'!D$17</f>
        <v>5.8089346090209335E-3</v>
      </c>
      <c r="F11" s="57">
        <f>'Data Sheet'!E23/'Data Sheet'!E$17</f>
        <v>3.850805610776695E-3</v>
      </c>
      <c r="G11" s="57">
        <f>'Data Sheet'!F23/'Data Sheet'!F$17</f>
        <v>7.1026581875243341E-3</v>
      </c>
      <c r="H11" s="57">
        <f>'Data Sheet'!G23/'Data Sheet'!G$17</f>
        <v>6.1369773340970461E-3</v>
      </c>
      <c r="I11" s="57">
        <f>'Data Sheet'!H23/'Data Sheet'!H$17</f>
        <v>5.060183619534313E-3</v>
      </c>
      <c r="J11" s="57">
        <f>'Data Sheet'!I23/'Data Sheet'!I$17</f>
        <v>3.8053986103804716E-3</v>
      </c>
      <c r="K11" s="57">
        <f>'Data Sheet'!J23/'Data Sheet'!J$17</f>
        <v>6.134008194745722E-3</v>
      </c>
      <c r="L11" s="57">
        <f>'Data Sheet'!K23/'Data Sheet'!K$17</f>
        <v>5.1083962835559923E-3</v>
      </c>
    </row>
    <row r="12" spans="2:12" x14ac:dyDescent="0.25">
      <c r="B12" s="10" t="str">
        <f>'Data Sheet'!A24</f>
        <v>Other Expenses</v>
      </c>
      <c r="C12" s="57">
        <f>'Data Sheet'!B24/'Data Sheet'!B$17</f>
        <v>2.1937830354467898E-2</v>
      </c>
      <c r="D12" s="57">
        <f>'Data Sheet'!C24/'Data Sheet'!C$17</f>
        <v>3.1835906895870306E-2</v>
      </c>
      <c r="E12" s="57">
        <f>'Data Sheet'!D24/'Data Sheet'!D$17</f>
        <v>2.2300553916984388E-2</v>
      </c>
      <c r="F12" s="57">
        <f>'Data Sheet'!E24/'Data Sheet'!E$17</f>
        <v>2.032446860272754E-2</v>
      </c>
      <c r="G12" s="57">
        <f>'Data Sheet'!F24/'Data Sheet'!F$17</f>
        <v>2.7360571988154371E-2</v>
      </c>
      <c r="H12" s="57">
        <f>'Data Sheet'!G24/'Data Sheet'!G$17</f>
        <v>4.0626789951722447E-2</v>
      </c>
      <c r="I12" s="57">
        <f>'Data Sheet'!H24/'Data Sheet'!H$17</f>
        <v>2.5188191234860158E-2</v>
      </c>
      <c r="J12" s="57">
        <f>'Data Sheet'!I24/'Data Sheet'!I$17</f>
        <v>1.9962970807058774E-2</v>
      </c>
      <c r="K12" s="57">
        <f>'Data Sheet'!J24/'Data Sheet'!J$17</f>
        <v>3.3423716558206799E-2</v>
      </c>
      <c r="L12" s="57">
        <f>'Data Sheet'!K24/'Data Sheet'!K$17</f>
        <v>2.7736191901991933E-2</v>
      </c>
    </row>
    <row r="13" spans="2:12" x14ac:dyDescent="0.25">
      <c r="B13" s="10" t="str">
        <f>'Data Sheet'!A25</f>
        <v>Other Income</v>
      </c>
      <c r="C13" s="57">
        <f>'Data Sheet'!B25/'Data Sheet'!B$17</f>
        <v>1.9400994987682999E-3</v>
      </c>
      <c r="D13" s="57">
        <f>'Data Sheet'!C25/'Data Sheet'!C$17</f>
        <v>-4.7326384116754931E-2</v>
      </c>
      <c r="E13" s="57">
        <f>'Data Sheet'!D25/'Data Sheet'!D$17</f>
        <v>3.2371771814977338E-4</v>
      </c>
      <c r="F13" s="57">
        <f>'Data Sheet'!E25/'Data Sheet'!E$17</f>
        <v>-2.4606230798103791E-3</v>
      </c>
      <c r="G13" s="57">
        <f>'Data Sheet'!F25/'Data Sheet'!F$17</f>
        <v>2.3124933633800158E-3</v>
      </c>
      <c r="H13" s="57">
        <f>'Data Sheet'!G25/'Data Sheet'!G$17</f>
        <v>-3.9413032212312141E-3</v>
      </c>
      <c r="I13" s="57">
        <f>'Data Sheet'!H25/'Data Sheet'!H$17</f>
        <v>5.9244229010884403E-3</v>
      </c>
      <c r="J13" s="57">
        <f>'Data Sheet'!I25/'Data Sheet'!I$17</f>
        <v>1.0931127067520205E-2</v>
      </c>
      <c r="K13" s="57">
        <f>'Data Sheet'!J25/'Data Sheet'!J$17</f>
        <v>9.4058809351651E-3</v>
      </c>
      <c r="L13" s="57">
        <f>'Data Sheet'!K25/'Data Sheet'!K$17</f>
        <v>8.5711347039530081E-3</v>
      </c>
    </row>
    <row r="14" spans="2:12" x14ac:dyDescent="0.25">
      <c r="B14" s="10" t="str">
        <f>'Data Sheet'!A26</f>
        <v>Depreciation</v>
      </c>
      <c r="C14" s="57">
        <f>'Data Sheet'!B26/'Data Sheet'!B$17</f>
        <v>6.4836550817599869E-2</v>
      </c>
      <c r="D14" s="57">
        <f>'Data Sheet'!C26/'Data Sheet'!C$17</f>
        <v>7.9972714693075195E-2</v>
      </c>
      <c r="E14" s="57">
        <f>'Data Sheet'!D26/'Data Sheet'!D$17</f>
        <v>6.1686209625206823E-2</v>
      </c>
      <c r="F14" s="57">
        <f>'Data Sheet'!E26/'Data Sheet'!E$17</f>
        <v>4.7085482323829121E-2</v>
      </c>
      <c r="G14" s="57">
        <f>'Data Sheet'!F26/'Data Sheet'!F$17</f>
        <v>4.7677477966421654E-2</v>
      </c>
      <c r="H14" s="57">
        <f>'Data Sheet'!G26/'Data Sheet'!G$17</f>
        <v>5.7905790579057904E-2</v>
      </c>
      <c r="I14" s="57">
        <f>'Data Sheet'!H26/'Data Sheet'!H$17</f>
        <v>5.8605443454953096E-2</v>
      </c>
      <c r="J14" s="57">
        <f>'Data Sheet'!I26/'Data Sheet'!I$17</f>
        <v>4.0998558457617969E-2</v>
      </c>
      <c r="K14" s="57">
        <f>'Data Sheet'!J26/'Data Sheet'!J$17</f>
        <v>4.5034948180284404E-2</v>
      </c>
      <c r="L14" s="57">
        <f>'Data Sheet'!K26/'Data Sheet'!K$17</f>
        <v>4.6695541867135981E-2</v>
      </c>
    </row>
    <row r="15" spans="2:12" x14ac:dyDescent="0.25">
      <c r="B15" s="10" t="str">
        <f>'Data Sheet'!A27</f>
        <v>Interest</v>
      </c>
      <c r="C15" s="57">
        <f>'Data Sheet'!B27/'Data Sheet'!B$17</f>
        <v>6.5941673174882115E-2</v>
      </c>
      <c r="D15" s="57">
        <f>'Data Sheet'!C27/'Data Sheet'!C$17</f>
        <v>8.6678988701004211E-2</v>
      </c>
      <c r="E15" s="57">
        <f>'Data Sheet'!D27/'Data Sheet'!D$17</f>
        <v>6.7764908999352558E-2</v>
      </c>
      <c r="F15" s="57">
        <f>'Data Sheet'!E27/'Data Sheet'!E$17</f>
        <v>5.1450655471063353E-2</v>
      </c>
      <c r="G15" s="57">
        <f>'Data Sheet'!F27/'Data Sheet'!F$17</f>
        <v>4.6214471961017967E-2</v>
      </c>
      <c r="H15" s="57">
        <f>'Data Sheet'!G27/'Data Sheet'!G$17</f>
        <v>5.8164907399830892E-2</v>
      </c>
      <c r="I15" s="57">
        <f>'Data Sheet'!H27/'Data Sheet'!H$17</f>
        <v>4.9562244016082363E-2</v>
      </c>
      <c r="J15" s="57">
        <f>'Data Sheet'!I27/'Data Sheet'!I$17</f>
        <v>3.3941149544650238E-2</v>
      </c>
      <c r="K15" s="57">
        <f>'Data Sheet'!J27/'Data Sheet'!J$17</f>
        <v>4.1588334538442996E-2</v>
      </c>
      <c r="L15" s="57">
        <f>'Data Sheet'!K27/'Data Sheet'!K$17</f>
        <v>4.6312697850359415E-2</v>
      </c>
    </row>
    <row r="16" spans="2:12" x14ac:dyDescent="0.25">
      <c r="B16" s="10" t="str">
        <f>'Data Sheet'!A28</f>
        <v>Profit before tax</v>
      </c>
      <c r="C16" s="57">
        <f>'Data Sheet'!B28/'Data Sheet'!B$17</f>
        <v>4.7933502367593452E-2</v>
      </c>
      <c r="D16" s="57">
        <f>'Data Sheet'!C28/'Data Sheet'!C$17</f>
        <v>-5.9395607344792552E-2</v>
      </c>
      <c r="E16" s="57">
        <f>'Data Sheet'!D28/'Data Sheet'!D$17</f>
        <v>9.2223581037335439E-2</v>
      </c>
      <c r="F16" s="57">
        <f>'Data Sheet'!E28/'Data Sheet'!E$17</f>
        <v>0.10636286544423283</v>
      </c>
      <c r="G16" s="57">
        <f>'Data Sheet'!F28/'Data Sheet'!F$17</f>
        <v>0.13176492797055112</v>
      </c>
      <c r="H16" s="57">
        <f>'Data Sheet'!G28/'Data Sheet'!G$17</f>
        <v>4.1090472683632001E-2</v>
      </c>
      <c r="I16" s="57">
        <f>'Data Sheet'!H28/'Data Sheet'!H$17</f>
        <v>0.15049036185322962</v>
      </c>
      <c r="J16" s="57">
        <f>'Data Sheet'!I28/'Data Sheet'!I$17</f>
        <v>0.20321648413961782</v>
      </c>
      <c r="K16" s="57">
        <f>'Data Sheet'!J28/'Data Sheet'!J$17</f>
        <v>3.4074475777295735E-2</v>
      </c>
      <c r="L16" s="57">
        <f>'Data Sheet'!K28/'Data Sheet'!K$17</f>
        <v>7.645452155926083E-2</v>
      </c>
    </row>
    <row r="17" spans="2:12" x14ac:dyDescent="0.25">
      <c r="B17" s="10" t="str">
        <f>'Data Sheet'!A29</f>
        <v>Tax</v>
      </c>
      <c r="C17" s="57">
        <f>'Data Sheet'!B29/'Data Sheet'!B$17</f>
        <v>1.5468881291094022E-2</v>
      </c>
      <c r="D17" s="57">
        <f>'Data Sheet'!C29/'Data Sheet'!C$17</f>
        <v>-4.7325902724607349E-2</v>
      </c>
      <c r="E17" s="57">
        <f>'Data Sheet'!D29/'Data Sheet'!D$17</f>
        <v>3.0105747787928926E-2</v>
      </c>
      <c r="F17" s="57">
        <f>'Data Sheet'!E29/'Data Sheet'!E$17</f>
        <v>2.1381007326261938E-2</v>
      </c>
      <c r="G17" s="57">
        <f>'Data Sheet'!F29/'Data Sheet'!F$17</f>
        <v>4.2993499062024376E-2</v>
      </c>
      <c r="H17" s="57">
        <f>'Data Sheet'!G29/'Data Sheet'!G$17</f>
        <v>-1.235578103264872E-2</v>
      </c>
      <c r="I17" s="57">
        <f>'Data Sheet'!H29/'Data Sheet'!H$17</f>
        <v>5.1879407307205749E-2</v>
      </c>
      <c r="J17" s="57">
        <f>'Data Sheet'!I29/'Data Sheet'!I$17</f>
        <v>6.0169022552281529E-2</v>
      </c>
      <c r="K17" s="57">
        <f>'Data Sheet'!J29/'Data Sheet'!J$17</f>
        <v>9.1347312605447092E-3</v>
      </c>
      <c r="L17" s="57">
        <f>'Data Sheet'!K29/'Data Sheet'!K$17</f>
        <v>2.5181993760213937E-2</v>
      </c>
    </row>
    <row r="18" spans="2:12" x14ac:dyDescent="0.25">
      <c r="B18" s="10" t="str">
        <f>'Data Sheet'!A30</f>
        <v>Net profit</v>
      </c>
      <c r="C18" s="57">
        <f>'Data Sheet'!B30/'Data Sheet'!B$17</f>
        <v>3.3915778500556243E-2</v>
      </c>
      <c r="D18" s="57">
        <f>'Data Sheet'!C30/'Data Sheet'!C$17</f>
        <v>-8.0736684031283753E-3</v>
      </c>
      <c r="E18" s="57">
        <f>'Data Sheet'!D30/'Data Sheet'!D$17</f>
        <v>6.3358751168980654E-2</v>
      </c>
      <c r="F18" s="57">
        <f>'Data Sheet'!E30/'Data Sheet'!E$17</f>
        <v>8.6385942474246871E-2</v>
      </c>
      <c r="G18" s="57">
        <f>'Data Sheet'!F30/'Data Sheet'!F$17</f>
        <v>9.0128248994183369E-2</v>
      </c>
      <c r="H18" s="57">
        <f>'Data Sheet'!G30/'Data Sheet'!G$17</f>
        <v>5.4960041458691322E-2</v>
      </c>
      <c r="I18" s="57">
        <f>'Data Sheet'!H30/'Data Sheet'!H$17</f>
        <v>9.9086912411227593E-2</v>
      </c>
      <c r="J18" s="57">
        <f>'Data Sheet'!I30/'Data Sheet'!I$17</f>
        <v>0.14118233803144065</v>
      </c>
      <c r="K18" s="57">
        <f>'Data Sheet'!J30/'Data Sheet'!J$17</f>
        <v>2.4969872258375513E-2</v>
      </c>
      <c r="L18" s="57">
        <f>'Data Sheet'!K30/'Data Sheet'!K$17</f>
        <v>5.0352559340822597E-2</v>
      </c>
    </row>
    <row r="19" spans="2:12" x14ac:dyDescent="0.25">
      <c r="B19" s="10" t="str">
        <f>'Data Sheet'!A32</f>
        <v>EBITDA</v>
      </c>
      <c r="C19" s="57">
        <f>'Data Sheet'!B32/'Data Sheet'!B$17</f>
        <v>0.17677162686130735</v>
      </c>
      <c r="D19" s="57">
        <f>'Data Sheet'!C32/'Data Sheet'!C$17</f>
        <v>0.15458248016604165</v>
      </c>
      <c r="E19" s="57">
        <f>'Data Sheet'!D32/'Data Sheet'!D$17</f>
        <v>0.22135098194374506</v>
      </c>
      <c r="F19" s="57">
        <f>'Data Sheet'!E32/'Data Sheet'!E$17</f>
        <v>0.20735962631893567</v>
      </c>
      <c r="G19" s="57">
        <f>'Data Sheet'!F32/'Data Sheet'!F$17</f>
        <v>0.22334438453461072</v>
      </c>
      <c r="H19" s="57">
        <f>'Data Sheet'!G32/'Data Sheet'!G$17</f>
        <v>0.16110247388375201</v>
      </c>
      <c r="I19" s="57">
        <f>'Data Sheet'!H32/'Data Sheet'!H$17</f>
        <v>0.25273362642317665</v>
      </c>
      <c r="J19" s="57">
        <f>'Data Sheet'!I32/'Data Sheet'!I$17</f>
        <v>0.26722506507436583</v>
      </c>
      <c r="K19" s="57">
        <f>'Data Sheet'!J32/'Data Sheet'!J$17</f>
        <v>0.11129187756085804</v>
      </c>
      <c r="L19" s="57">
        <f>'Data Sheet'!K32/'Data Sheet'!K$17</f>
        <v>0.16089162657280323</v>
      </c>
    </row>
    <row r="21" spans="2:12" x14ac:dyDescent="0.25">
      <c r="B21" s="176" t="str">
        <f>"Common Size Balance Sheet "&amp;" "&amp; " - "&amp;'Data Sheet'!$B$1</f>
        <v>Common Size Balance Sheet   - JSW STEEL LTD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</row>
    <row r="23" spans="2:12" x14ac:dyDescent="0.25">
      <c r="B23" s="12" t="s">
        <v>79</v>
      </c>
      <c r="C23" s="58">
        <f>'Data Sheet'!B61/'Data Sheet'!B$61</f>
        <v>1</v>
      </c>
      <c r="D23" s="58">
        <f>'Data Sheet'!C61/'Data Sheet'!C$61</f>
        <v>1</v>
      </c>
      <c r="E23" s="58">
        <f>'Data Sheet'!D61/'Data Sheet'!D$61</f>
        <v>1</v>
      </c>
      <c r="F23" s="58">
        <f>'Data Sheet'!E61/'Data Sheet'!E$61</f>
        <v>1</v>
      </c>
      <c r="G23" s="58">
        <f>'Data Sheet'!F61/'Data Sheet'!F$61</f>
        <v>1</v>
      </c>
      <c r="H23" s="58">
        <f>'Data Sheet'!G61/'Data Sheet'!G$61</f>
        <v>1</v>
      </c>
      <c r="I23" s="58">
        <f>'Data Sheet'!H61/'Data Sheet'!H$61</f>
        <v>1</v>
      </c>
      <c r="J23" s="58">
        <f>'Data Sheet'!I61/'Data Sheet'!I$61</f>
        <v>1</v>
      </c>
      <c r="K23" s="58">
        <f>'Data Sheet'!J61/'Data Sheet'!J$61</f>
        <v>1</v>
      </c>
      <c r="L23" s="58">
        <f>'Data Sheet'!K61/'Data Sheet'!K$61</f>
        <v>1</v>
      </c>
    </row>
    <row r="24" spans="2:12" x14ac:dyDescent="0.25">
      <c r="B24" s="10" t="str">
        <f>'Data Sheet'!A57</f>
        <v>Equity Share Capital</v>
      </c>
      <c r="C24" s="53">
        <f>'Data Sheet'!B57/'Data Sheet'!B$61</f>
        <v>3.5345742656374699E-3</v>
      </c>
      <c r="D24" s="53">
        <f>'Data Sheet'!C57/'Data Sheet'!C$61</f>
        <v>3.6736831695498183E-3</v>
      </c>
      <c r="E24" s="53">
        <f>'Data Sheet'!D57/'Data Sheet'!D$61</f>
        <v>3.4202602124879266E-3</v>
      </c>
      <c r="F24" s="53">
        <f>'Data Sheet'!E57/'Data Sheet'!E$61</f>
        <v>3.2836794606937044E-3</v>
      </c>
      <c r="G24" s="53">
        <f>'Data Sheet'!F57/'Data Sheet'!F$61</f>
        <v>2.6220197391917908E-3</v>
      </c>
      <c r="H24" s="53">
        <f>'Data Sheet'!G57/'Data Sheet'!G$61</f>
        <v>2.2834167804582006E-3</v>
      </c>
      <c r="I24" s="53">
        <f>'Data Sheet'!H57/'Data Sheet'!H$61</f>
        <v>2.0361792646830775E-3</v>
      </c>
      <c r="J24" s="53">
        <f>'Data Sheet'!I57/'Data Sheet'!I$61</f>
        <v>1.5319235565055857E-3</v>
      </c>
      <c r="K24" s="53">
        <f>'Data Sheet'!J57/'Data Sheet'!J$61</f>
        <v>1.4296638627522692E-3</v>
      </c>
      <c r="L24" s="53">
        <f>'Data Sheet'!K57/'Data Sheet'!K$61</f>
        <v>1.3383180194648484E-3</v>
      </c>
    </row>
    <row r="25" spans="2:12" x14ac:dyDescent="0.25">
      <c r="B25" s="10" t="str">
        <f>'Data Sheet'!A58</f>
        <v>Reserves</v>
      </c>
      <c r="C25" s="53">
        <f>'Data Sheet'!B58/'Data Sheet'!B$61</f>
        <v>0.25669461792040243</v>
      </c>
      <c r="D25" s="53">
        <f>'Data Sheet'!C58/'Data Sheet'!C$61</f>
        <v>0.22787518511871405</v>
      </c>
      <c r="E25" s="53">
        <f>'Data Sheet'!D58/'Data Sheet'!D$61</f>
        <v>0.2539173910573263</v>
      </c>
      <c r="F25" s="53">
        <f>'Data Sheet'!E58/'Data Sheet'!E$61</f>
        <v>0.30114167663368491</v>
      </c>
      <c r="G25" s="53">
        <f>'Data Sheet'!F58/'Data Sheet'!F$61</f>
        <v>0.30047823549395891</v>
      </c>
      <c r="H25" s="53">
        <f>'Data Sheet'!G58/'Data Sheet'!G$61</f>
        <v>0.27536033985738129</v>
      </c>
      <c r="I25" s="53">
        <f>'Data Sheet'!H58/'Data Sheet'!H$61</f>
        <v>0.3132614602506793</v>
      </c>
      <c r="J25" s="53">
        <f>'Data Sheet'!I58/'Data Sheet'!I$61</f>
        <v>0.34097259332773494</v>
      </c>
      <c r="K25" s="53">
        <f>'Data Sheet'!J58/'Data Sheet'!J$61</f>
        <v>0.31060278618213255</v>
      </c>
      <c r="L25" s="53">
        <f>'Data Sheet'!K58/'Data Sheet'!K$61</f>
        <v>0.33946765658320827</v>
      </c>
    </row>
    <row r="26" spans="2:12" x14ac:dyDescent="0.25">
      <c r="B26" s="10" t="str">
        <f>'Data Sheet'!A59</f>
        <v>Borrowings</v>
      </c>
      <c r="C26" s="53">
        <f>'Data Sheet'!B59/'Data Sheet'!B$61</f>
        <v>0.45245189126283597</v>
      </c>
      <c r="D26" s="53">
        <f>'Data Sheet'!C59/'Data Sheet'!C$61</f>
        <v>0.51526831072840018</v>
      </c>
      <c r="E26" s="53">
        <f>'Data Sheet'!D59/'Data Sheet'!D$61</f>
        <v>0.49240384069086984</v>
      </c>
      <c r="F26" s="53">
        <f>'Data Sheet'!E59/'Data Sheet'!E$61</f>
        <v>0.42832445362618243</v>
      </c>
      <c r="G26" s="53">
        <f>'Data Sheet'!F59/'Data Sheet'!F$61</f>
        <v>0.41286793208881767</v>
      </c>
      <c r="H26" s="53">
        <f>'Data Sheet'!G59/'Data Sheet'!G$61</f>
        <v>0.46596115915642544</v>
      </c>
      <c r="I26" s="53">
        <f>'Data Sheet'!H59/'Data Sheet'!H$61</f>
        <v>0.42066654530498865</v>
      </c>
      <c r="J26" s="53">
        <f>'Data Sheet'!I59/'Data Sheet'!I$61</f>
        <v>0.36764638522024584</v>
      </c>
      <c r="K26" s="53">
        <f>'Data Sheet'!J59/'Data Sheet'!J$61</f>
        <v>0.38402861227611035</v>
      </c>
      <c r="L26" s="53">
        <f>'Data Sheet'!K59/'Data Sheet'!K$61</f>
        <v>0.38606745122818104</v>
      </c>
    </row>
    <row r="27" spans="2:12" x14ac:dyDescent="0.25">
      <c r="B27" s="10" t="str">
        <f>'Data Sheet'!A60</f>
        <v>Other Liabilities</v>
      </c>
      <c r="C27" s="53">
        <f>'Data Sheet'!B60/'Data Sheet'!B$61</f>
        <v>0.28731891655112413</v>
      </c>
      <c r="D27" s="53">
        <f>'Data Sheet'!C60/'Data Sheet'!C$61</f>
        <v>0.25318282098333594</v>
      </c>
      <c r="E27" s="53">
        <f>'Data Sheet'!D60/'Data Sheet'!D$61</f>
        <v>0.25025850803931593</v>
      </c>
      <c r="F27" s="53">
        <f>'Data Sheet'!E60/'Data Sheet'!E$61</f>
        <v>0.26725019027943897</v>
      </c>
      <c r="G27" s="53">
        <f>'Data Sheet'!F60/'Data Sheet'!F$61</f>
        <v>0.28403181267803168</v>
      </c>
      <c r="H27" s="53">
        <f>'Data Sheet'!G60/'Data Sheet'!G$61</f>
        <v>0.25639508420573509</v>
      </c>
      <c r="I27" s="53">
        <f>'Data Sheet'!H60/'Data Sheet'!H$61</f>
        <v>0.26403581517964897</v>
      </c>
      <c r="J27" s="53">
        <f>'Data Sheet'!I60/'Data Sheet'!I$61</f>
        <v>0.28984909789551366</v>
      </c>
      <c r="K27" s="53">
        <f>'Data Sheet'!J60/'Data Sheet'!J$61</f>
        <v>0.30393893767900482</v>
      </c>
      <c r="L27" s="53">
        <f>'Data Sheet'!K60/'Data Sheet'!K$61</f>
        <v>0.27312657416914582</v>
      </c>
    </row>
    <row r="28" spans="2:12" x14ac:dyDescent="0.25">
      <c r="B28" s="10"/>
    </row>
    <row r="29" spans="2:12" x14ac:dyDescent="0.25">
      <c r="B29" s="11" t="s">
        <v>80</v>
      </c>
      <c r="C29" s="58">
        <f>'Data Sheet'!B66/'Data Sheet'!B$66</f>
        <v>1</v>
      </c>
      <c r="D29" s="58">
        <f>'Data Sheet'!C66/'Data Sheet'!C$66</f>
        <v>1</v>
      </c>
      <c r="E29" s="58">
        <f>'Data Sheet'!D66/'Data Sheet'!D$66</f>
        <v>1</v>
      </c>
      <c r="F29" s="58">
        <f>'Data Sheet'!E66/'Data Sheet'!E$66</f>
        <v>1</v>
      </c>
      <c r="G29" s="58">
        <f>'Data Sheet'!F66/'Data Sheet'!F$66</f>
        <v>1</v>
      </c>
      <c r="H29" s="58">
        <f>'Data Sheet'!G66/'Data Sheet'!G$66</f>
        <v>1</v>
      </c>
      <c r="I29" s="58">
        <f>'Data Sheet'!H66/'Data Sheet'!H$66</f>
        <v>1</v>
      </c>
      <c r="J29" s="58">
        <f>'Data Sheet'!I66/'Data Sheet'!I$66</f>
        <v>1</v>
      </c>
      <c r="K29" s="58">
        <f>'Data Sheet'!J66/'Data Sheet'!J$66</f>
        <v>1</v>
      </c>
      <c r="L29" s="58">
        <f>'Data Sheet'!K66/'Data Sheet'!K$66</f>
        <v>1</v>
      </c>
    </row>
    <row r="30" spans="2:12" x14ac:dyDescent="0.25">
      <c r="B30" s="10" t="str">
        <f>'Data Sheet'!A62</f>
        <v>Net Block</v>
      </c>
      <c r="C30" s="53">
        <f>'Data Sheet'!B62/'Data Sheet'!B$66</f>
        <v>0.60915255677851365</v>
      </c>
      <c r="D30" s="53">
        <f>'Data Sheet'!C62/'Data Sheet'!C$66</f>
        <v>0.68540647979596347</v>
      </c>
      <c r="E30" s="53">
        <f>'Data Sheet'!D62/'Data Sheet'!D$66</f>
        <v>0.6673484461110164</v>
      </c>
      <c r="F30" s="53">
        <f>'Data Sheet'!E62/'Data Sheet'!E$66</f>
        <v>0.62898771338479942</v>
      </c>
      <c r="G30" s="53">
        <f>'Data Sheet'!F62/'Data Sheet'!F$66</f>
        <v>0.54569370279711138</v>
      </c>
      <c r="H30" s="53">
        <f>'Data Sheet'!G62/'Data Sheet'!G$66</f>
        <v>0.47098315885298137</v>
      </c>
      <c r="I30" s="53">
        <f>'Data Sheet'!H62/'Data Sheet'!H$66</f>
        <v>0.43769089180606402</v>
      </c>
      <c r="J30" s="53">
        <f>'Data Sheet'!I62/'Data Sheet'!I$66</f>
        <v>0.50833396951421228</v>
      </c>
      <c r="K30" s="53">
        <f>'Data Sheet'!J62/'Data Sheet'!J$66</f>
        <v>0.49611710894418609</v>
      </c>
      <c r="L30" s="53">
        <f>'Data Sheet'!K62/'Data Sheet'!K$66</f>
        <v>0.49347076323618461</v>
      </c>
    </row>
    <row r="31" spans="2:12" x14ac:dyDescent="0.25">
      <c r="B31" s="10" t="str">
        <f>'Data Sheet'!A63</f>
        <v>Capital Work in Progress</v>
      </c>
      <c r="C31" s="53">
        <f>'Data Sheet'!B63/'Data Sheet'!B$66</f>
        <v>9.649615405630195E-2</v>
      </c>
      <c r="D31" s="53">
        <f>'Data Sheet'!C63/'Data Sheet'!C$66</f>
        <v>8.8769688512201059E-2</v>
      </c>
      <c r="E31" s="53">
        <f>'Data Sheet'!D63/'Data Sheet'!D$66</f>
        <v>4.9576728594966195E-2</v>
      </c>
      <c r="F31" s="53">
        <f>'Data Sheet'!E63/'Data Sheet'!E$66</f>
        <v>6.4695009242144177E-2</v>
      </c>
      <c r="G31" s="53">
        <f>'Data Sheet'!F63/'Data Sheet'!F$66</f>
        <v>0.10356542418355881</v>
      </c>
      <c r="H31" s="53">
        <f>'Data Sheet'!G63/'Data Sheet'!G$66</f>
        <v>0.20627370656956456</v>
      </c>
      <c r="I31" s="53">
        <f>'Data Sheet'!H63/'Data Sheet'!H$66</f>
        <v>0.21957024481347384</v>
      </c>
      <c r="J31" s="53">
        <f>'Data Sheet'!I63/'Data Sheet'!I$66</f>
        <v>8.6037102068860213E-2</v>
      </c>
      <c r="K31" s="53">
        <f>'Data Sheet'!J63/'Data Sheet'!J$66</f>
        <v>0.10528215675005581</v>
      </c>
      <c r="L31" s="53">
        <f>'Data Sheet'!K63/'Data Sheet'!K$66</f>
        <v>0.13021614932996339</v>
      </c>
    </row>
    <row r="32" spans="2:12" x14ac:dyDescent="0.25">
      <c r="B32" s="10" t="str">
        <f>'Data Sheet'!A64</f>
        <v>Investments</v>
      </c>
      <c r="C32" s="53">
        <f>'Data Sheet'!B64/'Data Sheet'!B$66</f>
        <v>6.9961804415631839E-3</v>
      </c>
      <c r="D32" s="53">
        <f>'Data Sheet'!C64/'Data Sheet'!C$66</f>
        <v>1.4584973915506508E-2</v>
      </c>
      <c r="E32" s="53">
        <f>'Data Sheet'!D64/'Data Sheet'!D$66</f>
        <v>1.5521845349696041E-2</v>
      </c>
      <c r="F32" s="53">
        <f>'Data Sheet'!E64/'Data Sheet'!E$66</f>
        <v>1.5972599760791562E-2</v>
      </c>
      <c r="G32" s="53">
        <f>'Data Sheet'!F64/'Data Sheet'!F$66</f>
        <v>1.6498688990130406E-2</v>
      </c>
      <c r="H32" s="53">
        <f>'Data Sheet'!G64/'Data Sheet'!G$66</f>
        <v>9.5509027461690189E-3</v>
      </c>
      <c r="I32" s="53">
        <f>'Data Sheet'!H64/'Data Sheet'!H$66</f>
        <v>5.7855808841872476E-2</v>
      </c>
      <c r="J32" s="53">
        <f>'Data Sheet'!I64/'Data Sheet'!I$66</f>
        <v>2.5141868336005294E-2</v>
      </c>
      <c r="K32" s="53">
        <f>'Data Sheet'!J64/'Data Sheet'!J$66</f>
        <v>2.2827124665738888E-2</v>
      </c>
      <c r="L32" s="53">
        <f>'Data Sheet'!K64/'Data Sheet'!K$66</f>
        <v>3.1794925800138658E-2</v>
      </c>
    </row>
    <row r="33" spans="2:12" x14ac:dyDescent="0.25">
      <c r="B33" s="10" t="str">
        <f>'Data Sheet'!A65</f>
        <v>Other Assets</v>
      </c>
      <c r="C33" s="53">
        <f>'Data Sheet'!B74/'Data Sheet'!B$66</f>
        <v>0.10730442100229436</v>
      </c>
      <c r="D33" s="53">
        <f>'Data Sheet'!C74/'Data Sheet'!C$66</f>
        <v>6.3889244984244309E-2</v>
      </c>
      <c r="E33" s="53">
        <f>'Data Sheet'!D74/'Data Sheet'!D$66</f>
        <v>7.4052610647122319E-2</v>
      </c>
      <c r="F33" s="53">
        <f>'Data Sheet'!E74/'Data Sheet'!E$66</f>
        <v>9.0703490268565834E-2</v>
      </c>
      <c r="G33" s="53">
        <f>'Data Sheet'!F74/'Data Sheet'!F$66</f>
        <v>9.1248029129681094E-2</v>
      </c>
      <c r="H33" s="53">
        <f>'Data Sheet'!G74/'Data Sheet'!G$66</f>
        <v>8.347746927628584E-2</v>
      </c>
      <c r="I33" s="53">
        <f>'Data Sheet'!H74/'Data Sheet'!H$66</f>
        <v>7.2176486849113722E-2</v>
      </c>
      <c r="J33" s="53">
        <f>'Data Sheet'!I74/'Data Sheet'!I$66</f>
        <v>8.2108048960480448E-2</v>
      </c>
      <c r="K33" s="53">
        <f>'Data Sheet'!J74/'Data Sheet'!J$66</f>
        <v>8.6121811160877554E-2</v>
      </c>
      <c r="L33" s="53">
        <f>'Data Sheet'!K74/'Data Sheet'!K$66</f>
        <v>9.1286452711300675E-2</v>
      </c>
    </row>
    <row r="34" spans="2:12" x14ac:dyDescent="0.25">
      <c r="B34" s="10" t="str">
        <f>'Data Sheet'!A67</f>
        <v>Receivables</v>
      </c>
      <c r="C34" s="53">
        <f>'Data Sheet'!B67/'Data Sheet'!B$66</f>
        <v>2.9184317161114009E-2</v>
      </c>
      <c r="D34" s="53">
        <f>'Data Sheet'!C67/'Data Sheet'!C$66</f>
        <v>3.3298415640196373E-2</v>
      </c>
      <c r="E34" s="53">
        <f>'Data Sheet'!D67/'Data Sheet'!D$66</f>
        <v>4.7145048576785413E-2</v>
      </c>
      <c r="F34" s="53">
        <f>'Data Sheet'!E67/'Data Sheet'!E$66</f>
        <v>5.1147113189083396E-2</v>
      </c>
      <c r="G34" s="53">
        <f>'Data Sheet'!F67/'Data Sheet'!F$66</f>
        <v>6.237096788243595E-2</v>
      </c>
      <c r="H34" s="53">
        <f>'Data Sheet'!G67/'Data Sheet'!G$66</f>
        <v>3.4175390684266421E-2</v>
      </c>
      <c r="I34" s="53">
        <f>'Data Sheet'!H67/'Data Sheet'!H$66</f>
        <v>3.0246027090623462E-2</v>
      </c>
      <c r="J34" s="53">
        <f>'Data Sheet'!I67/'Data Sheet'!I$66</f>
        <v>3.7952006514492202E-2</v>
      </c>
      <c r="K34" s="53">
        <f>'Data Sheet'!J67/'Data Sheet'!J$66</f>
        <v>3.3884458461377699E-2</v>
      </c>
      <c r="L34" s="53">
        <f>'Data Sheet'!K67/'Data Sheet'!K$66</f>
        <v>3.3120080035805494E-2</v>
      </c>
    </row>
    <row r="35" spans="2:12" x14ac:dyDescent="0.25">
      <c r="B35" s="10" t="str">
        <f>'Data Sheet'!A68</f>
        <v>Inventory</v>
      </c>
      <c r="C35" s="53">
        <f>'Data Sheet'!B68/'Data Sheet'!B$66</f>
        <v>0.12852937893764999</v>
      </c>
      <c r="D35" s="53">
        <f>'Data Sheet'!C68/'Data Sheet'!C$66</f>
        <v>0.10159315027183304</v>
      </c>
      <c r="E35" s="53">
        <f>'Data Sheet'!D68/'Data Sheet'!D$66</f>
        <v>0.12948127947275723</v>
      </c>
      <c r="F35" s="53">
        <f>'Data Sheet'!E68/'Data Sheet'!E$66</f>
        <v>0.13693595737740569</v>
      </c>
      <c r="G35" s="53">
        <f>'Data Sheet'!F68/'Data Sheet'!F$66</f>
        <v>0.12672805038459192</v>
      </c>
      <c r="H35" s="53">
        <f>'Data Sheet'!G68/'Data Sheet'!G$66</f>
        <v>0.10448338643604915</v>
      </c>
      <c r="I35" s="53">
        <f>'Data Sheet'!H68/'Data Sheet'!H$66</f>
        <v>9.6071252789633022E-2</v>
      </c>
      <c r="J35" s="53">
        <f>'Data Sheet'!I68/'Data Sheet'!I$66</f>
        <v>0.17195714685599409</v>
      </c>
      <c r="K35" s="53">
        <f>'Data Sheet'!J68/'Data Sheet'!J$66</f>
        <v>0.15738176774849316</v>
      </c>
      <c r="L35" s="53">
        <f>'Data Sheet'!K68/'Data Sheet'!K$66</f>
        <v>0.16592949477397784</v>
      </c>
    </row>
    <row r="36" spans="2:12" x14ac:dyDescent="0.25">
      <c r="B36" s="10" t="str">
        <f>'Data Sheet'!A69</f>
        <v>Cash &amp; Bank</v>
      </c>
      <c r="C36" s="53">
        <f>'Data Sheet'!B69/'Data Sheet'!B$66</f>
        <v>2.2336991622562807E-2</v>
      </c>
      <c r="D36" s="53">
        <f>'Data Sheet'!C69/'Data Sheet'!C$66</f>
        <v>1.2458046880055283E-2</v>
      </c>
      <c r="E36" s="53">
        <f>'Data Sheet'!D69/'Data Sheet'!D$66</f>
        <v>1.6874041247656384E-2</v>
      </c>
      <c r="F36" s="53">
        <f>'Data Sheet'!E69/'Data Sheet'!E$66</f>
        <v>1.155811677720996E-2</v>
      </c>
      <c r="G36" s="53">
        <f>'Data Sheet'!F69/'Data Sheet'!F$66</f>
        <v>5.3895136632490397E-2</v>
      </c>
      <c r="H36" s="53">
        <f>'Data Sheet'!G69/'Data Sheet'!G$66</f>
        <v>9.1055985434683656E-2</v>
      </c>
      <c r="I36" s="53">
        <f>'Data Sheet'!H69/'Data Sheet'!H$66</f>
        <v>8.6389287809219437E-2</v>
      </c>
      <c r="J36" s="53">
        <f>'Data Sheet'!I69/'Data Sheet'!I$66</f>
        <v>8.8469857749955472E-2</v>
      </c>
      <c r="K36" s="53">
        <f>'Data Sheet'!J69/'Data Sheet'!J$66</f>
        <v>9.8385572269270777E-2</v>
      </c>
      <c r="L36" s="53">
        <f>'Data Sheet'!K69/'Data Sheet'!K$66</f>
        <v>5.4182134112629336E-2</v>
      </c>
    </row>
    <row r="38" spans="2:12" x14ac:dyDescent="0.25">
      <c r="B38" s="10"/>
    </row>
    <row r="39" spans="2:12" x14ac:dyDescent="0.25">
      <c r="B39" s="10"/>
    </row>
    <row r="40" spans="2:12" x14ac:dyDescent="0.25">
      <c r="B40" s="10"/>
    </row>
    <row r="41" spans="2:12" x14ac:dyDescent="0.25">
      <c r="B41" s="10"/>
    </row>
    <row r="42" spans="2:12" x14ac:dyDescent="0.25">
      <c r="B42" s="10"/>
    </row>
    <row r="43" spans="2:12" x14ac:dyDescent="0.25">
      <c r="B43" s="10"/>
    </row>
    <row r="44" spans="2:12" x14ac:dyDescent="0.25">
      <c r="B44" s="10"/>
    </row>
    <row r="45" spans="2:12" x14ac:dyDescent="0.25">
      <c r="B45" s="10"/>
    </row>
    <row r="46" spans="2:12" x14ac:dyDescent="0.25">
      <c r="B46" s="10"/>
    </row>
  </sheetData>
  <mergeCells count="2">
    <mergeCell ref="B2:L2"/>
    <mergeCell ref="B21:L2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8"/>
  <sheetViews>
    <sheetView showGridLines="0" workbookViewId="0">
      <selection activeCell="H21" sqref="H21"/>
    </sheetView>
  </sheetViews>
  <sheetFormatPr defaultRowHeight="15" x14ac:dyDescent="0.25"/>
  <cols>
    <col min="1" max="1" width="1.85546875" customWidth="1"/>
    <col min="2" max="5" width="11.7109375" customWidth="1"/>
    <col min="6" max="6" width="9.5703125" customWidth="1"/>
    <col min="7" max="9" width="11.7109375" customWidth="1"/>
    <col min="10" max="10" width="14.140625" customWidth="1"/>
    <col min="12" max="14" width="11.7109375" customWidth="1"/>
    <col min="15" max="15" width="14.140625" customWidth="1"/>
  </cols>
  <sheetData>
    <row r="2" spans="2:15" x14ac:dyDescent="0.25">
      <c r="B2" s="177" t="str">
        <f>'Data Sheet'!B1&amp;"- "&amp;'Data Sheet'!A17</f>
        <v>JSW STEEL LTD- Sales</v>
      </c>
      <c r="C2" s="177"/>
      <c r="D2" s="177"/>
      <c r="E2" s="177"/>
      <c r="G2" s="177" t="str">
        <f>'Data Sheet'!B1&amp;"-"&amp;'Historical FS'!B17</f>
        <v>JSW STEEL LTD-Operating Profit(EBITDA)</v>
      </c>
      <c r="H2" s="177"/>
      <c r="I2" s="177"/>
      <c r="J2" s="177"/>
      <c r="L2" s="177" t="str">
        <f>'Data Sheet'!B1&amp;"-"&amp;'Historical FS'!B31</f>
        <v>JSW STEEL LTD-EPS</v>
      </c>
      <c r="M2" s="177"/>
      <c r="N2" s="177"/>
      <c r="O2" s="177"/>
    </row>
    <row r="3" spans="2:15" x14ac:dyDescent="0.25">
      <c r="B3" s="8" t="s">
        <v>159</v>
      </c>
      <c r="C3" s="34" t="s">
        <v>160</v>
      </c>
      <c r="D3" s="34" t="s">
        <v>1</v>
      </c>
      <c r="E3" s="8" t="s">
        <v>161</v>
      </c>
      <c r="G3" s="8" t="s">
        <v>159</v>
      </c>
      <c r="H3" s="34" t="s">
        <v>160</v>
      </c>
      <c r="I3" s="34" t="s">
        <v>162</v>
      </c>
      <c r="J3" s="8" t="s">
        <v>163</v>
      </c>
      <c r="L3" s="8" t="s">
        <v>159</v>
      </c>
      <c r="M3" s="34" t="s">
        <v>160</v>
      </c>
      <c r="N3" s="34" t="s">
        <v>30</v>
      </c>
      <c r="O3" s="8" t="s">
        <v>164</v>
      </c>
    </row>
    <row r="4" spans="2:15" x14ac:dyDescent="0.25">
      <c r="B4" s="56">
        <v>1</v>
      </c>
      <c r="C4" s="51">
        <f>'Data Sheet'!B16</f>
        <v>42094</v>
      </c>
      <c r="D4">
        <f t="array" ref="D4:D13">TRANSPOSE('Data Sheet'!B17:K17)</f>
        <v>52971.51</v>
      </c>
      <c r="G4" s="56">
        <f>B4</f>
        <v>1</v>
      </c>
      <c r="H4" s="51">
        <f>C4</f>
        <v>42094</v>
      </c>
      <c r="I4" s="55">
        <f t="array" ref="I4:I13">TRANSPOSE('Historical FS'!C17:L17)</f>
        <v>9363.8600000000115</v>
      </c>
      <c r="L4" s="56">
        <f>G4</f>
        <v>1</v>
      </c>
      <c r="M4" s="51">
        <f>H4</f>
        <v>42094</v>
      </c>
      <c r="N4" s="55">
        <f t="array" ref="N4:N13">TRANSPOSE('Historical FS'!C31:L31)</f>
        <v>6.6892685752110346</v>
      </c>
    </row>
    <row r="5" spans="2:15" x14ac:dyDescent="0.25">
      <c r="B5" s="56">
        <f>B4+1</f>
        <v>2</v>
      </c>
      <c r="C5" s="51">
        <f>C4+365</f>
        <v>42459</v>
      </c>
      <c r="D5">
        <v>41546.17</v>
      </c>
      <c r="E5" s="53">
        <f>D5/D4-1</f>
        <v>-0.21568839551675989</v>
      </c>
      <c r="G5" s="56">
        <f t="shared" ref="G5:G18" si="0">B5</f>
        <v>2</v>
      </c>
      <c r="H5" s="51">
        <f t="shared" ref="H5:H18" si="1">C5</f>
        <v>42459</v>
      </c>
      <c r="I5" s="55">
        <v>6422.309999999994</v>
      </c>
      <c r="J5" s="53">
        <f>I5/I4-1</f>
        <v>-0.31413861377679864</v>
      </c>
      <c r="L5" s="56">
        <f t="shared" ref="L5:L18" si="2">G5</f>
        <v>2</v>
      </c>
      <c r="M5" s="51">
        <f t="shared" ref="M5:M18" si="3">H5</f>
        <v>42459</v>
      </c>
      <c r="N5" s="55">
        <v>6.0598212808207608</v>
      </c>
      <c r="O5" s="53">
        <f>N5/N4-1</f>
        <v>-9.4098074746597482E-2</v>
      </c>
    </row>
    <row r="6" spans="2:15" x14ac:dyDescent="0.25">
      <c r="B6" s="56">
        <f>B5+1</f>
        <v>3</v>
      </c>
      <c r="C6" s="51">
        <f t="shared" ref="C6:C18" si="4">C5+365</f>
        <v>42824</v>
      </c>
      <c r="D6">
        <v>55604</v>
      </c>
      <c r="E6" s="53">
        <f t="shared" ref="E6:E18" si="5">D6/D5-1</f>
        <v>0.33836644870032551</v>
      </c>
      <c r="G6" s="56">
        <f t="shared" si="0"/>
        <v>3</v>
      </c>
      <c r="H6" s="51">
        <f t="shared" si="1"/>
        <v>42824</v>
      </c>
      <c r="I6" s="55">
        <v>12308</v>
      </c>
      <c r="J6" s="53">
        <f t="shared" ref="J6:J18" si="6">I6/I5-1</f>
        <v>0.91644439461813754</v>
      </c>
      <c r="L6" s="56">
        <f t="shared" si="2"/>
        <v>3</v>
      </c>
      <c r="M6" s="51">
        <f t="shared" si="3"/>
        <v>42824</v>
      </c>
      <c r="N6" s="55">
        <v>14.214793976501738</v>
      </c>
      <c r="O6" s="53">
        <f t="shared" ref="O6:O18" si="7">N6/N5-1</f>
        <v>1.3457447534783471</v>
      </c>
    </row>
    <row r="7" spans="2:15" x14ac:dyDescent="0.25">
      <c r="B7" s="56">
        <f t="shared" ref="B7:B14" si="8">B6+1</f>
        <v>4</v>
      </c>
      <c r="C7" s="51">
        <f t="shared" si="4"/>
        <v>43189</v>
      </c>
      <c r="D7">
        <v>71933</v>
      </c>
      <c r="E7" s="53">
        <f t="shared" si="5"/>
        <v>0.29366592331486951</v>
      </c>
      <c r="G7" s="56">
        <f t="shared" si="0"/>
        <v>4</v>
      </c>
      <c r="H7" s="51">
        <f t="shared" si="1"/>
        <v>43189</v>
      </c>
      <c r="I7" s="55">
        <v>14916</v>
      </c>
      <c r="J7" s="53">
        <f t="shared" si="6"/>
        <v>0.21189470263243426</v>
      </c>
      <c r="L7" s="56">
        <f t="shared" si="2"/>
        <v>4</v>
      </c>
      <c r="M7" s="51">
        <f t="shared" si="3"/>
        <v>43189</v>
      </c>
      <c r="N7" s="55">
        <v>26.021843455237466</v>
      </c>
      <c r="O7" s="53">
        <f t="shared" si="7"/>
        <v>0.83061699650756693</v>
      </c>
    </row>
    <row r="8" spans="2:15" x14ac:dyDescent="0.25">
      <c r="B8" s="56">
        <f t="shared" si="8"/>
        <v>5</v>
      </c>
      <c r="C8" s="51">
        <f t="shared" si="4"/>
        <v>43554</v>
      </c>
      <c r="D8">
        <v>84757</v>
      </c>
      <c r="E8" s="53">
        <f t="shared" si="5"/>
        <v>0.17827700777112043</v>
      </c>
      <c r="G8" s="56">
        <f t="shared" si="0"/>
        <v>5</v>
      </c>
      <c r="H8" s="51">
        <f t="shared" si="1"/>
        <v>43554</v>
      </c>
      <c r="I8" s="55">
        <v>18930</v>
      </c>
      <c r="J8" s="53">
        <f t="shared" si="6"/>
        <v>0.26910699919549486</v>
      </c>
      <c r="L8" s="56">
        <f t="shared" si="2"/>
        <v>5</v>
      </c>
      <c r="M8" s="51">
        <f t="shared" si="3"/>
        <v>43554</v>
      </c>
      <c r="N8" s="55">
        <v>30.316068178057257</v>
      </c>
      <c r="O8" s="53">
        <f t="shared" si="7"/>
        <v>0.16502384737678844</v>
      </c>
    </row>
    <row r="9" spans="2:15" x14ac:dyDescent="0.25">
      <c r="B9" s="56">
        <f t="shared" si="8"/>
        <v>6</v>
      </c>
      <c r="C9" s="51">
        <f t="shared" si="4"/>
        <v>43919</v>
      </c>
      <c r="D9">
        <v>73326</v>
      </c>
      <c r="E9" s="53">
        <f t="shared" si="5"/>
        <v>-0.13486791651427021</v>
      </c>
      <c r="G9" s="56">
        <f t="shared" si="0"/>
        <v>6</v>
      </c>
      <c r="H9" s="51">
        <f t="shared" si="1"/>
        <v>43919</v>
      </c>
      <c r="I9" s="55">
        <v>11813</v>
      </c>
      <c r="J9" s="53">
        <f t="shared" si="6"/>
        <v>-0.37596407818277866</v>
      </c>
      <c r="L9" s="56">
        <f t="shared" si="2"/>
        <v>6</v>
      </c>
      <c r="M9" s="51">
        <f t="shared" si="3"/>
        <v>43919</v>
      </c>
      <c r="N9" s="55">
        <v>17.408571901373492</v>
      </c>
      <c r="O9" s="53">
        <f t="shared" si="7"/>
        <v>-0.42576419213973793</v>
      </c>
    </row>
    <row r="10" spans="2:15" x14ac:dyDescent="0.25">
      <c r="B10" s="56">
        <f t="shared" si="8"/>
        <v>7</v>
      </c>
      <c r="C10" s="51">
        <f t="shared" si="4"/>
        <v>44284</v>
      </c>
      <c r="D10">
        <v>79839</v>
      </c>
      <c r="E10" s="53">
        <f t="shared" si="5"/>
        <v>8.8822518615497836E-2</v>
      </c>
      <c r="G10" s="56">
        <f t="shared" si="0"/>
        <v>7</v>
      </c>
      <c r="H10" s="51">
        <f t="shared" si="1"/>
        <v>44284</v>
      </c>
      <c r="I10" s="55">
        <v>20178</v>
      </c>
      <c r="J10" s="53">
        <f t="shared" si="6"/>
        <v>0.70811817489206796</v>
      </c>
      <c r="L10" s="56">
        <f t="shared" si="2"/>
        <v>7</v>
      </c>
      <c r="M10" s="51">
        <f t="shared" si="3"/>
        <v>44284</v>
      </c>
      <c r="N10" s="55">
        <v>30.61393347674996</v>
      </c>
      <c r="O10" s="53">
        <f t="shared" si="7"/>
        <v>0.7585551330798479</v>
      </c>
    </row>
    <row r="11" spans="2:15" x14ac:dyDescent="0.25">
      <c r="B11" s="56">
        <f t="shared" si="8"/>
        <v>8</v>
      </c>
      <c r="C11" s="51">
        <f t="shared" si="4"/>
        <v>44649</v>
      </c>
      <c r="D11">
        <v>146371</v>
      </c>
      <c r="E11" s="53">
        <f t="shared" si="5"/>
        <v>0.83332707072984391</v>
      </c>
      <c r="G11" s="56">
        <f t="shared" si="0"/>
        <v>8</v>
      </c>
      <c r="H11" s="51">
        <f t="shared" si="1"/>
        <v>44649</v>
      </c>
      <c r="I11" s="55">
        <v>39114</v>
      </c>
      <c r="J11" s="53">
        <f t="shared" si="6"/>
        <v>0.93844781445138259</v>
      </c>
      <c r="L11" s="56">
        <f t="shared" si="2"/>
        <v>8</v>
      </c>
      <c r="M11" s="51">
        <f t="shared" si="3"/>
        <v>44649</v>
      </c>
      <c r="N11" s="55">
        <v>80.001654807214962</v>
      </c>
      <c r="O11" s="53">
        <f t="shared" si="7"/>
        <v>1.6132432432432431</v>
      </c>
    </row>
    <row r="12" spans="2:15" x14ac:dyDescent="0.25">
      <c r="B12" s="56">
        <f t="shared" si="8"/>
        <v>9</v>
      </c>
      <c r="C12" s="51">
        <f t="shared" si="4"/>
        <v>45014</v>
      </c>
      <c r="D12">
        <v>165960</v>
      </c>
      <c r="E12" s="53">
        <f t="shared" si="5"/>
        <v>0.13383115507853338</v>
      </c>
      <c r="G12" s="56">
        <f t="shared" si="0"/>
        <v>9</v>
      </c>
      <c r="H12" s="51">
        <f t="shared" si="1"/>
        <v>45014</v>
      </c>
      <c r="I12" s="55">
        <v>18470</v>
      </c>
      <c r="J12" s="53">
        <f t="shared" si="6"/>
        <v>-0.52779056092447718</v>
      </c>
      <c r="L12" s="56">
        <f t="shared" si="2"/>
        <v>9</v>
      </c>
      <c r="M12" s="51">
        <f t="shared" si="3"/>
        <v>45014</v>
      </c>
      <c r="N12" s="55">
        <v>10.665232500413701</v>
      </c>
      <c r="O12" s="53">
        <f t="shared" si="7"/>
        <v>-0.86668735132898955</v>
      </c>
    </row>
    <row r="13" spans="2:15" x14ac:dyDescent="0.25">
      <c r="B13" s="56">
        <f t="shared" si="8"/>
        <v>10</v>
      </c>
      <c r="C13" s="51">
        <f t="shared" si="4"/>
        <v>45379</v>
      </c>
      <c r="D13">
        <v>175006</v>
      </c>
      <c r="E13" s="53">
        <f t="shared" si="5"/>
        <v>5.4507110147023363E-2</v>
      </c>
      <c r="G13" s="56">
        <f t="shared" si="0"/>
        <v>10</v>
      </c>
      <c r="H13" s="51">
        <f t="shared" si="1"/>
        <v>45379</v>
      </c>
      <c r="I13" s="55">
        <v>28157</v>
      </c>
      <c r="J13" s="53">
        <f t="shared" si="6"/>
        <v>0.5244721169463995</v>
      </c>
      <c r="L13" s="56">
        <f t="shared" si="2"/>
        <v>10</v>
      </c>
      <c r="M13" s="51">
        <f t="shared" si="3"/>
        <v>45379</v>
      </c>
      <c r="N13" s="55">
        <v>30.558168063790635</v>
      </c>
      <c r="O13" s="53">
        <f t="shared" si="7"/>
        <v>1.8652134927771424</v>
      </c>
    </row>
    <row r="14" spans="2:15" x14ac:dyDescent="0.25">
      <c r="B14" s="56">
        <f t="shared" si="8"/>
        <v>11</v>
      </c>
      <c r="C14" s="52">
        <f t="shared" si="4"/>
        <v>45744</v>
      </c>
      <c r="D14">
        <f>FORECAST(B14,$D$4:$D$13,$B$4:$B$13)</f>
        <v>175909.00866666663</v>
      </c>
      <c r="E14" s="53">
        <f t="shared" si="5"/>
        <v>5.1598726138910589E-3</v>
      </c>
      <c r="G14" s="56">
        <f t="shared" si="0"/>
        <v>11</v>
      </c>
      <c r="H14" s="52">
        <f>C14</f>
        <v>45744</v>
      </c>
      <c r="I14" s="55">
        <f>FORECAST(G14,$I$4:$I$13,$G$4:$G$13)</f>
        <v>31172.919999999995</v>
      </c>
      <c r="J14" s="53">
        <f t="shared" si="6"/>
        <v>0.10711084277444316</v>
      </c>
      <c r="L14" s="56">
        <f t="shared" si="2"/>
        <v>11</v>
      </c>
      <c r="M14" s="52">
        <f t="shared" si="3"/>
        <v>45744</v>
      </c>
      <c r="N14" s="55">
        <f>FORECAST(L14,$N$4:$N$13,$L$4:$L$13)</f>
        <v>44.48363735073</v>
      </c>
      <c r="O14" s="53">
        <f t="shared" si="7"/>
        <v>0.45570366842245713</v>
      </c>
    </row>
    <row r="15" spans="2:15" x14ac:dyDescent="0.25">
      <c r="B15" s="56">
        <f>B14+1</f>
        <v>12</v>
      </c>
      <c r="C15" s="52">
        <f t="shared" si="4"/>
        <v>46109</v>
      </c>
      <c r="D15">
        <f>FORECAST(B15,$D$4:$D$13,$B$4:$B$13)</f>
        <v>190668.57969696965</v>
      </c>
      <c r="E15" s="53">
        <f t="shared" si="5"/>
        <v>8.3904577384499968E-2</v>
      </c>
      <c r="G15" s="56">
        <f t="shared" si="0"/>
        <v>12</v>
      </c>
      <c r="H15" s="52">
        <f t="shared" si="1"/>
        <v>46109</v>
      </c>
      <c r="I15" s="55">
        <f>FORECAST(G15,$I$4:$I$13,$G$4:$G$13)</f>
        <v>33573.956909090906</v>
      </c>
      <c r="J15" s="53">
        <f t="shared" si="6"/>
        <v>7.7023163344688728E-2</v>
      </c>
      <c r="L15" s="56">
        <f t="shared" si="2"/>
        <v>12</v>
      </c>
      <c r="M15" s="52">
        <f t="shared" si="3"/>
        <v>46109</v>
      </c>
      <c r="N15" s="55">
        <f>FORECAST(L15,$N$4:$N$13,$L$4:$L$13)</f>
        <v>47.979764937855983</v>
      </c>
      <c r="O15" s="53">
        <f t="shared" si="7"/>
        <v>7.8593563731330196E-2</v>
      </c>
    </row>
    <row r="16" spans="2:15" x14ac:dyDescent="0.25">
      <c r="B16" s="56">
        <f>B15+1</f>
        <v>13</v>
      </c>
      <c r="C16" s="52">
        <f t="shared" si="4"/>
        <v>46474</v>
      </c>
      <c r="D16">
        <f>FORECAST(B16,$D$4:$D$13,$B$4:$B$13)</f>
        <v>205428.15072727267</v>
      </c>
      <c r="E16" s="53">
        <f t="shared" si="5"/>
        <v>7.740956089231088E-2</v>
      </c>
      <c r="G16" s="56">
        <f t="shared" si="0"/>
        <v>13</v>
      </c>
      <c r="H16" s="52">
        <f t="shared" si="1"/>
        <v>46474</v>
      </c>
      <c r="I16" s="55">
        <f>FORECAST(G16,$I$4:$I$13,$G$4:$G$13)</f>
        <v>35974.993818181814</v>
      </c>
      <c r="J16" s="53">
        <f t="shared" si="6"/>
        <v>7.1514862415301916E-2</v>
      </c>
      <c r="L16" s="56">
        <f t="shared" si="2"/>
        <v>13</v>
      </c>
      <c r="M16" s="52">
        <f t="shared" si="3"/>
        <v>46474</v>
      </c>
      <c r="N16" s="55">
        <f>FORECAST(L16,$N$4:$N$13,$L$4:$L$13)</f>
        <v>51.475892524981965</v>
      </c>
      <c r="O16" s="53">
        <f t="shared" si="7"/>
        <v>7.2866709364962867E-2</v>
      </c>
    </row>
    <row r="17" spans="2:15" x14ac:dyDescent="0.25">
      <c r="B17" s="56">
        <f>B16+1</f>
        <v>14</v>
      </c>
      <c r="C17" s="52">
        <f t="shared" si="4"/>
        <v>46839</v>
      </c>
      <c r="D17">
        <f>FORECAST(B17,$D$4:$D$13,$B$4:$B$13)</f>
        <v>220187.72175757575</v>
      </c>
      <c r="E17" s="53">
        <f t="shared" si="5"/>
        <v>7.1847850345972963E-2</v>
      </c>
      <c r="G17" s="56">
        <f t="shared" si="0"/>
        <v>14</v>
      </c>
      <c r="H17" s="52">
        <f t="shared" si="1"/>
        <v>46839</v>
      </c>
      <c r="I17" s="55">
        <f>FORECAST(G17,$I$4:$I$13,$G$4:$G$13)</f>
        <v>38376.030727272722</v>
      </c>
      <c r="J17" s="53">
        <f t="shared" si="6"/>
        <v>6.6741829650500684E-2</v>
      </c>
      <c r="L17" s="56">
        <f t="shared" si="2"/>
        <v>14</v>
      </c>
      <c r="M17" s="52">
        <f t="shared" si="3"/>
        <v>46839</v>
      </c>
      <c r="N17" s="55">
        <f>FORECAST(L17,$N$4:$N$13,$L$4:$L$13)</f>
        <v>54.972020112107941</v>
      </c>
      <c r="O17" s="53">
        <f t="shared" si="7"/>
        <v>6.7917765300121058E-2</v>
      </c>
    </row>
    <row r="18" spans="2:15" x14ac:dyDescent="0.25">
      <c r="B18" s="56">
        <f>B17+1</f>
        <v>15</v>
      </c>
      <c r="C18" s="52">
        <f t="shared" si="4"/>
        <v>47204</v>
      </c>
      <c r="D18">
        <f>FORECAST(B18,$D$4:$D$13,$B$4:$B$13)</f>
        <v>234947.29278787877</v>
      </c>
      <c r="E18" s="53">
        <f t="shared" si="5"/>
        <v>6.7031762318487287E-2</v>
      </c>
      <c r="G18" s="56">
        <f t="shared" si="0"/>
        <v>15</v>
      </c>
      <c r="H18" s="52">
        <f t="shared" si="1"/>
        <v>47204</v>
      </c>
      <c r="I18" s="55">
        <f>FORECAST(G18,$I$4:$I$13,$G$4:$G$13)</f>
        <v>40777.06763636363</v>
      </c>
      <c r="J18" s="53">
        <f t="shared" si="6"/>
        <v>6.2566056561565109E-2</v>
      </c>
      <c r="L18" s="56">
        <f t="shared" si="2"/>
        <v>15</v>
      </c>
      <c r="M18" s="52">
        <f t="shared" si="3"/>
        <v>47204</v>
      </c>
      <c r="N18" s="55">
        <f>FORECAST(L18,$N$4:$N$13,$L$4:$L$13)</f>
        <v>58.468147699233924</v>
      </c>
      <c r="O18" s="53">
        <f t="shared" si="7"/>
        <v>6.3598310194824759E-2</v>
      </c>
    </row>
  </sheetData>
  <mergeCells count="3">
    <mergeCell ref="B2:E2"/>
    <mergeCell ref="G2:J2"/>
    <mergeCell ref="L2:O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B2:K39"/>
  <sheetViews>
    <sheetView showGridLines="0" topLeftCell="A11" workbookViewId="0">
      <selection activeCell="G32" sqref="G32"/>
    </sheetView>
  </sheetViews>
  <sheetFormatPr defaultRowHeight="15" outlineLevelRow="1" x14ac:dyDescent="0.25"/>
  <cols>
    <col min="1" max="1" width="1.85546875" customWidth="1"/>
    <col min="2" max="2" width="27.5703125" customWidth="1"/>
    <col min="3" max="3" width="12" bestFit="1" customWidth="1"/>
    <col min="5" max="5" width="8.42578125" bestFit="1" customWidth="1"/>
    <col min="6" max="6" width="10.5703125" customWidth="1"/>
    <col min="7" max="10" width="9.5703125" bestFit="1" customWidth="1"/>
  </cols>
  <sheetData>
    <row r="2" spans="2:11" x14ac:dyDescent="0.25">
      <c r="B2" s="8" t="s">
        <v>315</v>
      </c>
      <c r="C2" s="100"/>
      <c r="D2" s="100"/>
      <c r="E2" s="138">
        <f>'Data Sheet'!K16</f>
        <v>45382</v>
      </c>
      <c r="F2" s="139">
        <f>E2+365</f>
        <v>45747</v>
      </c>
      <c r="G2" s="139">
        <f>F2+365</f>
        <v>46112</v>
      </c>
      <c r="H2" s="139">
        <f>G2+365</f>
        <v>46477</v>
      </c>
      <c r="I2" s="139">
        <f>H2+365</f>
        <v>46842</v>
      </c>
      <c r="J2" s="139">
        <f>I2+365</f>
        <v>47207</v>
      </c>
    </row>
    <row r="4" spans="2:11" x14ac:dyDescent="0.25">
      <c r="B4" s="121" t="s">
        <v>302</v>
      </c>
      <c r="C4" s="121"/>
      <c r="D4" s="121"/>
      <c r="E4" s="106">
        <f>'Intrinsic Growth'!K35</f>
        <v>19985</v>
      </c>
      <c r="F4" s="106">
        <f>E4*(1+$C$14)</f>
        <v>24428.616333593433</v>
      </c>
      <c r="G4" s="106">
        <f>F4*(1+$C$14)</f>
        <v>29860.259993690663</v>
      </c>
      <c r="H4" s="106">
        <f>G4*(1+$C$14)</f>
        <v>36499.616462707949</v>
      </c>
      <c r="I4" s="106">
        <f>H4*(1+$C$14)</f>
        <v>44615.217757858554</v>
      </c>
      <c r="J4" s="106">
        <f>I4*(1+$C$14)</f>
        <v>54535.303339827435</v>
      </c>
    </row>
    <row r="5" spans="2:11" x14ac:dyDescent="0.25">
      <c r="B5" s="121" t="s">
        <v>213</v>
      </c>
      <c r="C5" s="121"/>
      <c r="D5" s="121"/>
      <c r="E5" s="122">
        <f>'Intrinsic Growth'!K45</f>
        <v>0.25</v>
      </c>
      <c r="F5" s="133">
        <f>E5</f>
        <v>0.25</v>
      </c>
      <c r="G5" s="133">
        <f>F5</f>
        <v>0.25</v>
      </c>
      <c r="H5" s="133">
        <f>G5</f>
        <v>0.25</v>
      </c>
      <c r="I5" s="133">
        <f>H5</f>
        <v>0.25</v>
      </c>
      <c r="J5" s="133">
        <f>I5</f>
        <v>0.25</v>
      </c>
    </row>
    <row r="6" spans="2:11" x14ac:dyDescent="0.25">
      <c r="B6" s="121" t="s">
        <v>316</v>
      </c>
      <c r="C6" s="121"/>
      <c r="D6" s="121"/>
      <c r="E6" s="106">
        <f t="shared" ref="E6:J6" si="0">E4*(1-E5)</f>
        <v>14988.75</v>
      </c>
      <c r="F6" s="106">
        <f t="shared" si="0"/>
        <v>18321.462250195073</v>
      </c>
      <c r="G6" s="106">
        <f t="shared" si="0"/>
        <v>22395.194995267997</v>
      </c>
      <c r="H6" s="106">
        <f t="shared" si="0"/>
        <v>27374.71234703096</v>
      </c>
      <c r="I6" s="106">
        <f t="shared" si="0"/>
        <v>33461.413318393912</v>
      </c>
      <c r="J6" s="106">
        <f t="shared" si="0"/>
        <v>40901.477504870578</v>
      </c>
    </row>
    <row r="7" spans="2:11" x14ac:dyDescent="0.25">
      <c r="B7" s="121" t="s">
        <v>317</v>
      </c>
      <c r="C7" s="121"/>
      <c r="D7" s="121"/>
      <c r="E7" s="125">
        <f>70.3%</f>
        <v>0.70299999999999996</v>
      </c>
      <c r="F7" s="125">
        <f>E7</f>
        <v>0.70299999999999996</v>
      </c>
      <c r="G7" s="125">
        <f>F7</f>
        <v>0.70299999999999996</v>
      </c>
      <c r="H7" s="125">
        <f>G7</f>
        <v>0.70299999999999996</v>
      </c>
      <c r="I7" s="125">
        <f>H7</f>
        <v>0.70299999999999996</v>
      </c>
      <c r="J7" s="125">
        <f>I7</f>
        <v>0.70299999999999996</v>
      </c>
      <c r="K7" s="33"/>
    </row>
    <row r="8" spans="2:11" x14ac:dyDescent="0.25">
      <c r="B8" s="121" t="s">
        <v>323</v>
      </c>
      <c r="C8" s="121"/>
      <c r="D8" s="121"/>
      <c r="E8" s="106">
        <f t="shared" ref="E8:J8" si="1">E6*(1-E7)</f>
        <v>4451.6587500000005</v>
      </c>
      <c r="F8" s="106">
        <f t="shared" si="1"/>
        <v>5441.4742883079371</v>
      </c>
      <c r="G8" s="106">
        <f t="shared" si="1"/>
        <v>6651.372913594596</v>
      </c>
      <c r="H8" s="106">
        <f t="shared" si="1"/>
        <v>8130.2895670681964</v>
      </c>
      <c r="I8" s="106">
        <f t="shared" si="1"/>
        <v>9938.0397555629934</v>
      </c>
      <c r="J8" s="106">
        <f t="shared" si="1"/>
        <v>12147.738818946564</v>
      </c>
    </row>
    <row r="9" spans="2:11" x14ac:dyDescent="0.25">
      <c r="B9" s="121" t="s">
        <v>318</v>
      </c>
      <c r="C9" s="121"/>
      <c r="D9" s="121"/>
      <c r="E9" s="134"/>
      <c r="F9" s="135">
        <v>0.5</v>
      </c>
      <c r="G9" s="136">
        <f>F9+1</f>
        <v>1.5</v>
      </c>
      <c r="H9" s="136">
        <f>G9+1</f>
        <v>2.5</v>
      </c>
      <c r="I9" s="136">
        <f>H9+1</f>
        <v>3.5</v>
      </c>
      <c r="J9" s="136">
        <f>I9+1</f>
        <v>4.5</v>
      </c>
    </row>
    <row r="10" spans="2:11" x14ac:dyDescent="0.25">
      <c r="B10" s="121" t="s">
        <v>319</v>
      </c>
      <c r="C10" s="121"/>
      <c r="D10" s="121"/>
      <c r="E10" s="121"/>
      <c r="F10" s="137">
        <f>1/(1+$C$16)^F9</f>
        <v>0.92866610247430115</v>
      </c>
      <c r="G10" s="137">
        <f>1/(1+$C$16)^G9</f>
        <v>0.80090089791516783</v>
      </c>
      <c r="H10" s="137">
        <f>1/(1+$C$16)^H9</f>
        <v>0.69071353694539794</v>
      </c>
      <c r="I10" s="137">
        <f>1/(1+$C$16)^I9</f>
        <v>0.59568567267376826</v>
      </c>
      <c r="J10" s="137">
        <f>1/(1+$C$16)^J9</f>
        <v>0.51373167260923469</v>
      </c>
    </row>
    <row r="12" spans="2:11" ht="15.75" thickBot="1" x14ac:dyDescent="0.3">
      <c r="B12" s="102" t="s">
        <v>320</v>
      </c>
      <c r="C12" s="102"/>
      <c r="D12" s="102"/>
      <c r="E12" s="102"/>
      <c r="F12" s="132">
        <f>F8*F10</f>
        <v>5053.3127190370533</v>
      </c>
      <c r="G12" s="132">
        <f>G8*G10</f>
        <v>5327.0905388665378</v>
      </c>
      <c r="H12" s="132">
        <f>H8*H10</f>
        <v>5615.7010632599422</v>
      </c>
      <c r="I12" s="132">
        <f>I8*I10</f>
        <v>5919.947896851193</v>
      </c>
      <c r="J12" s="132">
        <f>J8*J10</f>
        <v>6240.6781818775471</v>
      </c>
    </row>
    <row r="14" spans="2:11" hidden="1" outlineLevel="1" x14ac:dyDescent="0.25">
      <c r="B14" s="126" t="s">
        <v>322</v>
      </c>
      <c r="C14" s="127">
        <f>'Intrinsic Growth'!K64</f>
        <v>0.22234757736269375</v>
      </c>
    </row>
    <row r="15" spans="2:11" hidden="1" outlineLevel="1" x14ac:dyDescent="0.25">
      <c r="B15" s="126" t="s">
        <v>321</v>
      </c>
      <c r="C15" s="127">
        <v>6.4000000000000001E-2</v>
      </c>
    </row>
    <row r="16" spans="2:11" hidden="1" outlineLevel="1" x14ac:dyDescent="0.25">
      <c r="B16" s="126" t="s">
        <v>255</v>
      </c>
      <c r="C16" s="127">
        <f>Wacc!M40</f>
        <v>0.15952685893063687</v>
      </c>
    </row>
    <row r="17" spans="2:10" collapsed="1" x14ac:dyDescent="0.25"/>
    <row r="18" spans="2:10" x14ac:dyDescent="0.25">
      <c r="B18" s="128" t="s">
        <v>324</v>
      </c>
      <c r="C18" s="128"/>
      <c r="F18" s="8" t="s">
        <v>381</v>
      </c>
      <c r="G18" s="164"/>
      <c r="H18" s="164"/>
      <c r="I18" s="164"/>
      <c r="J18" s="164"/>
    </row>
    <row r="19" spans="2:10" x14ac:dyDescent="0.25">
      <c r="F19" s="161">
        <f>C36</f>
        <v>423.59600114945425</v>
      </c>
      <c r="G19" s="163">
        <v>0.12</v>
      </c>
      <c r="H19" s="163">
        <v>0.14000000000000001</v>
      </c>
      <c r="I19" s="163">
        <v>0.1595</v>
      </c>
      <c r="J19" s="163">
        <v>0.17</v>
      </c>
    </row>
    <row r="20" spans="2:10" x14ac:dyDescent="0.25">
      <c r="B20" t="s">
        <v>325</v>
      </c>
      <c r="C20">
        <f>J8*(1+C14)</f>
        <v>14848.759115774083</v>
      </c>
      <c r="F20" s="162">
        <v>0.04</v>
      </c>
      <c r="G20" s="87">
        <f t="dataTable" ref="G20:J25" dt2D="1" dtr="1" r1="C21" r2="C22"/>
        <v>546.96061887985411</v>
      </c>
      <c r="H20" s="87">
        <v>395.16385834239668</v>
      </c>
      <c r="I20" s="87">
        <v>296.08312761501861</v>
      </c>
      <c r="J20" s="87">
        <v>255.04377169243597</v>
      </c>
    </row>
    <row r="21" spans="2:10" x14ac:dyDescent="0.25">
      <c r="B21" t="s">
        <v>255</v>
      </c>
      <c r="C21" s="33">
        <f>C16</f>
        <v>0.15952685893063687</v>
      </c>
      <c r="F21" s="162">
        <v>0.05</v>
      </c>
      <c r="G21" s="87">
        <v>655.38687640660942</v>
      </c>
      <c r="H21" s="87">
        <v>462.62908524793323</v>
      </c>
      <c r="I21" s="87">
        <v>342.4855304846489</v>
      </c>
      <c r="J21" s="87">
        <v>293.96601798409165</v>
      </c>
    </row>
    <row r="22" spans="2:10" x14ac:dyDescent="0.25">
      <c r="B22" t="s">
        <v>321</v>
      </c>
      <c r="C22" s="33">
        <f>C15</f>
        <v>6.4000000000000001E-2</v>
      </c>
      <c r="F22" s="162">
        <v>6.4000000000000001E-2</v>
      </c>
      <c r="G22" s="87">
        <v>872.2393914601198</v>
      </c>
      <c r="H22" s="87">
        <v>586.90713481076364</v>
      </c>
      <c r="I22" s="165">
        <v>423.77476608767643</v>
      </c>
      <c r="J22" s="87">
        <v>360.79478048485896</v>
      </c>
    </row>
    <row r="23" spans="2:10" ht="2.25" customHeight="1" x14ac:dyDescent="0.25">
      <c r="F23" s="162"/>
      <c r="G23" s="87">
        <v>293.96601798409176</v>
      </c>
      <c r="H23" s="87">
        <v>221.68184629958813</v>
      </c>
      <c r="I23" s="87">
        <v>168.65834732098688</v>
      </c>
      <c r="J23" s="87">
        <v>145.1456645159962</v>
      </c>
    </row>
    <row r="24" spans="2:10" ht="15.75" thickBot="1" x14ac:dyDescent="0.3">
      <c r="B24" s="102" t="s">
        <v>326</v>
      </c>
      <c r="C24" s="102">
        <f>C20/(C21-C22)</f>
        <v>155440.67168120679</v>
      </c>
      <c r="F24" s="162">
        <v>0.08</v>
      </c>
      <c r="G24" s="87">
        <v>1305.944421567141</v>
      </c>
      <c r="H24" s="87">
        <v>799.95521977561611</v>
      </c>
      <c r="I24" s="87">
        <v>551.73410191562323</v>
      </c>
      <c r="J24" s="87">
        <v>462.62908524793323</v>
      </c>
    </row>
    <row r="25" spans="2:10" x14ac:dyDescent="0.25">
      <c r="F25" s="162">
        <v>0.1</v>
      </c>
      <c r="G25" s="87">
        <v>2823.9120269417162</v>
      </c>
      <c r="H25" s="87">
        <v>1305.9444215671406</v>
      </c>
      <c r="I25" s="87">
        <v>808.45923997379316</v>
      </c>
      <c r="J25" s="87">
        <v>655.38687640660919</v>
      </c>
    </row>
    <row r="26" spans="2:10" x14ac:dyDescent="0.25">
      <c r="B26" s="178" t="s">
        <v>327</v>
      </c>
      <c r="C26" s="178"/>
    </row>
    <row r="28" spans="2:10" x14ac:dyDescent="0.25">
      <c r="B28" t="s">
        <v>320</v>
      </c>
      <c r="C28" s="55">
        <f>SUM(F12:J12)</f>
        <v>28156.730399892273</v>
      </c>
    </row>
    <row r="29" spans="2:10" x14ac:dyDescent="0.25">
      <c r="B29" t="s">
        <v>326</v>
      </c>
      <c r="C29">
        <f>C24</f>
        <v>155440.67168120679</v>
      </c>
    </row>
    <row r="30" spans="2:10" x14ac:dyDescent="0.25">
      <c r="B30" s="12" t="s">
        <v>328</v>
      </c>
      <c r="C30" s="129">
        <f>SUM(C28:C29)</f>
        <v>183597.40208109905</v>
      </c>
    </row>
    <row r="32" spans="2:10" x14ac:dyDescent="0.25">
      <c r="B32" t="s">
        <v>329</v>
      </c>
      <c r="C32">
        <f>'Data Sheet'!K69</f>
        <v>12348</v>
      </c>
    </row>
    <row r="33" spans="2:3" x14ac:dyDescent="0.25">
      <c r="B33" t="s">
        <v>330</v>
      </c>
      <c r="C33">
        <f>SUM('Raw FS'!O7:O8)</f>
        <v>92355</v>
      </c>
    </row>
    <row r="34" spans="2:3" x14ac:dyDescent="0.25">
      <c r="B34" s="12" t="s">
        <v>335</v>
      </c>
      <c r="C34" s="129">
        <f>C30+C32-C33</f>
        <v>103590.40208109905</v>
      </c>
    </row>
    <row r="35" spans="2:3" x14ac:dyDescent="0.25">
      <c r="B35" s="130" t="s">
        <v>331</v>
      </c>
      <c r="C35">
        <f>'Data Sheet'!K93</f>
        <v>244.55</v>
      </c>
    </row>
    <row r="36" spans="2:3" ht="15.75" thickBot="1" x14ac:dyDescent="0.3">
      <c r="B36" s="102" t="s">
        <v>332</v>
      </c>
      <c r="C36" s="115">
        <f>C34/C35</f>
        <v>423.59600114945425</v>
      </c>
    </row>
    <row r="38" spans="2:3" x14ac:dyDescent="0.25">
      <c r="B38" s="131" t="s">
        <v>333</v>
      </c>
      <c r="C38">
        <f>1058</f>
        <v>1058</v>
      </c>
    </row>
    <row r="39" spans="2:3" x14ac:dyDescent="0.25">
      <c r="B39" t="s">
        <v>334</v>
      </c>
      <c r="C39" s="47">
        <f>C38/C36-1</f>
        <v>1.4976628606716087</v>
      </c>
    </row>
  </sheetData>
  <mergeCells count="1">
    <mergeCell ref="B26:C26"/>
  </mergeCells>
  <pageMargins left="0.7" right="0.7" top="0.75" bottom="0.75" header="0.3" footer="0.3"/>
  <pageSetup orientation="portrait" r:id="rId1"/>
  <ignoredErrors>
    <ignoredError sqref="C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40"/>
  <sheetViews>
    <sheetView showGridLines="0" workbookViewId="0">
      <selection activeCell="P12" sqref="P12"/>
    </sheetView>
  </sheetViews>
  <sheetFormatPr defaultRowHeight="15" x14ac:dyDescent="0.25"/>
  <cols>
    <col min="1" max="1" width="1.85546875" customWidth="1"/>
    <col min="2" max="2" width="15.85546875" bestFit="1" customWidth="1"/>
    <col min="5" max="5" width="9.140625" customWidth="1"/>
    <col min="6" max="6" width="8.7109375" customWidth="1"/>
    <col min="7" max="7" width="10.5703125" bestFit="1" customWidth="1"/>
    <col min="8" max="8" width="11.42578125" bestFit="1" customWidth="1"/>
    <col min="10" max="10" width="9" customWidth="1"/>
    <col min="12" max="12" width="10" customWidth="1"/>
    <col min="13" max="13" width="14.28515625" customWidth="1"/>
  </cols>
  <sheetData>
    <row r="2" spans="2:13" ht="18.75" x14ac:dyDescent="0.3">
      <c r="B2" s="75" t="s">
        <v>207</v>
      </c>
      <c r="C2" s="75"/>
      <c r="D2" s="75"/>
      <c r="E2" s="75"/>
      <c r="F2" s="71"/>
      <c r="G2" s="71"/>
      <c r="H2" s="71"/>
      <c r="I2" s="71"/>
      <c r="J2" s="71"/>
      <c r="K2" s="71"/>
      <c r="L2" s="71"/>
      <c r="M2" s="71"/>
    </row>
    <row r="4" spans="2:13" x14ac:dyDescent="0.25">
      <c r="B4" s="73" t="s">
        <v>208</v>
      </c>
      <c r="C4" s="73"/>
      <c r="D4" s="74"/>
      <c r="E4" s="74"/>
    </row>
    <row r="6" spans="2:13" x14ac:dyDescent="0.25">
      <c r="B6" t="s">
        <v>209</v>
      </c>
    </row>
    <row r="7" spans="2:13" x14ac:dyDescent="0.25">
      <c r="J7" t="s">
        <v>214</v>
      </c>
      <c r="K7" t="s">
        <v>214</v>
      </c>
      <c r="L7" t="s">
        <v>217</v>
      </c>
      <c r="M7" t="s">
        <v>219</v>
      </c>
    </row>
    <row r="8" spans="2:13" x14ac:dyDescent="0.25">
      <c r="B8" t="s">
        <v>227</v>
      </c>
      <c r="F8" t="s">
        <v>210</v>
      </c>
      <c r="G8" t="s">
        <v>211</v>
      </c>
      <c r="H8" t="s">
        <v>212</v>
      </c>
      <c r="I8" t="s">
        <v>213</v>
      </c>
      <c r="J8" t="s">
        <v>215</v>
      </c>
      <c r="K8" t="s">
        <v>216</v>
      </c>
      <c r="L8" t="s">
        <v>218</v>
      </c>
      <c r="M8" t="s">
        <v>218</v>
      </c>
    </row>
    <row r="9" spans="2:13" x14ac:dyDescent="0.25">
      <c r="B9" s="76" t="str">
        <f>'Peer Comps'!C3</f>
        <v>JSW Steel</v>
      </c>
      <c r="F9" s="76" t="s">
        <v>228</v>
      </c>
      <c r="G9" s="76">
        <f>'Peer Comps'!F3</f>
        <v>95258</v>
      </c>
      <c r="H9" s="76">
        <f>'Peer Comps'!E3</f>
        <v>258459.99</v>
      </c>
      <c r="I9" s="79">
        <v>0.3</v>
      </c>
      <c r="J9" s="33">
        <f>G9/H9</f>
        <v>0.36855994616420129</v>
      </c>
      <c r="K9" s="33">
        <f>G9/(H9+G9)</f>
        <v>0.26930493413693773</v>
      </c>
      <c r="L9" s="87">
        <f>Beta!O5</f>
        <v>1.2946664379956854</v>
      </c>
      <c r="M9" s="87">
        <f>L9/(1+(1-I9)*J9)</f>
        <v>1.0291531876032471</v>
      </c>
    </row>
    <row r="10" spans="2:13" x14ac:dyDescent="0.25">
      <c r="B10" s="76" t="str">
        <f>'Peer Comps'!C4</f>
        <v>Tata Steel</v>
      </c>
      <c r="F10" s="76" t="s">
        <v>228</v>
      </c>
      <c r="G10" s="76">
        <f>'Peer Comps'!F4</f>
        <v>99391.76</v>
      </c>
      <c r="H10" s="76">
        <f>'Peer Comps'!E4</f>
        <v>197551.76</v>
      </c>
      <c r="I10" s="79">
        <v>0.3</v>
      </c>
      <c r="J10" s="33">
        <f>G10/H10</f>
        <v>0.50311756270862884</v>
      </c>
      <c r="K10" s="33">
        <f>G10/(H10+G10)</f>
        <v>0.33471604297005703</v>
      </c>
      <c r="L10">
        <v>1.24</v>
      </c>
      <c r="M10" s="87">
        <f>L10/(1+(1-I10)*J10)</f>
        <v>0.91703611679989572</v>
      </c>
    </row>
    <row r="11" spans="2:13" x14ac:dyDescent="0.25">
      <c r="B11" s="76" t="str">
        <f>'Peer Comps'!C5</f>
        <v>Jindal Steel</v>
      </c>
      <c r="F11" s="76" t="s">
        <v>228</v>
      </c>
      <c r="G11" s="76">
        <f>'Peer Comps'!F5</f>
        <v>17266.45</v>
      </c>
      <c r="H11" s="76">
        <f>'Peer Comps'!E5</f>
        <v>93730.79</v>
      </c>
      <c r="I11" s="79">
        <v>0.3</v>
      </c>
      <c r="J11" s="33">
        <f>G11/H11</f>
        <v>0.18421321318213579</v>
      </c>
      <c r="K11" s="33">
        <f>G11/(H11+G11)</f>
        <v>0.15555747151911167</v>
      </c>
      <c r="L11">
        <v>1.34</v>
      </c>
      <c r="M11" s="87">
        <f>L11/(1+(1-I11)*J11)</f>
        <v>1.1869444095178951</v>
      </c>
    </row>
    <row r="12" spans="2:13" x14ac:dyDescent="0.25">
      <c r="B12" s="76" t="str">
        <f>'Peer Comps'!C6</f>
        <v>S A I L</v>
      </c>
      <c r="F12" s="76" t="s">
        <v>228</v>
      </c>
      <c r="G12" s="76">
        <f>'Peer Comps'!F6</f>
        <v>41265.03</v>
      </c>
      <c r="H12" s="76">
        <f>'Peer Comps'!E6</f>
        <v>47480.37</v>
      </c>
      <c r="I12" s="79">
        <v>0.3</v>
      </c>
      <c r="J12" s="33">
        <f>G12/H12</f>
        <v>0.86909663930588565</v>
      </c>
      <c r="K12" s="33">
        <f>G12/(H12+G12)</f>
        <v>0.46498218499212357</v>
      </c>
      <c r="L12">
        <v>1.65</v>
      </c>
      <c r="M12" s="87">
        <f>L12/(1+(1-I12)*J12)</f>
        <v>1.0258848482498555</v>
      </c>
    </row>
    <row r="14" spans="2:13" x14ac:dyDescent="0.25">
      <c r="H14" s="77" t="s">
        <v>229</v>
      </c>
      <c r="I14" s="80">
        <f>I11</f>
        <v>0.3</v>
      </c>
      <c r="J14" s="81">
        <f>AVERAGE(J9:J12)</f>
        <v>0.48124684034021287</v>
      </c>
      <c r="K14" s="81">
        <f>AVERAGE(K9:K12)</f>
        <v>0.30614015840455749</v>
      </c>
      <c r="L14" s="89">
        <f>AVERAGE(L9:L12)</f>
        <v>1.3811666094989214</v>
      </c>
      <c r="M14" s="89">
        <f>AVERAGE(M9:M12)</f>
        <v>1.0397546405427234</v>
      </c>
    </row>
    <row r="15" spans="2:13" x14ac:dyDescent="0.25">
      <c r="H15" s="78" t="s">
        <v>154</v>
      </c>
      <c r="I15" s="83">
        <f>I12</f>
        <v>0.3</v>
      </c>
      <c r="J15" s="82">
        <f>MEDIAN(J9:J12)</f>
        <v>0.43583875443641507</v>
      </c>
      <c r="K15" s="82">
        <f>MEDIAN(K9:K12)</f>
        <v>0.30201048855349738</v>
      </c>
      <c r="L15" s="90">
        <f>MEDIAN(L9:L12)</f>
        <v>1.3173332189978426</v>
      </c>
      <c r="M15" s="90">
        <f>MEDIAN(M9:M12)</f>
        <v>1.0275190179265512</v>
      </c>
    </row>
    <row r="18" spans="2:13" x14ac:dyDescent="0.25">
      <c r="B18" s="12" t="s">
        <v>230</v>
      </c>
      <c r="F18" s="78"/>
      <c r="J18" s="88" t="s">
        <v>232</v>
      </c>
      <c r="K18" s="78"/>
      <c r="L18" s="78"/>
      <c r="M18" s="78"/>
    </row>
    <row r="19" spans="2:13" x14ac:dyDescent="0.25">
      <c r="B19" s="77"/>
      <c r="C19" s="77"/>
      <c r="D19" s="77"/>
      <c r="E19" s="77"/>
    </row>
    <row r="20" spans="2:13" x14ac:dyDescent="0.25">
      <c r="B20" t="s">
        <v>233</v>
      </c>
      <c r="F20" s="91">
        <f>'Historical FS'!M19/Wacc!G9</f>
        <v>8.797161393268807E-2</v>
      </c>
      <c r="J20" t="s">
        <v>235</v>
      </c>
      <c r="M20" s="33">
        <f>6.73%</f>
        <v>6.7299999999999999E-2</v>
      </c>
    </row>
    <row r="21" spans="2:13" x14ac:dyDescent="0.25">
      <c r="B21" t="s">
        <v>213</v>
      </c>
      <c r="F21" s="83">
        <f>I14</f>
        <v>0.3</v>
      </c>
      <c r="J21" t="s">
        <v>236</v>
      </c>
      <c r="M21" s="33">
        <f>Rm!G6-Wacc!M20</f>
        <v>0.100548</v>
      </c>
    </row>
    <row r="22" spans="2:13" x14ac:dyDescent="0.25">
      <c r="B22" s="77" t="s">
        <v>234</v>
      </c>
      <c r="C22" s="77"/>
      <c r="D22" s="77"/>
      <c r="E22" s="77"/>
      <c r="F22" s="95">
        <f>F20*(1-F21)</f>
        <v>6.1580129752881643E-2</v>
      </c>
      <c r="J22" t="s">
        <v>237</v>
      </c>
      <c r="M22" s="66">
        <f>M30</f>
        <v>1.3387343884429812</v>
      </c>
    </row>
    <row r="23" spans="2:13" x14ac:dyDescent="0.25">
      <c r="J23" s="77" t="s">
        <v>251</v>
      </c>
      <c r="K23" s="77"/>
      <c r="L23" s="77"/>
      <c r="M23" s="95">
        <f>M20+(M21*M22)</f>
        <v>0.20190706528916488</v>
      </c>
    </row>
    <row r="25" spans="2:13" x14ac:dyDescent="0.25">
      <c r="B25" s="88" t="s">
        <v>238</v>
      </c>
      <c r="C25" s="78"/>
      <c r="D25" s="78"/>
      <c r="E25" s="78"/>
      <c r="F25" s="78"/>
      <c r="J25" s="88" t="s">
        <v>237</v>
      </c>
      <c r="K25" s="78"/>
      <c r="L25" s="78"/>
      <c r="M25" s="78"/>
    </row>
    <row r="27" spans="2:13" x14ac:dyDescent="0.25">
      <c r="E27" s="88" t="s">
        <v>243</v>
      </c>
      <c r="F27" s="93" t="s">
        <v>244</v>
      </c>
      <c r="J27" t="s">
        <v>242</v>
      </c>
      <c r="M27" s="87">
        <f>M15</f>
        <v>1.0275190179265512</v>
      </c>
    </row>
    <row r="28" spans="2:13" x14ac:dyDescent="0.25">
      <c r="B28" t="s">
        <v>240</v>
      </c>
      <c r="D28" s="76">
        <f>G9</f>
        <v>95258</v>
      </c>
      <c r="E28" s="33">
        <f>D28/D30</f>
        <v>0.26930493413693773</v>
      </c>
      <c r="F28" s="92">
        <f>K15</f>
        <v>0.30201048855349738</v>
      </c>
      <c r="J28" t="s">
        <v>241</v>
      </c>
      <c r="M28" s="33">
        <f>F32</f>
        <v>0.43268628482341448</v>
      </c>
    </row>
    <row r="29" spans="2:13" x14ac:dyDescent="0.25">
      <c r="B29" t="s">
        <v>245</v>
      </c>
      <c r="D29" s="76">
        <f>H9</f>
        <v>258459.99</v>
      </c>
      <c r="E29" s="33">
        <f>D29/D30</f>
        <v>0.73069506586306221</v>
      </c>
      <c r="F29" s="33">
        <f>F30-F28</f>
        <v>0.69798951144650268</v>
      </c>
      <c r="J29" t="s">
        <v>213</v>
      </c>
      <c r="M29" s="91">
        <f>I14</f>
        <v>0.3</v>
      </c>
    </row>
    <row r="30" spans="2:13" x14ac:dyDescent="0.25">
      <c r="B30" s="38" t="s">
        <v>246</v>
      </c>
      <c r="C30" s="38"/>
      <c r="D30" s="38">
        <f>SUM(D28:D29)</f>
        <v>353717.99</v>
      </c>
      <c r="E30" s="40">
        <f>SUM(E28:E29)</f>
        <v>1</v>
      </c>
      <c r="F30" s="40">
        <f>E30</f>
        <v>1</v>
      </c>
      <c r="J30" s="38" t="s">
        <v>237</v>
      </c>
      <c r="K30" s="38"/>
      <c r="L30" s="38"/>
      <c r="M30" s="96">
        <f>M27*(1+(1-M29)*M28)</f>
        <v>1.3387343884429812</v>
      </c>
    </row>
    <row r="31" spans="2:13" x14ac:dyDescent="0.25">
      <c r="J31" s="12"/>
    </row>
    <row r="32" spans="2:13" x14ac:dyDescent="0.25">
      <c r="B32" t="s">
        <v>247</v>
      </c>
      <c r="E32" s="33">
        <f>E28/E29</f>
        <v>0.36855994616420129</v>
      </c>
      <c r="F32" s="33">
        <f>F28/F29</f>
        <v>0.43268628482341448</v>
      </c>
      <c r="J32" s="88" t="s">
        <v>239</v>
      </c>
      <c r="K32" s="78"/>
      <c r="L32" s="78"/>
      <c r="M32" s="78"/>
    </row>
    <row r="34" spans="1:13" x14ac:dyDescent="0.25">
      <c r="J34" t="s">
        <v>248</v>
      </c>
      <c r="M34" s="87">
        <f>F22</f>
        <v>6.1580129752881643E-2</v>
      </c>
    </row>
    <row r="35" spans="1:13" x14ac:dyDescent="0.25">
      <c r="B35" s="18" t="s">
        <v>256</v>
      </c>
      <c r="J35" t="s">
        <v>249</v>
      </c>
      <c r="M35" s="33">
        <f>F28</f>
        <v>0.30201048855349738</v>
      </c>
    </row>
    <row r="36" spans="1:13" x14ac:dyDescent="0.25">
      <c r="A36">
        <v>1</v>
      </c>
      <c r="B36" s="73" t="s">
        <v>257</v>
      </c>
      <c r="C36" s="73"/>
      <c r="D36" s="73"/>
      <c r="E36" s="73"/>
      <c r="F36" s="73"/>
    </row>
    <row r="37" spans="1:13" x14ac:dyDescent="0.25">
      <c r="A37">
        <v>2</v>
      </c>
      <c r="B37" s="73" t="s">
        <v>258</v>
      </c>
      <c r="C37" s="73"/>
      <c r="D37" s="73"/>
      <c r="E37" s="73"/>
      <c r="J37" t="s">
        <v>232</v>
      </c>
      <c r="M37" s="33">
        <f>M23</f>
        <v>0.20190706528916488</v>
      </c>
    </row>
    <row r="38" spans="1:13" x14ac:dyDescent="0.25">
      <c r="A38">
        <v>3</v>
      </c>
      <c r="B38" s="73" t="s">
        <v>259</v>
      </c>
      <c r="C38" s="73"/>
      <c r="D38" s="73"/>
      <c r="E38" s="73"/>
      <c r="F38" s="73"/>
      <c r="G38" s="73"/>
      <c r="J38" t="s">
        <v>250</v>
      </c>
      <c r="M38" s="33">
        <f>F29</f>
        <v>0.69798951144650268</v>
      </c>
    </row>
    <row r="39" spans="1:13" x14ac:dyDescent="0.25">
      <c r="A39">
        <v>4</v>
      </c>
      <c r="B39" s="73" t="s">
        <v>260</v>
      </c>
      <c r="C39" s="18"/>
      <c r="D39" s="18"/>
      <c r="E39" s="18"/>
    </row>
    <row r="40" spans="1:13" x14ac:dyDescent="0.25">
      <c r="J40" s="96" t="s">
        <v>255</v>
      </c>
      <c r="K40" s="96"/>
      <c r="L40" s="96"/>
      <c r="M40" s="99">
        <f>(M34*M35)+(M37*M38)</f>
        <v>0.15952685893063687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B2:Q32"/>
  <sheetViews>
    <sheetView showGridLines="0" topLeftCell="A3" workbookViewId="0">
      <selection activeCell="S13" sqref="S13"/>
    </sheetView>
  </sheetViews>
  <sheetFormatPr defaultRowHeight="15" x14ac:dyDescent="0.25"/>
  <cols>
    <col min="1" max="1" width="1.85546875" customWidth="1"/>
    <col min="2" max="2" width="17" customWidth="1"/>
    <col min="3" max="3" width="13.42578125" customWidth="1"/>
    <col min="5" max="5" width="12.5703125" customWidth="1"/>
    <col min="8" max="8" width="10.5703125" customWidth="1"/>
    <col min="10" max="10" width="2.7109375" customWidth="1"/>
    <col min="11" max="11" width="9.5703125" bestFit="1" customWidth="1"/>
    <col min="13" max="13" width="11.28515625" customWidth="1"/>
    <col min="14" max="14" width="2.7109375" customWidth="1"/>
    <col min="15" max="15" width="11.28515625" customWidth="1"/>
    <col min="16" max="17" width="11.28515625" bestFit="1" customWidth="1"/>
  </cols>
  <sheetData>
    <row r="2" spans="2:17" x14ac:dyDescent="0.25">
      <c r="B2" s="18" t="s">
        <v>373</v>
      </c>
    </row>
    <row r="3" spans="2:17" ht="15.75" x14ac:dyDescent="0.25">
      <c r="B3" s="158" t="s">
        <v>336</v>
      </c>
      <c r="C3" s="88"/>
      <c r="D3" s="78"/>
      <c r="E3" s="78"/>
      <c r="F3" s="78"/>
      <c r="G3" s="78"/>
      <c r="H3" s="78"/>
      <c r="I3" s="78"/>
    </row>
    <row r="4" spans="2:17" ht="4.5" customHeight="1" x14ac:dyDescent="0.25"/>
    <row r="5" spans="2:17" x14ac:dyDescent="0.25">
      <c r="B5" s="8"/>
      <c r="C5" s="8"/>
      <c r="D5" s="179" t="s">
        <v>345</v>
      </c>
      <c r="E5" s="179"/>
      <c r="F5" s="179"/>
      <c r="G5" s="179"/>
      <c r="H5" s="179"/>
      <c r="I5" s="179"/>
      <c r="J5" s="8"/>
      <c r="K5" s="179" t="s">
        <v>347</v>
      </c>
      <c r="L5" s="179"/>
      <c r="M5" s="179"/>
      <c r="N5" s="8"/>
      <c r="O5" s="179" t="s">
        <v>351</v>
      </c>
      <c r="P5" s="179"/>
      <c r="Q5" s="179"/>
    </row>
    <row r="6" spans="2:17" ht="46.5" customHeight="1" x14ac:dyDescent="0.25">
      <c r="B6" s="128" t="s">
        <v>337</v>
      </c>
      <c r="C6" s="128" t="s">
        <v>338</v>
      </c>
      <c r="D6" s="140" t="s">
        <v>339</v>
      </c>
      <c r="E6" s="140" t="s">
        <v>340</v>
      </c>
      <c r="F6" s="140" t="s">
        <v>341</v>
      </c>
      <c r="G6" s="141" t="s">
        <v>342</v>
      </c>
      <c r="H6" s="140" t="s">
        <v>344</v>
      </c>
      <c r="I6" s="141"/>
      <c r="J6" s="141"/>
      <c r="K6" s="141" t="s">
        <v>346</v>
      </c>
      <c r="L6" s="141" t="s">
        <v>162</v>
      </c>
      <c r="M6" s="141" t="s">
        <v>343</v>
      </c>
      <c r="N6" s="141"/>
      <c r="O6" s="141" t="s">
        <v>348</v>
      </c>
      <c r="P6" s="141" t="s">
        <v>349</v>
      </c>
      <c r="Q6" s="141" t="s">
        <v>350</v>
      </c>
    </row>
    <row r="7" spans="2:17" ht="4.5" customHeight="1" x14ac:dyDescent="0.25">
      <c r="B7" s="56"/>
      <c r="C7" s="56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2:17" x14ac:dyDescent="0.25">
      <c r="B8" s="147" t="str">
        <f>Data2!C3</f>
        <v>JSW Steel</v>
      </c>
      <c r="C8" s="147" t="s">
        <v>374</v>
      </c>
      <c r="D8" s="148">
        <f>Data2!D3</f>
        <v>1058.7</v>
      </c>
      <c r="E8" s="148">
        <f>Data2!E3</f>
        <v>244.55</v>
      </c>
      <c r="F8" s="149">
        <f>D8*E8</f>
        <v>258905.08500000002</v>
      </c>
      <c r="G8" s="148">
        <f>Data2!I3</f>
        <v>82910</v>
      </c>
      <c r="H8" s="148">
        <f>Data2!N3</f>
        <v>341815.08500000002</v>
      </c>
      <c r="I8" s="149"/>
      <c r="J8" s="149"/>
      <c r="K8" s="148">
        <f>Data2!L3</f>
        <v>170274</v>
      </c>
      <c r="L8" s="148">
        <f>Data2!O3</f>
        <v>22986.892064559517</v>
      </c>
      <c r="M8" s="148">
        <f>Data2!M3</f>
        <v>3312</v>
      </c>
      <c r="N8" s="149"/>
      <c r="O8" s="150">
        <f t="shared" ref="O8:P10" si="0">$H8/K8</f>
        <v>2.0074414473143287</v>
      </c>
      <c r="P8" s="150">
        <f t="shared" si="0"/>
        <v>14.87</v>
      </c>
      <c r="Q8" s="150">
        <f>F8/M8</f>
        <v>78.17182518115942</v>
      </c>
    </row>
    <row r="9" spans="2:17" x14ac:dyDescent="0.25">
      <c r="B9" s="151" t="str">
        <f>Data2!C4</f>
        <v>Tata Steel</v>
      </c>
      <c r="C9" s="151" t="s">
        <v>375</v>
      </c>
      <c r="D9" s="152">
        <f>Data2!D4</f>
        <v>157.28</v>
      </c>
      <c r="E9" s="152">
        <f>Data2!E4</f>
        <v>1248.3499999999999</v>
      </c>
      <c r="F9" s="153">
        <f t="shared" ref="F9:F14" si="1">D9*E9</f>
        <v>196340.48799999998</v>
      </c>
      <c r="G9" s="152">
        <f>Data2!I4</f>
        <v>90714.04</v>
      </c>
      <c r="H9" s="152">
        <f>Data2!N4</f>
        <v>287054.52799999999</v>
      </c>
      <c r="I9" s="153"/>
      <c r="J9" s="153"/>
      <c r="K9" s="152">
        <f>Data2!L4</f>
        <v>221011.71</v>
      </c>
      <c r="L9" s="152">
        <f>Data2!O4</f>
        <v>26852.621889616465</v>
      </c>
      <c r="M9" s="152">
        <f>Data2!M4</f>
        <v>2527.46</v>
      </c>
      <c r="N9" s="153"/>
      <c r="O9" s="154">
        <f t="shared" si="0"/>
        <v>1.2988204471156755</v>
      </c>
      <c r="P9" s="154">
        <f t="shared" si="0"/>
        <v>10.69</v>
      </c>
      <c r="Q9" s="154">
        <f t="shared" ref="Q9:Q14" si="2">F9/M9</f>
        <v>77.682925941459004</v>
      </c>
    </row>
    <row r="10" spans="2:17" x14ac:dyDescent="0.25">
      <c r="B10" s="151" t="str">
        <f>Data2!C5</f>
        <v>Jindal Steel</v>
      </c>
      <c r="C10" s="151" t="s">
        <v>376</v>
      </c>
      <c r="D10" s="152">
        <f>Data2!D5</f>
        <v>914.3</v>
      </c>
      <c r="E10" s="152">
        <f>Data2!E5</f>
        <v>102.01</v>
      </c>
      <c r="F10" s="153">
        <f t="shared" si="1"/>
        <v>93267.743000000002</v>
      </c>
      <c r="G10" s="152">
        <f>Data2!I5</f>
        <v>13242.32</v>
      </c>
      <c r="H10" s="152">
        <f>Data2!N5</f>
        <v>106510.06299999999</v>
      </c>
      <c r="I10" s="153"/>
      <c r="J10" s="153"/>
      <c r="K10" s="152">
        <f>Data2!L5</f>
        <v>50068.78</v>
      </c>
      <c r="L10" s="152">
        <f>Data2!O5</f>
        <v>9753.6687728937723</v>
      </c>
      <c r="M10" s="152">
        <f>Data2!M5</f>
        <v>4082.73</v>
      </c>
      <c r="N10" s="153"/>
      <c r="O10" s="154">
        <f t="shared" si="0"/>
        <v>2.1272749805367734</v>
      </c>
      <c r="P10" s="154">
        <f t="shared" si="0"/>
        <v>10.92</v>
      </c>
      <c r="Q10" s="154">
        <f t="shared" si="2"/>
        <v>22.844455303191737</v>
      </c>
    </row>
    <row r="11" spans="2:17" x14ac:dyDescent="0.25">
      <c r="B11" s="151" t="str">
        <f>Data2!C6</f>
        <v>Tube Investments</v>
      </c>
      <c r="C11" s="151" t="s">
        <v>377</v>
      </c>
      <c r="D11" s="152">
        <f>Data2!D6</f>
        <v>2872.15</v>
      </c>
      <c r="E11" s="152">
        <f>Data2!E6</f>
        <v>19.350000000000001</v>
      </c>
      <c r="F11" s="153">
        <f t="shared" si="1"/>
        <v>55576.102500000008</v>
      </c>
      <c r="G11" s="152">
        <f>Data2!I6</f>
        <v>-528.48000000000013</v>
      </c>
      <c r="H11" s="152">
        <f>Data2!N6</f>
        <v>55047.622500000005</v>
      </c>
      <c r="I11" s="153"/>
      <c r="J11" s="153"/>
      <c r="K11" s="152">
        <f>Data2!L6</f>
        <v>18804.8</v>
      </c>
      <c r="L11" s="152">
        <f>Data2!O6</f>
        <v>2269.069352844188</v>
      </c>
      <c r="M11" s="152">
        <f>Data2!M6</f>
        <v>1167.4100000000001</v>
      </c>
      <c r="N11" s="153"/>
      <c r="O11" s="154">
        <f t="shared" ref="O11:P14" si="3">$H11/K11</f>
        <v>2.9273176263507192</v>
      </c>
      <c r="P11" s="154">
        <f t="shared" si="3"/>
        <v>24.26</v>
      </c>
      <c r="Q11" s="154">
        <f t="shared" si="2"/>
        <v>47.606327254349374</v>
      </c>
    </row>
    <row r="12" spans="2:17" x14ac:dyDescent="0.25">
      <c r="B12" s="151" t="str">
        <f>Data2!C7</f>
        <v>Jindal Stain.</v>
      </c>
      <c r="C12" s="151" t="s">
        <v>378</v>
      </c>
      <c r="D12" s="152">
        <f>Data2!D7</f>
        <v>625.70000000000005</v>
      </c>
      <c r="E12" s="152">
        <f>Data2!E7</f>
        <v>82.38</v>
      </c>
      <c r="F12" s="153">
        <f t="shared" si="1"/>
        <v>51545.165999999997</v>
      </c>
      <c r="G12" s="152">
        <f>Data2!I7</f>
        <v>4484.97</v>
      </c>
      <c r="H12" s="152">
        <f>Data2!N7</f>
        <v>56030.135999999999</v>
      </c>
      <c r="I12" s="153"/>
      <c r="J12" s="153"/>
      <c r="K12" s="152">
        <f>Data2!L7</f>
        <v>38567.910000000003</v>
      </c>
      <c r="L12" s="152">
        <f>Data2!O7</f>
        <v>4889.1916230366487</v>
      </c>
      <c r="M12" s="152">
        <f>Data2!M7</f>
        <v>2410.41</v>
      </c>
      <c r="N12" s="153"/>
      <c r="O12" s="154">
        <f t="shared" si="3"/>
        <v>1.4527656800692594</v>
      </c>
      <c r="P12" s="154">
        <f t="shared" si="3"/>
        <v>11.46</v>
      </c>
      <c r="Q12" s="154">
        <f t="shared" si="2"/>
        <v>21.384397675084323</v>
      </c>
    </row>
    <row r="13" spans="2:17" x14ac:dyDescent="0.25">
      <c r="B13" s="151" t="str">
        <f>Data2!C8</f>
        <v>S A I L</v>
      </c>
      <c r="C13" s="151" t="s">
        <v>379</v>
      </c>
      <c r="D13" s="152">
        <f>Data2!D8</f>
        <v>115.3</v>
      </c>
      <c r="E13" s="152">
        <f>Data2!E8</f>
        <v>413.05</v>
      </c>
      <c r="F13" s="153">
        <f t="shared" si="1"/>
        <v>47624.665000000001</v>
      </c>
      <c r="G13" s="152">
        <f>Data2!I8</f>
        <v>40592.080000000002</v>
      </c>
      <c r="H13" s="152">
        <f>Data2!N8</f>
        <v>88216.74500000001</v>
      </c>
      <c r="I13" s="153"/>
      <c r="J13" s="153"/>
      <c r="K13" s="152">
        <f>Data2!L8</f>
        <v>101121.44</v>
      </c>
      <c r="L13" s="152">
        <f>Data2!O8</f>
        <v>12084.485616438358</v>
      </c>
      <c r="M13" s="152">
        <f>Data2!M8</f>
        <v>2246.5</v>
      </c>
      <c r="N13" s="153"/>
      <c r="O13" s="154">
        <f t="shared" si="3"/>
        <v>0.87238418479800139</v>
      </c>
      <c r="P13" s="154">
        <f t="shared" si="3"/>
        <v>7.3</v>
      </c>
      <c r="Q13" s="154">
        <f t="shared" si="2"/>
        <v>21.199494769641664</v>
      </c>
    </row>
    <row r="14" spans="2:17" x14ac:dyDescent="0.25">
      <c r="B14" s="151" t="str">
        <f>Data2!C9</f>
        <v>APL Apollo Tubes</v>
      </c>
      <c r="C14" s="151" t="s">
        <v>380</v>
      </c>
      <c r="D14" s="152">
        <f>Data2!D9</f>
        <v>1511.55</v>
      </c>
      <c r="E14" s="152">
        <f>Data2!E9</f>
        <v>27.75</v>
      </c>
      <c r="F14" s="153">
        <f t="shared" si="1"/>
        <v>41945.512499999997</v>
      </c>
      <c r="G14" s="152">
        <f>Data2!I9</f>
        <v>674.99</v>
      </c>
      <c r="H14" s="152">
        <f>Data2!N9</f>
        <v>42620.502499999995</v>
      </c>
      <c r="I14" s="153"/>
      <c r="J14" s="153"/>
      <c r="K14" s="152">
        <f>Data2!L9</f>
        <v>19946.68</v>
      </c>
      <c r="L14" s="152">
        <f>Data2!O9</f>
        <v>1141.416778253883</v>
      </c>
      <c r="M14" s="152">
        <f>Data2!M9</f>
        <v>634.39</v>
      </c>
      <c r="N14" s="153"/>
      <c r="O14" s="154">
        <f t="shared" si="3"/>
        <v>2.1367216248518548</v>
      </c>
      <c r="P14" s="154">
        <f t="shared" si="3"/>
        <v>37.340000000000003</v>
      </c>
      <c r="Q14" s="154">
        <f t="shared" si="2"/>
        <v>66.119441510742604</v>
      </c>
    </row>
    <row r="15" spans="2:17" ht="4.5" customHeight="1" x14ac:dyDescent="0.25"/>
    <row r="16" spans="2:17" x14ac:dyDescent="0.25">
      <c r="B16" s="143" t="s">
        <v>363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4">
        <f>MAX(O8:O14)</f>
        <v>2.9273176263507192</v>
      </c>
      <c r="P16" s="144">
        <f>MAX(P8:P14)</f>
        <v>37.340000000000003</v>
      </c>
      <c r="Q16" s="144">
        <f>MAX(Q8:Q14)</f>
        <v>78.17182518115942</v>
      </c>
    </row>
    <row r="17" spans="2:17" x14ac:dyDescent="0.25">
      <c r="B17" s="143" t="s">
        <v>364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4">
        <f>_xlfn.QUARTILE.EXC(O8:O14,3)</f>
        <v>2.1367216248518548</v>
      </c>
      <c r="P17" s="144">
        <f>_xlfn.QUARTILE.EXC(P8:P14,3)</f>
        <v>24.26</v>
      </c>
      <c r="Q17" s="144">
        <f>_xlfn.QUARTILE.EXC(Q8:Q14,3)</f>
        <v>77.682925941459004</v>
      </c>
    </row>
    <row r="18" spans="2:17" x14ac:dyDescent="0.25">
      <c r="B18" s="145" t="s">
        <v>229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6">
        <f>AVERAGE(O8:O14)</f>
        <v>1.8318179987195162</v>
      </c>
      <c r="P18" s="146">
        <f>AVERAGE(P8:P14)</f>
        <v>16.69142857142857</v>
      </c>
      <c r="Q18" s="146">
        <f>AVERAGE(Q8:Q14)</f>
        <v>47.858409662232596</v>
      </c>
    </row>
    <row r="19" spans="2:17" x14ac:dyDescent="0.25">
      <c r="B19" s="145" t="s">
        <v>154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>
        <f>MEDIAN(O8:O14)</f>
        <v>2.0074414473143287</v>
      </c>
      <c r="P19" s="146">
        <f>MEDIAN(P8:P14)</f>
        <v>11.46</v>
      </c>
      <c r="Q19" s="146">
        <f>MEDIAN(Q8:Q14)</f>
        <v>47.606327254349374</v>
      </c>
    </row>
    <row r="20" spans="2:17" x14ac:dyDescent="0.25">
      <c r="B20" s="143" t="s">
        <v>365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4">
        <f>_xlfn.QUARTILE.EXC(O8:O14,1)</f>
        <v>1.2988204471156755</v>
      </c>
      <c r="P20" s="144">
        <f>_xlfn.QUARTILE.EXC(P8:P14,1)</f>
        <v>10.69</v>
      </c>
      <c r="Q20" s="144">
        <f>_xlfn.QUARTILE.EXC(Q8:Q14,1)</f>
        <v>21.384397675084323</v>
      </c>
    </row>
    <row r="21" spans="2:17" x14ac:dyDescent="0.25">
      <c r="B21" s="143" t="s">
        <v>366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4">
        <f>MIN(O8:O14)</f>
        <v>0.87238418479800139</v>
      </c>
      <c r="P21" s="144">
        <f>MIN(P8:P14)</f>
        <v>7.3</v>
      </c>
      <c r="Q21" s="144">
        <f>MIN(Q8:Q14)</f>
        <v>21.199494769641664</v>
      </c>
    </row>
    <row r="23" spans="2:17" x14ac:dyDescent="0.25">
      <c r="B23" s="8" t="s">
        <v>367</v>
      </c>
      <c r="C23" s="8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8" t="s">
        <v>348</v>
      </c>
      <c r="P23" s="8" t="s">
        <v>349</v>
      </c>
      <c r="Q23" s="8" t="s">
        <v>350</v>
      </c>
    </row>
    <row r="24" spans="2:17" ht="4.5" customHeight="1" x14ac:dyDescent="0.25"/>
    <row r="25" spans="2:17" x14ac:dyDescent="0.25">
      <c r="B25" s="155" t="s">
        <v>368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>
        <f>O19*K8</f>
        <v>341815.08500000002</v>
      </c>
      <c r="P25" s="155">
        <f>P19*L8</f>
        <v>263429.78305985208</v>
      </c>
      <c r="Q25" s="156">
        <f>Q27+Q26</f>
        <v>240582.15586640511</v>
      </c>
    </row>
    <row r="26" spans="2:17" x14ac:dyDescent="0.25">
      <c r="B26" s="155" t="s">
        <v>342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6">
        <f>$G$8</f>
        <v>82910</v>
      </c>
      <c r="P26" s="156">
        <f>$G$8</f>
        <v>82910</v>
      </c>
      <c r="Q26" s="156">
        <f>$G$8</f>
        <v>82910</v>
      </c>
    </row>
    <row r="27" spans="2:17" x14ac:dyDescent="0.25">
      <c r="B27" s="155" t="s">
        <v>369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6">
        <f>O25-O26</f>
        <v>258905.08500000002</v>
      </c>
      <c r="P27" s="156">
        <f>P25-P26</f>
        <v>180519.78305985208</v>
      </c>
      <c r="Q27" s="156">
        <f>Q19*M8</f>
        <v>157672.15586640511</v>
      </c>
    </row>
    <row r="28" spans="2:17" x14ac:dyDescent="0.25">
      <c r="B28" s="155" t="s">
        <v>370</v>
      </c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6">
        <f>$E$8</f>
        <v>244.55</v>
      </c>
      <c r="P28" s="156">
        <f>$E$8</f>
        <v>244.55</v>
      </c>
      <c r="Q28" s="156">
        <f>$E$8</f>
        <v>244.55</v>
      </c>
    </row>
    <row r="29" spans="2:17" ht="4.5" customHeight="1" x14ac:dyDescent="0.25"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60"/>
      <c r="P29" s="160"/>
      <c r="Q29" s="160"/>
    </row>
    <row r="30" spans="2:17" ht="15.75" customHeight="1" x14ac:dyDescent="0.25">
      <c r="B30" s="157" t="s">
        <v>371</v>
      </c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>
        <f>O27/O28</f>
        <v>1058.7</v>
      </c>
      <c r="P30" s="157">
        <f>P27/P28</f>
        <v>738.17126583460265</v>
      </c>
      <c r="Q30" s="157">
        <f>Q27/Q28</f>
        <v>644.74404361645918</v>
      </c>
    </row>
    <row r="31" spans="2:17" x14ac:dyDescent="0.25">
      <c r="B31" s="18" t="s">
        <v>372</v>
      </c>
      <c r="C31" s="18"/>
      <c r="D31" s="18"/>
    </row>
    <row r="32" spans="2:17" x14ac:dyDescent="0.25">
      <c r="O32" t="str">
        <f>IF(O30&gt;$D$8,"Undervalued","Overvalued")</f>
        <v>Overvalued</v>
      </c>
      <c r="P32" t="str">
        <f>IF(P30&gt;$D$8,"Undervalued","Overvalued")</f>
        <v>Overvalued</v>
      </c>
      <c r="Q32" t="str">
        <f>IF(Q30&gt;$D$8,"Undervalued","Overvalued")</f>
        <v>Overvalued</v>
      </c>
    </row>
  </sheetData>
  <mergeCells count="3">
    <mergeCell ref="D5:I5"/>
    <mergeCell ref="K5:M5"/>
    <mergeCell ref="O5:Q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B2:Q11"/>
  <sheetViews>
    <sheetView showGridLines="0" zoomScaleNormal="100" workbookViewId="0">
      <selection activeCell="L24" sqref="L24"/>
    </sheetView>
  </sheetViews>
  <sheetFormatPr defaultRowHeight="15" x14ac:dyDescent="0.25"/>
  <cols>
    <col min="1" max="1" width="1.85546875" customWidth="1"/>
  </cols>
  <sheetData>
    <row r="2" spans="2:17" x14ac:dyDescent="0.25">
      <c r="B2" s="8" t="s">
        <v>382</v>
      </c>
      <c r="C2" s="8"/>
      <c r="D2" s="8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5" spans="2:17" x14ac:dyDescent="0.25">
      <c r="L5" s="8" t="s">
        <v>383</v>
      </c>
      <c r="M5" s="35"/>
      <c r="N5" s="35"/>
      <c r="O5" s="35"/>
      <c r="P5" s="35"/>
      <c r="Q5" s="35"/>
    </row>
    <row r="6" spans="2:17" x14ac:dyDescent="0.25">
      <c r="N6" s="166" t="s">
        <v>389</v>
      </c>
      <c r="O6" s="166" t="s">
        <v>366</v>
      </c>
      <c r="P6" s="12" t="s">
        <v>388</v>
      </c>
      <c r="Q6" s="166" t="s">
        <v>363</v>
      </c>
    </row>
    <row r="7" spans="2:17" x14ac:dyDescent="0.25">
      <c r="L7" s="12" t="s">
        <v>384</v>
      </c>
      <c r="N7">
        <f>'Relative valuation'!$Q$30</f>
        <v>644.74404361645918</v>
      </c>
      <c r="O7">
        <f>'Relative valuation'!$Q$30</f>
        <v>644.74404361645918</v>
      </c>
      <c r="P7">
        <f>'Relative valuation'!$O$30</f>
        <v>1058.7</v>
      </c>
      <c r="Q7">
        <f>'Relative valuation'!$O$30</f>
        <v>1058.7</v>
      </c>
    </row>
    <row r="8" spans="2:17" x14ac:dyDescent="0.25">
      <c r="L8" s="12" t="s">
        <v>385</v>
      </c>
      <c r="N8" s="87">
        <f>'DCF&gt;'!$J$20</f>
        <v>255.04377169243597</v>
      </c>
      <c r="O8" s="87">
        <f>'DCF&gt;'!$J$20</f>
        <v>255.04377169243597</v>
      </c>
      <c r="P8" s="87">
        <f>'DCF&gt;'!$J$25</f>
        <v>655.38687640660919</v>
      </c>
      <c r="Q8" s="87">
        <f>'DCF&gt;'!$J$25</f>
        <v>655.38687640660919</v>
      </c>
    </row>
    <row r="9" spans="2:17" x14ac:dyDescent="0.25">
      <c r="L9" s="12" t="s">
        <v>390</v>
      </c>
      <c r="N9" s="87">
        <f>'DCF&gt;'!$I$20</f>
        <v>296.08312761501861</v>
      </c>
      <c r="O9" s="87">
        <f>'DCF&gt;'!$I$20</f>
        <v>296.08312761501861</v>
      </c>
      <c r="P9" s="87">
        <f>'DCF&gt;'!$I$25</f>
        <v>808.45923997379316</v>
      </c>
      <c r="Q9" s="87">
        <f>'DCF&gt;'!$I$25</f>
        <v>808.45923997379316</v>
      </c>
    </row>
    <row r="10" spans="2:17" x14ac:dyDescent="0.25">
      <c r="L10" s="12" t="s">
        <v>386</v>
      </c>
      <c r="N10" s="87">
        <f>'DCF&gt;'!$G$20</f>
        <v>546.96061887985411</v>
      </c>
      <c r="O10" s="87">
        <f>'DCF&gt;'!$G$20</f>
        <v>546.96061887985411</v>
      </c>
      <c r="P10" s="87">
        <f>'DCF&gt;'!$G$25</f>
        <v>2823.9120269417162</v>
      </c>
      <c r="Q10" s="87">
        <f>'DCF&gt;'!$G$25</f>
        <v>2823.9120269417162</v>
      </c>
    </row>
    <row r="11" spans="2:17" x14ac:dyDescent="0.25">
      <c r="L11" s="12" t="s">
        <v>387</v>
      </c>
      <c r="N11" s="87">
        <f>803.1</f>
        <v>803.1</v>
      </c>
      <c r="O11" s="87">
        <f>803.1</f>
        <v>803.1</v>
      </c>
      <c r="P11" s="87">
        <f>1063</f>
        <v>1063</v>
      </c>
      <c r="Q11" s="87">
        <f>1063</f>
        <v>1063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64"/>
  <sheetViews>
    <sheetView showGridLines="0" workbookViewId="0">
      <pane ySplit="2" topLeftCell="A42" activePane="bottomLeft" state="frozen"/>
      <selection pane="bottomLeft" activeCell="K53" sqref="K53"/>
    </sheetView>
  </sheetViews>
  <sheetFormatPr defaultRowHeight="15" x14ac:dyDescent="0.25"/>
  <cols>
    <col min="1" max="1" width="1.85546875" customWidth="1"/>
    <col min="2" max="2" width="25.140625" bestFit="1" customWidth="1"/>
    <col min="7" max="7" width="9.85546875" bestFit="1" customWidth="1"/>
    <col min="8" max="8" width="12.140625" customWidth="1"/>
    <col min="9" max="9" width="9.85546875" bestFit="1" customWidth="1"/>
    <col min="10" max="10" width="14.140625" bestFit="1" customWidth="1"/>
    <col min="11" max="11" width="9.85546875" bestFit="1" customWidth="1"/>
  </cols>
  <sheetData>
    <row r="2" spans="2:11" x14ac:dyDescent="0.25">
      <c r="B2" s="8" t="s">
        <v>261</v>
      </c>
      <c r="C2" s="35"/>
      <c r="D2" s="8"/>
      <c r="E2" s="35"/>
      <c r="F2" s="8"/>
      <c r="G2" s="9">
        <f>'Data Sheet'!G$16</f>
        <v>43921</v>
      </c>
      <c r="H2" s="9">
        <f>'Data Sheet'!H$16</f>
        <v>44286</v>
      </c>
      <c r="I2" s="9">
        <f>'Data Sheet'!I$16</f>
        <v>44651</v>
      </c>
      <c r="J2" s="9">
        <f>'Data Sheet'!J$16</f>
        <v>45016</v>
      </c>
      <c r="K2" s="9">
        <f>'Data Sheet'!K$16</f>
        <v>45382</v>
      </c>
    </row>
    <row r="4" spans="2:11" x14ac:dyDescent="0.25">
      <c r="B4" s="88" t="s">
        <v>262</v>
      </c>
      <c r="C4" s="88"/>
      <c r="D4" s="78"/>
      <c r="E4" s="78"/>
      <c r="F4" s="78"/>
      <c r="G4" s="78"/>
      <c r="H4" s="78"/>
      <c r="I4" s="78"/>
      <c r="J4" s="78"/>
      <c r="K4" s="78"/>
    </row>
    <row r="5" spans="2:11" x14ac:dyDescent="0.25">
      <c r="B5" s="10" t="str">
        <f>'Raw FS'!B37</f>
        <v>Inventories</v>
      </c>
      <c r="G5" s="29">
        <f>'Raw FS'!K37</f>
        <v>14249</v>
      </c>
      <c r="H5" s="29">
        <f>'Raw FS'!L37</f>
        <v>33787</v>
      </c>
      <c r="I5" s="29">
        <f>'Raw FS'!M37</f>
        <v>33135</v>
      </c>
      <c r="J5" s="29">
        <f>'Raw FS'!N37</f>
        <v>37815</v>
      </c>
      <c r="K5" s="29">
        <f>'Raw FS'!O37</f>
        <v>37240</v>
      </c>
    </row>
    <row r="6" spans="2:11" x14ac:dyDescent="0.25">
      <c r="B6" s="120" t="str">
        <f>'Raw FS'!B38</f>
        <v>Trade receivables</v>
      </c>
      <c r="C6" s="121"/>
      <c r="D6" s="121"/>
      <c r="E6" s="121"/>
      <c r="F6" s="121"/>
      <c r="G6" s="106">
        <f>'Raw FS'!K38</f>
        <v>4486</v>
      </c>
      <c r="H6" s="106">
        <f>'Raw FS'!L38</f>
        <v>7457</v>
      </c>
      <c r="I6" s="106">
        <f>'Raw FS'!M38</f>
        <v>7134</v>
      </c>
      <c r="J6" s="106">
        <f>'Raw FS'!N38</f>
        <v>7548</v>
      </c>
      <c r="K6" s="106">
        <f>'Raw FS'!O38</f>
        <v>8002</v>
      </c>
    </row>
    <row r="7" spans="2:11" x14ac:dyDescent="0.25">
      <c r="B7" s="120" t="str">
        <f>'Raw FS'!B39</f>
        <v>Cash Equivalents</v>
      </c>
      <c r="C7" s="121"/>
      <c r="D7" s="121"/>
      <c r="E7" s="121"/>
      <c r="F7" s="121"/>
      <c r="G7" s="106">
        <f>'Raw FS'!K39</f>
        <v>12813</v>
      </c>
      <c r="H7" s="106">
        <f>'Raw FS'!L39</f>
        <v>17383</v>
      </c>
      <c r="I7" s="106">
        <f>'Raw FS'!M39</f>
        <v>20714</v>
      </c>
      <c r="J7" s="106">
        <f>'Raw FS'!N39</f>
        <v>12348</v>
      </c>
      <c r="K7" s="106">
        <f>'Raw FS'!O39</f>
        <v>9289</v>
      </c>
    </row>
    <row r="8" spans="2:11" x14ac:dyDescent="0.25">
      <c r="B8" s="120" t="str">
        <f>'Raw FS'!B40</f>
        <v>Loans n Advances</v>
      </c>
      <c r="C8" s="121"/>
      <c r="D8" s="121"/>
      <c r="E8" s="121"/>
      <c r="F8" s="121"/>
      <c r="G8" s="106">
        <f>'Raw FS'!K40</f>
        <v>1267</v>
      </c>
      <c r="H8" s="106">
        <f>'Raw FS'!L40</f>
        <v>2227</v>
      </c>
      <c r="I8" s="106">
        <f>'Raw FS'!M40</f>
        <v>3179</v>
      </c>
      <c r="J8" s="106">
        <f>'Raw FS'!N40</f>
        <v>1877</v>
      </c>
      <c r="K8" s="106">
        <f>'Raw FS'!O40</f>
        <v>7064</v>
      </c>
    </row>
    <row r="9" spans="2:11" x14ac:dyDescent="0.25">
      <c r="B9" s="10" t="str">
        <f>'Raw FS'!B41</f>
        <v>Other asset items</v>
      </c>
      <c r="G9" s="29">
        <f>'Raw FS'!K41</f>
        <v>9438</v>
      </c>
      <c r="H9" s="29">
        <f>'Raw FS'!L41</f>
        <v>13906</v>
      </c>
      <c r="I9" s="29">
        <f>'Raw FS'!M41</f>
        <v>14953</v>
      </c>
      <c r="J9" s="29">
        <f>'Raw FS'!N41</f>
        <v>18927</v>
      </c>
      <c r="K9" s="29">
        <f>'Raw FS'!O41</f>
        <v>16984</v>
      </c>
    </row>
    <row r="10" spans="2:11" x14ac:dyDescent="0.25">
      <c r="B10" s="103" t="s">
        <v>295</v>
      </c>
      <c r="C10" s="77"/>
      <c r="D10" s="77"/>
      <c r="E10" s="77"/>
      <c r="F10" s="77"/>
      <c r="G10" s="117">
        <f>SUM(G5:G9)</f>
        <v>42253</v>
      </c>
      <c r="H10" s="117">
        <f>SUM(H5:H9)</f>
        <v>74760</v>
      </c>
      <c r="I10" s="117">
        <f>SUM(I5:I9)</f>
        <v>79115</v>
      </c>
      <c r="J10" s="117">
        <f>SUM(J5:J9)</f>
        <v>78515</v>
      </c>
      <c r="K10" s="117">
        <f>SUM(K5:K9)</f>
        <v>78579</v>
      </c>
    </row>
    <row r="11" spans="2:11" x14ac:dyDescent="0.25">
      <c r="G11" s="29"/>
      <c r="H11" s="29"/>
      <c r="I11" s="29"/>
      <c r="J11" s="29"/>
      <c r="K11" s="29"/>
    </row>
    <row r="12" spans="2:11" x14ac:dyDescent="0.25">
      <c r="B12" s="12" t="s">
        <v>297</v>
      </c>
      <c r="G12" s="29"/>
      <c r="H12" s="29"/>
      <c r="I12" s="29"/>
      <c r="J12" s="29"/>
      <c r="K12" s="29"/>
    </row>
    <row r="13" spans="2:11" x14ac:dyDescent="0.25">
      <c r="B13" t="str">
        <f>'Raw FS'!B13</f>
        <v>Non controlling int</v>
      </c>
      <c r="G13" s="29">
        <f>'Raw FS'!K13</f>
        <v>-619</v>
      </c>
      <c r="H13" s="29">
        <f>'Raw FS'!L13</f>
        <v>1238</v>
      </c>
      <c r="I13" s="29">
        <f>'Raw FS'!M13</f>
        <v>1344</v>
      </c>
      <c r="J13" s="29">
        <f>'Raw FS'!N13</f>
        <v>2107</v>
      </c>
      <c r="K13" s="29">
        <f>'Raw FS'!O13</f>
        <v>2094</v>
      </c>
    </row>
    <row r="14" spans="2:11" x14ac:dyDescent="0.25">
      <c r="B14" s="121" t="str">
        <f>'Raw FS'!B14</f>
        <v>Trade Payables</v>
      </c>
      <c r="C14" s="121"/>
      <c r="D14" s="121"/>
      <c r="E14" s="121"/>
      <c r="F14" s="121"/>
      <c r="G14" s="106">
        <f>'Raw FS'!K14</f>
        <v>15243</v>
      </c>
      <c r="H14" s="106">
        <f>'Raw FS'!L14</f>
        <v>30889</v>
      </c>
      <c r="I14" s="106">
        <f>'Raw FS'!M14</f>
        <v>38203</v>
      </c>
      <c r="J14" s="106">
        <f>'Raw FS'!N14</f>
        <v>33365</v>
      </c>
      <c r="K14" s="106">
        <f>'Raw FS'!O14</f>
        <v>28900</v>
      </c>
    </row>
    <row r="15" spans="2:11" x14ac:dyDescent="0.25">
      <c r="B15" s="121" t="str">
        <f>'Raw FS'!B15</f>
        <v>Advance from Customers</v>
      </c>
      <c r="C15" s="121"/>
      <c r="D15" s="121"/>
      <c r="E15" s="121"/>
      <c r="F15" s="121"/>
      <c r="G15" s="106">
        <f>'Raw FS'!K15</f>
        <v>1984</v>
      </c>
      <c r="H15" s="106">
        <f>'Raw FS'!L15</f>
        <v>2133</v>
      </c>
      <c r="I15" s="106">
        <f>'Raw FS'!M15</f>
        <v>2338</v>
      </c>
      <c r="J15" s="106">
        <f>'Raw FS'!N15</f>
        <v>1005</v>
      </c>
      <c r="K15" s="106">
        <f>'Raw FS'!O15</f>
        <v>0</v>
      </c>
    </row>
    <row r="16" spans="2:11" x14ac:dyDescent="0.25">
      <c r="B16" t="str">
        <f>'Raw FS'!B16</f>
        <v>Other liability items</v>
      </c>
      <c r="G16" s="29">
        <f>'Raw FS'!K16</f>
        <v>22553</v>
      </c>
      <c r="H16" s="29">
        <f>'Raw FS'!L16</f>
        <v>22691</v>
      </c>
      <c r="I16" s="29">
        <f>'Raw FS'!M16</f>
        <v>22106</v>
      </c>
      <c r="J16" s="29">
        <f>'Raw FS'!N16</f>
        <v>25768</v>
      </c>
      <c r="K16" s="29">
        <f>'Raw FS'!O16</f>
        <v>27250</v>
      </c>
    </row>
    <row r="17" spans="1:11" x14ac:dyDescent="0.25">
      <c r="B17" s="103" t="s">
        <v>296</v>
      </c>
      <c r="C17" s="77"/>
      <c r="D17" s="77"/>
      <c r="E17" s="77"/>
      <c r="F17" s="77"/>
      <c r="G17" s="117">
        <f>SUM(G13:G16)</f>
        <v>39161</v>
      </c>
      <c r="H17" s="117">
        <f>SUM(H13:H16)</f>
        <v>56951</v>
      </c>
      <c r="I17" s="117">
        <f>SUM(I13:I16)</f>
        <v>63991</v>
      </c>
      <c r="J17" s="117">
        <f>SUM(J13:J16)</f>
        <v>62245</v>
      </c>
      <c r="K17" s="117">
        <f>SUM(K13:K16)</f>
        <v>58244</v>
      </c>
    </row>
    <row r="18" spans="1:11" x14ac:dyDescent="0.25">
      <c r="G18" s="29"/>
      <c r="H18" s="29"/>
      <c r="I18" s="29"/>
      <c r="J18" s="29"/>
      <c r="K18" s="29"/>
    </row>
    <row r="19" spans="1:11" ht="15.75" thickBot="1" x14ac:dyDescent="0.3">
      <c r="A19" s="18" t="s">
        <v>121</v>
      </c>
      <c r="B19" s="102" t="s">
        <v>298</v>
      </c>
      <c r="C19" s="115"/>
      <c r="D19" s="115"/>
      <c r="E19" s="115"/>
      <c r="F19" s="115"/>
      <c r="G19" s="110">
        <f>G10-G17</f>
        <v>3092</v>
      </c>
      <c r="H19" s="110">
        <f>H10-H17</f>
        <v>17809</v>
      </c>
      <c r="I19" s="110">
        <f>I10-I17</f>
        <v>15124</v>
      </c>
      <c r="J19" s="110">
        <f>J10-J17</f>
        <v>16270</v>
      </c>
      <c r="K19" s="110">
        <f>K10-K17</f>
        <v>20335</v>
      </c>
    </row>
    <row r="20" spans="1:11" x14ac:dyDescent="0.25">
      <c r="G20" s="29"/>
      <c r="H20" s="29"/>
      <c r="I20" s="29"/>
      <c r="J20" s="29"/>
      <c r="K20" s="29"/>
    </row>
    <row r="21" spans="1:11" x14ac:dyDescent="0.25">
      <c r="B21" s="88" t="s">
        <v>299</v>
      </c>
      <c r="C21" s="78"/>
      <c r="D21" s="78"/>
      <c r="E21" s="78"/>
      <c r="F21" s="78"/>
      <c r="G21" s="105"/>
      <c r="H21" s="105"/>
      <c r="I21" s="105"/>
      <c r="J21" s="105"/>
      <c r="K21" s="105"/>
    </row>
    <row r="22" spans="1:11" x14ac:dyDescent="0.25">
      <c r="B22" t="str">
        <f>'Raw FS'!B21</f>
        <v>Land</v>
      </c>
      <c r="G22" s="29">
        <f>'Raw FS'!K21</f>
        <v>2946</v>
      </c>
      <c r="H22" s="29">
        <f>'Raw FS'!L21</f>
        <v>5367</v>
      </c>
      <c r="I22" s="29">
        <f>'Raw FS'!M21</f>
        <v>5501</v>
      </c>
      <c r="J22" s="29">
        <f>'Raw FS'!N21</f>
        <v>6118</v>
      </c>
      <c r="K22" s="29">
        <f>'Raw FS'!O21</f>
        <v>0</v>
      </c>
    </row>
    <row r="23" spans="1:11" x14ac:dyDescent="0.25">
      <c r="B23" s="121" t="str">
        <f>'Raw FS'!B22</f>
        <v>Building</v>
      </c>
      <c r="C23" s="121"/>
      <c r="D23" s="121"/>
      <c r="E23" s="121"/>
      <c r="F23" s="121"/>
      <c r="G23" s="106">
        <f>'Raw FS'!K22</f>
        <v>10575</v>
      </c>
      <c r="H23" s="106">
        <f>'Raw FS'!L22</f>
        <v>15584</v>
      </c>
      <c r="I23" s="106">
        <f>'Raw FS'!M22</f>
        <v>16612</v>
      </c>
      <c r="J23" s="106">
        <f>'Raw FS'!N22</f>
        <v>18926</v>
      </c>
      <c r="K23" s="106">
        <f>'Raw FS'!O22</f>
        <v>0</v>
      </c>
    </row>
    <row r="24" spans="1:11" x14ac:dyDescent="0.25">
      <c r="B24" s="121" t="str">
        <f>'Raw FS'!B23</f>
        <v>Plant Machinery</v>
      </c>
      <c r="C24" s="121"/>
      <c r="D24" s="121"/>
      <c r="E24" s="121"/>
      <c r="F24" s="121"/>
      <c r="G24" s="106">
        <f>'Raw FS'!K23</f>
        <v>69561</v>
      </c>
      <c r="H24" s="106">
        <f>'Raw FS'!L23</f>
        <v>102739</v>
      </c>
      <c r="I24" s="106">
        <f>'Raw FS'!M23</f>
        <v>113225</v>
      </c>
      <c r="J24" s="106">
        <f>'Raw FS'!N23</f>
        <v>124339</v>
      </c>
      <c r="K24" s="106">
        <f>'Raw FS'!O23</f>
        <v>0</v>
      </c>
    </row>
    <row r="25" spans="1:11" x14ac:dyDescent="0.25">
      <c r="B25" s="121" t="str">
        <f>'Raw FS'!B24</f>
        <v>Equipments</v>
      </c>
      <c r="C25" s="121"/>
      <c r="D25" s="121"/>
      <c r="E25" s="121"/>
      <c r="F25" s="121"/>
      <c r="G25" s="106">
        <f>'Raw FS'!K24</f>
        <v>129</v>
      </c>
      <c r="H25" s="106">
        <f>'Raw FS'!L24</f>
        <v>154</v>
      </c>
      <c r="I25" s="106">
        <f>'Raw FS'!M24</f>
        <v>203</v>
      </c>
      <c r="J25" s="106">
        <f>'Raw FS'!N24</f>
        <v>294</v>
      </c>
      <c r="K25" s="106">
        <f>'Raw FS'!O24</f>
        <v>0</v>
      </c>
    </row>
    <row r="26" spans="1:11" x14ac:dyDescent="0.25">
      <c r="B26" s="121" t="str">
        <f>'Raw FS'!B25</f>
        <v>Furniture n fittings</v>
      </c>
      <c r="C26" s="121"/>
      <c r="D26" s="121"/>
      <c r="E26" s="121"/>
      <c r="F26" s="121"/>
      <c r="G26" s="106">
        <f>'Raw FS'!K25</f>
        <v>155</v>
      </c>
      <c r="H26" s="106">
        <f>'Raw FS'!L25</f>
        <v>174</v>
      </c>
      <c r="I26" s="106">
        <f>'Raw FS'!M25</f>
        <v>201</v>
      </c>
      <c r="J26" s="106">
        <f>'Raw FS'!N25</f>
        <v>266</v>
      </c>
      <c r="K26" s="106">
        <f>'Raw FS'!O25</f>
        <v>0</v>
      </c>
    </row>
    <row r="27" spans="1:11" x14ac:dyDescent="0.25">
      <c r="B27" s="121" t="str">
        <f>'Raw FS'!B26</f>
        <v>Vehicles</v>
      </c>
      <c r="C27" s="121"/>
      <c r="D27" s="121"/>
      <c r="E27" s="121"/>
      <c r="F27" s="121"/>
      <c r="G27" s="106">
        <f>'Raw FS'!K26</f>
        <v>170</v>
      </c>
      <c r="H27" s="106">
        <f>'Raw FS'!L26</f>
        <v>207</v>
      </c>
      <c r="I27" s="106">
        <f>'Raw FS'!M26</f>
        <v>214</v>
      </c>
      <c r="J27" s="106">
        <f>'Raw FS'!N26</f>
        <v>237</v>
      </c>
      <c r="K27" s="106">
        <f>'Raw FS'!O26</f>
        <v>0</v>
      </c>
    </row>
    <row r="28" spans="1:11" x14ac:dyDescent="0.25">
      <c r="B28" s="121" t="str">
        <f>'Raw FS'!B27</f>
        <v>Intangible Assets</v>
      </c>
      <c r="C28" s="121"/>
      <c r="D28" s="121"/>
      <c r="E28" s="121"/>
      <c r="F28" s="121"/>
      <c r="G28" s="106">
        <f>'Raw FS'!K27</f>
        <v>2001</v>
      </c>
      <c r="H28" s="106">
        <f>'Raw FS'!L27</f>
        <v>2062</v>
      </c>
      <c r="I28" s="106">
        <f>'Raw FS'!M27</f>
        <v>644</v>
      </c>
      <c r="J28" s="106">
        <f>'Raw FS'!N27</f>
        <v>1161</v>
      </c>
      <c r="K28" s="106">
        <f>'Raw FS'!O27</f>
        <v>2951</v>
      </c>
    </row>
    <row r="29" spans="1:11" x14ac:dyDescent="0.25">
      <c r="B29" t="str">
        <f>'Raw FS'!B28</f>
        <v>Other fixed assets</v>
      </c>
      <c r="G29" s="29">
        <f>'Raw FS'!K28</f>
        <v>3325</v>
      </c>
      <c r="H29" s="29">
        <f>'Raw FS'!L28</f>
        <v>3689</v>
      </c>
      <c r="I29" s="29">
        <f>'Raw FS'!M28</f>
        <v>2636</v>
      </c>
      <c r="J29" s="29">
        <f>'Raw FS'!N28</f>
        <v>3354</v>
      </c>
      <c r="K29" s="29">
        <f>'Raw FS'!O28</f>
        <v>0</v>
      </c>
    </row>
    <row r="30" spans="1:11" x14ac:dyDescent="0.25">
      <c r="B30" s="103" t="str">
        <f>'Raw FS'!B29</f>
        <v>Gross Block</v>
      </c>
      <c r="C30" s="103"/>
      <c r="D30" s="103"/>
      <c r="E30" s="103"/>
      <c r="F30" s="103"/>
      <c r="G30" s="117">
        <f>'Raw FS'!K29</f>
        <v>88862</v>
      </c>
      <c r="H30" s="117">
        <f>'Raw FS'!L29</f>
        <v>129976</v>
      </c>
      <c r="I30" s="117">
        <f>'Raw FS'!M29</f>
        <v>139236</v>
      </c>
      <c r="J30" s="117">
        <f>'Raw FS'!N29</f>
        <v>154695</v>
      </c>
      <c r="K30" s="117">
        <f>'Raw FS'!O29</f>
        <v>0</v>
      </c>
    </row>
    <row r="31" spans="1:11" x14ac:dyDescent="0.25">
      <c r="B31" t="str">
        <f>'Raw FS'!B30</f>
        <v>Accumulated Depreciation</v>
      </c>
      <c r="G31" s="29">
        <f>-'Raw FS'!K30</f>
        <v>-23945</v>
      </c>
      <c r="H31" s="29">
        <f>-'Raw FS'!L30</f>
        <v>-30096</v>
      </c>
      <c r="I31" s="29">
        <f>-'Raw FS'!M30</f>
        <v>-34784</v>
      </c>
      <c r="J31" s="29">
        <f>-'Raw FS'!N30</f>
        <v>-42234</v>
      </c>
      <c r="K31" s="29">
        <f>'Raw FS'!O30</f>
        <v>0</v>
      </c>
    </row>
    <row r="32" spans="1:11" ht="15.75" thickBot="1" x14ac:dyDescent="0.3">
      <c r="A32" t="s">
        <v>121</v>
      </c>
      <c r="B32" s="115" t="s">
        <v>300</v>
      </c>
      <c r="C32" s="115"/>
      <c r="D32" s="115"/>
      <c r="E32" s="115"/>
      <c r="F32" s="115"/>
      <c r="G32" s="118">
        <f>G30+G31</f>
        <v>64917</v>
      </c>
      <c r="H32" s="118">
        <f>H30+H31</f>
        <v>99880</v>
      </c>
      <c r="I32" s="118">
        <f>I30+I31</f>
        <v>104452</v>
      </c>
      <c r="J32" s="118">
        <f>J30+J31</f>
        <v>112461</v>
      </c>
      <c r="K32" s="118">
        <f>K30+K31</f>
        <v>0</v>
      </c>
    </row>
    <row r="33" spans="1:11" x14ac:dyDescent="0.25">
      <c r="G33" s="29"/>
      <c r="H33" s="29"/>
      <c r="I33" s="29"/>
      <c r="J33" s="29"/>
      <c r="K33" s="29"/>
    </row>
    <row r="34" spans="1:11" x14ac:dyDescent="0.25">
      <c r="A34" t="s">
        <v>121</v>
      </c>
      <c r="B34" t="s">
        <v>301</v>
      </c>
      <c r="G34" s="29">
        <f>G19+G32</f>
        <v>68009</v>
      </c>
      <c r="H34" s="29">
        <f>H19+H32</f>
        <v>117689</v>
      </c>
      <c r="I34" s="29">
        <f>I19+I32</f>
        <v>119576</v>
      </c>
      <c r="J34" s="29">
        <f>J19+J32</f>
        <v>128731</v>
      </c>
      <c r="K34" s="29">
        <f>K19+K32</f>
        <v>20335</v>
      </c>
    </row>
    <row r="35" spans="1:11" x14ac:dyDescent="0.25">
      <c r="B35" t="s">
        <v>302</v>
      </c>
      <c r="G35" s="29">
        <f>'Historical FS'!H23+'Historical FS'!H19</f>
        <v>7567</v>
      </c>
      <c r="H35" s="29">
        <f>'Historical FS'!I23+'Historical FS'!I19</f>
        <v>15499</v>
      </c>
      <c r="I35" s="29">
        <f>'Historical FS'!J23+'Historical FS'!J19</f>
        <v>33113</v>
      </c>
      <c r="J35" s="29">
        <f>'Historical FS'!K23+'Historical FS'!K19</f>
        <v>10996</v>
      </c>
      <c r="K35" s="29">
        <f>'Historical FS'!L23+'Historical FS'!L19</f>
        <v>19985</v>
      </c>
    </row>
    <row r="36" spans="1:11" ht="6" customHeight="1" x14ac:dyDescent="0.25"/>
    <row r="37" spans="1:11" ht="15.75" thickBot="1" x14ac:dyDescent="0.3">
      <c r="A37" s="18" t="s">
        <v>121</v>
      </c>
      <c r="B37" s="102" t="s">
        <v>303</v>
      </c>
      <c r="C37" s="102"/>
      <c r="D37" s="102"/>
      <c r="E37" s="102"/>
      <c r="F37" s="102"/>
      <c r="G37" s="116">
        <f>G35/G34</f>
        <v>0.11126468555632343</v>
      </c>
      <c r="H37" s="116">
        <f>H35/H34</f>
        <v>0.13169455089260679</v>
      </c>
      <c r="I37" s="116">
        <f>I35/I34</f>
        <v>0.27692011774938113</v>
      </c>
      <c r="J37" s="116">
        <f>J35/J34</f>
        <v>8.5418430681032539E-2</v>
      </c>
      <c r="K37" s="116">
        <f>K35/K34</f>
        <v>0.98278829604130813</v>
      </c>
    </row>
    <row r="39" spans="1:11" x14ac:dyDescent="0.25">
      <c r="A39" t="s">
        <v>121</v>
      </c>
      <c r="B39" s="8" t="s">
        <v>304</v>
      </c>
      <c r="C39" s="8"/>
      <c r="D39" s="100"/>
      <c r="E39" s="100"/>
      <c r="F39" s="100"/>
      <c r="G39" s="101">
        <f>G2</f>
        <v>43921</v>
      </c>
      <c r="H39" s="101">
        <f>H2</f>
        <v>44286</v>
      </c>
      <c r="I39" s="101">
        <f>I2</f>
        <v>44651</v>
      </c>
      <c r="J39" s="101">
        <f>J2</f>
        <v>45016</v>
      </c>
      <c r="K39" s="101">
        <f>K2</f>
        <v>45382</v>
      </c>
    </row>
    <row r="41" spans="1:11" x14ac:dyDescent="0.25">
      <c r="B41" s="121" t="s">
        <v>305</v>
      </c>
      <c r="C41" s="121"/>
      <c r="D41" s="121"/>
      <c r="E41" s="121"/>
      <c r="F41" s="121"/>
      <c r="G41" s="123">
        <f>-'Raw FS'!K57+'Raw FS'!K58</f>
        <v>9309</v>
      </c>
      <c r="H41" s="123">
        <f>-'Raw FS'!L57+'Raw FS'!L58</f>
        <v>10134</v>
      </c>
      <c r="I41" s="123">
        <f>-'Raw FS'!M57+'Raw FS'!M58</f>
        <v>14819</v>
      </c>
      <c r="J41" s="123">
        <f>-'Raw FS'!N57+'Raw FS'!N58</f>
        <v>16055</v>
      </c>
      <c r="K41" s="123">
        <f>-'Raw FS'!O57+'Raw FS'!O58</f>
        <v>0</v>
      </c>
    </row>
    <row r="42" spans="1:11" x14ac:dyDescent="0.25">
      <c r="B42" s="121" t="s">
        <v>306</v>
      </c>
      <c r="C42" s="121"/>
      <c r="D42" s="121"/>
      <c r="E42" s="121"/>
      <c r="F42" s="121"/>
      <c r="G42" s="121"/>
      <c r="H42" s="124">
        <f>H19-G19</f>
        <v>14717</v>
      </c>
      <c r="I42" s="124">
        <f>I19-H19</f>
        <v>-2685</v>
      </c>
      <c r="J42" s="124">
        <f>J19-I19</f>
        <v>1146</v>
      </c>
      <c r="K42" s="124">
        <f>K19-J19</f>
        <v>4065</v>
      </c>
    </row>
    <row r="43" spans="1:11" x14ac:dyDescent="0.25">
      <c r="B43" s="121"/>
      <c r="C43" s="121"/>
      <c r="D43" s="121"/>
      <c r="E43" s="121"/>
      <c r="F43" s="121"/>
      <c r="G43" s="121"/>
      <c r="H43" s="121"/>
      <c r="I43" s="121"/>
      <c r="J43" s="121"/>
      <c r="K43" s="121"/>
    </row>
    <row r="44" spans="1:11" x14ac:dyDescent="0.25">
      <c r="B44" s="121" t="s">
        <v>302</v>
      </c>
      <c r="C44" s="121"/>
      <c r="D44" s="121"/>
      <c r="E44" s="121"/>
      <c r="F44" s="121"/>
      <c r="G44" s="106">
        <f>G35</f>
        <v>7567</v>
      </c>
      <c r="H44" s="106">
        <f>H35</f>
        <v>15499</v>
      </c>
      <c r="I44" s="106">
        <f>I35</f>
        <v>33113</v>
      </c>
      <c r="J44" s="106">
        <f>J35</f>
        <v>10996</v>
      </c>
      <c r="K44" s="106">
        <f>K35</f>
        <v>19985</v>
      </c>
    </row>
    <row r="45" spans="1:11" x14ac:dyDescent="0.25">
      <c r="B45" s="121" t="s">
        <v>307</v>
      </c>
      <c r="C45" s="121"/>
      <c r="D45" s="121"/>
      <c r="E45" s="121"/>
      <c r="F45" s="121"/>
      <c r="G45" s="122">
        <v>0.25</v>
      </c>
      <c r="H45" s="122">
        <v>0.25</v>
      </c>
      <c r="I45" s="122">
        <v>0.25</v>
      </c>
      <c r="J45" s="122">
        <v>0.25</v>
      </c>
      <c r="K45" s="122">
        <v>0.25</v>
      </c>
    </row>
    <row r="46" spans="1:11" x14ac:dyDescent="0.25">
      <c r="B46" s="121" t="s">
        <v>308</v>
      </c>
      <c r="C46" s="121"/>
      <c r="D46" s="121"/>
      <c r="E46" s="121"/>
      <c r="F46" s="121"/>
      <c r="G46" s="121">
        <f>G44*(1-G45)</f>
        <v>5675.25</v>
      </c>
      <c r="H46" s="121">
        <f>H44*(1-H45)</f>
        <v>11624.25</v>
      </c>
      <c r="I46" s="121">
        <f>I44*(1-I45)</f>
        <v>24834.75</v>
      </c>
      <c r="J46" s="121">
        <f>J44*(1-J45)</f>
        <v>8247</v>
      </c>
      <c r="K46" s="121">
        <f>K44*(1-K45)</f>
        <v>14988.75</v>
      </c>
    </row>
    <row r="47" spans="1:11" x14ac:dyDescent="0.25">
      <c r="B47" s="121"/>
      <c r="C47" s="121"/>
      <c r="D47" s="121"/>
      <c r="E47" s="121"/>
      <c r="F47" s="121"/>
      <c r="G47" s="121"/>
      <c r="H47" s="121"/>
      <c r="I47" s="121"/>
      <c r="J47" s="121"/>
      <c r="K47" s="121"/>
    </row>
    <row r="48" spans="1:11" x14ac:dyDescent="0.25">
      <c r="B48" s="121" t="s">
        <v>309</v>
      </c>
      <c r="C48" s="121"/>
      <c r="D48" s="121"/>
      <c r="E48" s="121"/>
      <c r="F48" s="121"/>
      <c r="G48" s="123"/>
      <c r="H48" s="123">
        <f>SUM(H41:H42)</f>
        <v>24851</v>
      </c>
      <c r="I48" s="123">
        <f>SUM(I41:I42)</f>
        <v>12134</v>
      </c>
      <c r="J48" s="123">
        <f>SUM(J41:J42)</f>
        <v>17201</v>
      </c>
      <c r="K48" s="123">
        <f>SUM(K41:K42)</f>
        <v>4065</v>
      </c>
    </row>
    <row r="49" spans="2:11" ht="6" customHeight="1" x14ac:dyDescent="0.25"/>
    <row r="50" spans="2:11" ht="15.75" thickBot="1" x14ac:dyDescent="0.3">
      <c r="B50" s="102" t="s">
        <v>310</v>
      </c>
      <c r="C50" s="115"/>
      <c r="D50" s="115"/>
      <c r="E50" s="115"/>
      <c r="F50" s="115"/>
      <c r="G50" s="115"/>
      <c r="H50" s="116">
        <f>H48/H46</f>
        <v>2.1378583564531044</v>
      </c>
      <c r="I50" s="116">
        <f>I48/I46</f>
        <v>0.48858957710466183</v>
      </c>
      <c r="J50" s="116">
        <f>J48/J46</f>
        <v>2.085728143567358</v>
      </c>
      <c r="K50" s="116">
        <f>K48/K46</f>
        <v>0.27120340255191394</v>
      </c>
    </row>
    <row r="52" spans="2:11" x14ac:dyDescent="0.25">
      <c r="J52" s="126" t="s">
        <v>312</v>
      </c>
      <c r="K52" s="127">
        <f>AVERAGE(H50:K50)</f>
        <v>1.2458448699192597</v>
      </c>
    </row>
    <row r="53" spans="2:11" x14ac:dyDescent="0.25">
      <c r="J53" s="126" t="s">
        <v>313</v>
      </c>
      <c r="K53" s="127">
        <f>MEDIAN(H50:K50)</f>
        <v>1.28715886033601</v>
      </c>
    </row>
    <row r="56" spans="2:11" x14ac:dyDescent="0.25">
      <c r="B56" s="8" t="s">
        <v>311</v>
      </c>
      <c r="C56" s="8"/>
      <c r="D56" s="8"/>
      <c r="E56" s="8"/>
      <c r="F56" s="8"/>
      <c r="G56" s="9">
        <f>G2</f>
        <v>43921</v>
      </c>
      <c r="H56" s="9">
        <f>H2</f>
        <v>44286</v>
      </c>
      <c r="I56" s="9">
        <f>I2</f>
        <v>44651</v>
      </c>
      <c r="J56" s="9">
        <f>J2</f>
        <v>45016</v>
      </c>
      <c r="K56" s="9">
        <f>K2</f>
        <v>45382</v>
      </c>
    </row>
    <row r="58" spans="2:11" x14ac:dyDescent="0.25">
      <c r="B58" s="121" t="s">
        <v>310</v>
      </c>
      <c r="C58" s="121"/>
      <c r="D58" s="121"/>
      <c r="E58" s="121"/>
      <c r="F58" s="121"/>
      <c r="G58" s="121"/>
      <c r="H58" s="125">
        <f>H50</f>
        <v>2.1378583564531044</v>
      </c>
      <c r="I58" s="125">
        <f>I50</f>
        <v>0.48858957710466183</v>
      </c>
      <c r="J58" s="125">
        <f>J50</f>
        <v>2.085728143567358</v>
      </c>
      <c r="K58" s="125">
        <f>K50</f>
        <v>0.27120340255191394</v>
      </c>
    </row>
    <row r="59" spans="2:11" x14ac:dyDescent="0.25">
      <c r="B59" s="121" t="s">
        <v>303</v>
      </c>
      <c r="C59" s="121"/>
      <c r="D59" s="121"/>
      <c r="E59" s="121"/>
      <c r="F59" s="121"/>
      <c r="G59" s="121"/>
      <c r="H59" s="125">
        <f>H37</f>
        <v>0.13169455089260679</v>
      </c>
      <c r="I59" s="125">
        <f>I37</f>
        <v>0.27692011774938113</v>
      </c>
      <c r="J59" s="125">
        <f>J37</f>
        <v>8.5418430681032539E-2</v>
      </c>
      <c r="K59" s="125">
        <f>K37</f>
        <v>0.98278829604130813</v>
      </c>
    </row>
    <row r="60" spans="2:11" ht="6" customHeight="1" x14ac:dyDescent="0.25"/>
    <row r="61" spans="2:11" ht="15.75" thickBot="1" x14ac:dyDescent="0.3">
      <c r="B61" s="115" t="s">
        <v>314</v>
      </c>
      <c r="C61" s="115"/>
      <c r="D61" s="115"/>
      <c r="E61" s="115"/>
      <c r="F61" s="115"/>
      <c r="G61" s="115"/>
      <c r="H61" s="119">
        <f>H58*H59</f>
        <v>0.28154429612509807</v>
      </c>
      <c r="I61" s="119">
        <f>I58*I59</f>
        <v>0.1353002832229433</v>
      </c>
      <c r="J61" s="119">
        <f>J58*J59</f>
        <v>0.17815962485078707</v>
      </c>
      <c r="K61" s="119">
        <f>K58*K59</f>
        <v>0.26653552987460044</v>
      </c>
    </row>
    <row r="63" spans="2:11" x14ac:dyDescent="0.25">
      <c r="J63" s="126" t="s">
        <v>312</v>
      </c>
      <c r="K63" s="127">
        <f>AVERAGE(H61:K61)</f>
        <v>0.21538493351835719</v>
      </c>
    </row>
    <row r="64" spans="2:11" x14ac:dyDescent="0.25">
      <c r="J64" s="126" t="s">
        <v>313</v>
      </c>
      <c r="K64" s="127">
        <f>MEDIAN(H61:K61)</f>
        <v>0.22234757736269375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9"/>
  <sheetViews>
    <sheetView workbookViewId="0">
      <selection activeCell="C11" sqref="C11"/>
    </sheetView>
  </sheetViews>
  <sheetFormatPr defaultRowHeight="15" x14ac:dyDescent="0.25"/>
  <cols>
    <col min="2" max="2" width="7.42578125" bestFit="1" customWidth="1"/>
    <col min="3" max="3" width="18.42578125" bestFit="1" customWidth="1"/>
    <col min="4" max="4" width="9" bestFit="1" customWidth="1"/>
    <col min="5" max="5" width="12" bestFit="1" customWidth="1"/>
    <col min="6" max="6" width="10.85546875" bestFit="1" customWidth="1"/>
    <col min="7" max="7" width="7.85546875" bestFit="1" customWidth="1"/>
  </cols>
  <sheetData>
    <row r="2" spans="2:7" ht="42.75" x14ac:dyDescent="0.25">
      <c r="B2" s="97" t="s">
        <v>224</v>
      </c>
      <c r="C2" s="97" t="s">
        <v>225</v>
      </c>
      <c r="D2" s="98" t="s">
        <v>252</v>
      </c>
      <c r="E2" s="98" t="s">
        <v>253</v>
      </c>
      <c r="F2" s="98" t="s">
        <v>254</v>
      </c>
      <c r="G2" s="98" t="s">
        <v>226</v>
      </c>
    </row>
    <row r="3" spans="2:7" x14ac:dyDescent="0.25">
      <c r="B3" s="97">
        <v>1</v>
      </c>
      <c r="C3" s="72" t="s">
        <v>220</v>
      </c>
      <c r="D3" s="98">
        <v>1056.9000000000001</v>
      </c>
      <c r="E3" s="98">
        <v>258459.99</v>
      </c>
      <c r="F3" s="98">
        <v>95258</v>
      </c>
      <c r="G3" s="98">
        <v>1.2</v>
      </c>
    </row>
    <row r="4" spans="2:7" x14ac:dyDescent="0.25">
      <c r="B4" s="19">
        <v>2</v>
      </c>
      <c r="C4" s="72" t="s">
        <v>221</v>
      </c>
      <c r="D4" s="25">
        <v>158.25</v>
      </c>
      <c r="E4" s="25">
        <v>197551.76</v>
      </c>
      <c r="F4" s="25">
        <v>99391.76</v>
      </c>
      <c r="G4" s="25">
        <v>1.1000000000000001</v>
      </c>
    </row>
    <row r="5" spans="2:7" x14ac:dyDescent="0.25">
      <c r="B5" s="19">
        <v>3</v>
      </c>
      <c r="C5" s="72" t="s">
        <v>222</v>
      </c>
      <c r="D5" s="25">
        <v>918.85</v>
      </c>
      <c r="E5" s="25">
        <v>93730.79</v>
      </c>
      <c r="F5" s="25">
        <v>17266.45</v>
      </c>
      <c r="G5" s="25">
        <v>0.36</v>
      </c>
    </row>
    <row r="6" spans="2:7" x14ac:dyDescent="0.25">
      <c r="B6" s="19">
        <v>6</v>
      </c>
      <c r="C6" s="72" t="s">
        <v>223</v>
      </c>
      <c r="D6" s="25">
        <v>114.95</v>
      </c>
      <c r="E6" s="25">
        <v>47480.37</v>
      </c>
      <c r="F6" s="25">
        <v>41265.03</v>
      </c>
      <c r="G6" s="25">
        <v>0.72</v>
      </c>
    </row>
    <row r="7" spans="2:7" x14ac:dyDescent="0.25">
      <c r="B7" s="19"/>
      <c r="C7" s="72"/>
      <c r="D7" s="25"/>
      <c r="E7" s="25"/>
      <c r="F7" s="25"/>
      <c r="G7" s="25"/>
    </row>
    <row r="9" spans="2:7" x14ac:dyDescent="0.25">
      <c r="B9" s="19"/>
      <c r="C9" s="72"/>
      <c r="D9" s="25"/>
      <c r="E9" s="25"/>
      <c r="F9" s="25"/>
      <c r="G9" s="25"/>
    </row>
  </sheetData>
  <hyperlinks>
    <hyperlink ref="C3" r:id="rId1" display="https://www.screener.in/company/JSWSTEEL/consolidated/" xr:uid="{00000000-0004-0000-0B00-000000000000}"/>
    <hyperlink ref="C4" r:id="rId2" display="https://www.screener.in/company/TATASTEEL/consolidated/" xr:uid="{00000000-0004-0000-0B00-000001000000}"/>
    <hyperlink ref="C5" r:id="rId3" display="https://www.screener.in/company/JINDALSTEL/consolidated/" xr:uid="{00000000-0004-0000-0B00-000002000000}"/>
    <hyperlink ref="C6" r:id="rId4" display="https://www.screener.in/company/SAIL/consolidated/" xr:uid="{00000000-0004-0000-0B00-000003000000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O77"/>
  <sheetViews>
    <sheetView showGridLines="0" workbookViewId="0">
      <pane ySplit="2" topLeftCell="A3" activePane="bottomLeft" state="frozen"/>
      <selection pane="bottomLeft" activeCell="B47" sqref="B47"/>
    </sheetView>
  </sheetViews>
  <sheetFormatPr defaultRowHeight="15" x14ac:dyDescent="0.25"/>
  <cols>
    <col min="1" max="1" width="1.85546875" customWidth="1"/>
    <col min="2" max="2" width="35.5703125" customWidth="1"/>
    <col min="3" max="4" width="9.28515625" bestFit="1" customWidth="1"/>
    <col min="5" max="6" width="9.28515625" customWidth="1"/>
    <col min="7" max="8" width="9.7109375" customWidth="1"/>
    <col min="9" max="10" width="10.5703125" bestFit="1" customWidth="1"/>
    <col min="11" max="11" width="9.7109375" customWidth="1"/>
    <col min="12" max="14" width="10.5703125" bestFit="1" customWidth="1"/>
    <col min="15" max="15" width="9.7109375" bestFit="1" customWidth="1"/>
  </cols>
  <sheetData>
    <row r="2" spans="2:15" x14ac:dyDescent="0.25">
      <c r="B2" s="8" t="s">
        <v>165</v>
      </c>
      <c r="C2" s="35"/>
      <c r="D2" s="101">
        <v>41334</v>
      </c>
      <c r="E2" s="101">
        <f>D2+365</f>
        <v>41699</v>
      </c>
      <c r="F2" s="101">
        <f>E2+365</f>
        <v>42064</v>
      </c>
      <c r="G2" s="101">
        <f>F2+366</f>
        <v>42430</v>
      </c>
      <c r="H2" s="101">
        <f t="shared" ref="H2:O2" si="0">G2+366</f>
        <v>42796</v>
      </c>
      <c r="I2" s="101">
        <f t="shared" si="0"/>
        <v>43162</v>
      </c>
      <c r="J2" s="101">
        <f t="shared" si="0"/>
        <v>43528</v>
      </c>
      <c r="K2" s="101">
        <f t="shared" si="0"/>
        <v>43894</v>
      </c>
      <c r="L2" s="101">
        <f t="shared" si="0"/>
        <v>44260</v>
      </c>
      <c r="M2" s="101">
        <f t="shared" si="0"/>
        <v>44626</v>
      </c>
      <c r="N2" s="101">
        <f t="shared" si="0"/>
        <v>44992</v>
      </c>
      <c r="O2" s="101">
        <f t="shared" si="0"/>
        <v>45358</v>
      </c>
    </row>
    <row r="4" spans="2:15" x14ac:dyDescent="0.25">
      <c r="B4" t="s">
        <v>263</v>
      </c>
      <c r="C4" s="106">
        <v>284</v>
      </c>
      <c r="D4" s="106">
        <v>303</v>
      </c>
      <c r="E4" s="106">
        <v>303</v>
      </c>
      <c r="F4" s="106">
        <v>301</v>
      </c>
      <c r="G4" s="106">
        <v>301</v>
      </c>
      <c r="H4" s="106">
        <v>302</v>
      </c>
      <c r="I4" s="106">
        <v>301</v>
      </c>
      <c r="J4" s="106">
        <v>301</v>
      </c>
      <c r="K4" s="106">
        <v>302</v>
      </c>
      <c r="L4" s="106">
        <v>301</v>
      </c>
      <c r="M4" s="106">
        <v>301</v>
      </c>
      <c r="N4" s="106">
        <v>305</v>
      </c>
      <c r="O4" s="106">
        <v>305</v>
      </c>
    </row>
    <row r="5" spans="2:15" x14ac:dyDescent="0.25">
      <c r="B5" t="s">
        <v>11</v>
      </c>
      <c r="C5" s="106">
        <v>16781</v>
      </c>
      <c r="D5" s="106">
        <v>20871</v>
      </c>
      <c r="E5" s="106">
        <v>21987</v>
      </c>
      <c r="F5" s="106">
        <v>18665</v>
      </c>
      <c r="G5" s="106">
        <v>22346</v>
      </c>
      <c r="H5" s="106">
        <v>27696</v>
      </c>
      <c r="I5" s="106">
        <v>34494</v>
      </c>
      <c r="J5" s="106">
        <v>36298</v>
      </c>
      <c r="K5" s="106">
        <v>46462</v>
      </c>
      <c r="L5" s="106">
        <v>66996</v>
      </c>
      <c r="M5" s="106">
        <v>65394</v>
      </c>
      <c r="N5" s="106">
        <v>77364</v>
      </c>
      <c r="O5" s="106">
        <v>79361</v>
      </c>
    </row>
    <row r="6" spans="2:15" x14ac:dyDescent="0.25">
      <c r="B6" s="12" t="s">
        <v>264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2:15" x14ac:dyDescent="0.25">
      <c r="B7" t="s">
        <v>265</v>
      </c>
      <c r="C7" s="106">
        <v>17393</v>
      </c>
      <c r="D7" s="106">
        <v>26703</v>
      </c>
      <c r="E7" s="106">
        <v>33677</v>
      </c>
      <c r="F7" s="106">
        <v>32793</v>
      </c>
      <c r="G7" s="106">
        <v>32416</v>
      </c>
      <c r="H7" s="106">
        <v>31723</v>
      </c>
      <c r="I7" s="106">
        <v>29656</v>
      </c>
      <c r="J7" s="106">
        <v>44673</v>
      </c>
      <c r="K7" s="106">
        <v>49731</v>
      </c>
      <c r="L7" s="106">
        <v>57929</v>
      </c>
      <c r="M7" s="106">
        <v>61966</v>
      </c>
      <c r="N7" s="106">
        <v>67354</v>
      </c>
      <c r="O7" s="106">
        <v>76547</v>
      </c>
    </row>
    <row r="8" spans="2:15" x14ac:dyDescent="0.25">
      <c r="B8" t="s">
        <v>266</v>
      </c>
      <c r="C8" s="106">
        <v>1653</v>
      </c>
      <c r="D8" s="106">
        <v>4887</v>
      </c>
      <c r="E8" s="106">
        <v>1208</v>
      </c>
      <c r="F8" s="106">
        <v>2378</v>
      </c>
      <c r="G8" s="106">
        <v>4881</v>
      </c>
      <c r="H8" s="106">
        <v>2177</v>
      </c>
      <c r="I8" s="106">
        <v>6333</v>
      </c>
      <c r="J8" s="106">
        <v>8325</v>
      </c>
      <c r="K8" s="106">
        <v>1999</v>
      </c>
      <c r="L8" s="106">
        <v>12046</v>
      </c>
      <c r="M8" s="106">
        <v>16876</v>
      </c>
      <c r="N8" s="106">
        <v>18221</v>
      </c>
      <c r="O8" s="106">
        <v>15808</v>
      </c>
    </row>
    <row r="9" spans="2:15" x14ac:dyDescent="0.25">
      <c r="B9" t="s">
        <v>267</v>
      </c>
      <c r="C9" s="106">
        <v>0</v>
      </c>
      <c r="D9" s="106">
        <v>0</v>
      </c>
      <c r="E9" s="106">
        <v>0</v>
      </c>
      <c r="F9" s="106">
        <v>0</v>
      </c>
      <c r="G9" s="106">
        <v>0</v>
      </c>
      <c r="H9" s="106">
        <v>0</v>
      </c>
      <c r="I9" s="106">
        <v>0</v>
      </c>
      <c r="J9" s="106">
        <v>2050</v>
      </c>
      <c r="K9" s="106">
        <v>2344</v>
      </c>
      <c r="L9" s="106">
        <v>2262</v>
      </c>
      <c r="M9" s="106">
        <v>2011</v>
      </c>
      <c r="N9" s="106">
        <v>2409</v>
      </c>
      <c r="O9" s="106">
        <v>2903</v>
      </c>
    </row>
    <row r="10" spans="2:15" x14ac:dyDescent="0.25">
      <c r="B10" t="s">
        <v>268</v>
      </c>
      <c r="C10" s="106">
        <v>279</v>
      </c>
      <c r="D10" s="106">
        <v>764</v>
      </c>
      <c r="E10" s="106">
        <v>764</v>
      </c>
      <c r="F10" s="106">
        <v>0</v>
      </c>
      <c r="G10" s="106">
        <v>0</v>
      </c>
      <c r="H10" s="106">
        <v>208</v>
      </c>
      <c r="I10" s="106">
        <v>20</v>
      </c>
      <c r="J10" s="106">
        <v>24</v>
      </c>
      <c r="K10" s="106">
        <v>26</v>
      </c>
      <c r="L10" s="106">
        <v>29</v>
      </c>
      <c r="M10" s="106">
        <v>33</v>
      </c>
      <c r="N10" s="106">
        <v>36</v>
      </c>
      <c r="O10" s="106">
        <v>0</v>
      </c>
    </row>
    <row r="11" spans="2:15" x14ac:dyDescent="0.25">
      <c r="B11" t="s">
        <v>269</v>
      </c>
      <c r="C11" s="106">
        <v>2579</v>
      </c>
      <c r="D11" s="106">
        <v>3937</v>
      </c>
      <c r="E11" s="106">
        <v>3870</v>
      </c>
      <c r="F11" s="106">
        <v>7033</v>
      </c>
      <c r="G11" s="106">
        <v>6037</v>
      </c>
      <c r="H11" s="106">
        <v>5493</v>
      </c>
      <c r="I11" s="106">
        <v>11407</v>
      </c>
      <c r="J11" s="106">
        <v>6375</v>
      </c>
      <c r="K11" s="106">
        <v>8318</v>
      </c>
      <c r="L11" s="106">
        <v>0</v>
      </c>
      <c r="M11" s="106">
        <v>0</v>
      </c>
      <c r="N11" s="106">
        <v>0</v>
      </c>
      <c r="O11" s="106"/>
    </row>
    <row r="12" spans="2:15" x14ac:dyDescent="0.25">
      <c r="B12" s="12" t="s">
        <v>270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2:15" x14ac:dyDescent="0.25">
      <c r="B13" t="s">
        <v>271</v>
      </c>
      <c r="C13" s="106">
        <v>197</v>
      </c>
      <c r="D13" s="106">
        <v>167</v>
      </c>
      <c r="E13" s="106">
        <v>98</v>
      </c>
      <c r="F13" s="106">
        <v>-195</v>
      </c>
      <c r="G13" s="106">
        <v>-246</v>
      </c>
      <c r="H13" s="106">
        <v>-464</v>
      </c>
      <c r="I13" s="106">
        <v>-450</v>
      </c>
      <c r="J13" s="106">
        <v>-575</v>
      </c>
      <c r="K13" s="106">
        <v>-619</v>
      </c>
      <c r="L13" s="106">
        <v>1238</v>
      </c>
      <c r="M13" s="106">
        <v>1344</v>
      </c>
      <c r="N13" s="106">
        <v>2107</v>
      </c>
      <c r="O13" s="106">
        <v>2094</v>
      </c>
    </row>
    <row r="14" spans="2:15" x14ac:dyDescent="0.25">
      <c r="B14" t="s">
        <v>272</v>
      </c>
      <c r="C14" s="106">
        <v>10251</v>
      </c>
      <c r="D14" s="106">
        <v>11699</v>
      </c>
      <c r="E14" s="106">
        <v>14253</v>
      </c>
      <c r="F14" s="106">
        <v>12758</v>
      </c>
      <c r="G14" s="106">
        <v>13348</v>
      </c>
      <c r="H14" s="106">
        <v>15944</v>
      </c>
      <c r="I14" s="106">
        <v>16159</v>
      </c>
      <c r="J14" s="106">
        <v>17918</v>
      </c>
      <c r="K14" s="106">
        <v>15243</v>
      </c>
      <c r="L14" s="106">
        <v>30889</v>
      </c>
      <c r="M14" s="106">
        <v>38203</v>
      </c>
      <c r="N14" s="106">
        <v>33365</v>
      </c>
      <c r="O14" s="106">
        <v>28900</v>
      </c>
    </row>
    <row r="15" spans="2:15" x14ac:dyDescent="0.25">
      <c r="B15" t="s">
        <v>273</v>
      </c>
      <c r="C15" s="106">
        <v>200</v>
      </c>
      <c r="D15" s="106">
        <v>315</v>
      </c>
      <c r="E15" s="106">
        <v>513</v>
      </c>
      <c r="F15" s="106">
        <v>327</v>
      </c>
      <c r="G15" s="106">
        <v>377</v>
      </c>
      <c r="H15" s="106">
        <v>370</v>
      </c>
      <c r="I15" s="106">
        <v>1154</v>
      </c>
      <c r="J15" s="106">
        <v>1459</v>
      </c>
      <c r="K15" s="106">
        <v>1984</v>
      </c>
      <c r="L15" s="106">
        <v>2133</v>
      </c>
      <c r="M15" s="106">
        <v>2338</v>
      </c>
      <c r="N15" s="106">
        <v>1005</v>
      </c>
      <c r="O15" s="106"/>
    </row>
    <row r="16" spans="2:15" x14ac:dyDescent="0.25">
      <c r="B16" t="s">
        <v>274</v>
      </c>
      <c r="C16" s="106">
        <v>8175</v>
      </c>
      <c r="D16" s="106">
        <v>8758</v>
      </c>
      <c r="E16" s="106">
        <v>9747</v>
      </c>
      <c r="F16" s="106">
        <v>7848</v>
      </c>
      <c r="G16" s="106">
        <v>8545</v>
      </c>
      <c r="H16" s="106">
        <v>8729</v>
      </c>
      <c r="I16" s="106">
        <v>15743</v>
      </c>
      <c r="J16" s="106">
        <v>14996</v>
      </c>
      <c r="K16" s="106">
        <v>22553</v>
      </c>
      <c r="L16" s="106">
        <v>22691</v>
      </c>
      <c r="M16" s="106">
        <v>22106</v>
      </c>
      <c r="N16" s="106">
        <v>25768</v>
      </c>
      <c r="O16" s="106">
        <v>27250</v>
      </c>
    </row>
    <row r="17" spans="2:15" x14ac:dyDescent="0.25"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2:15" ht="15.75" thickBot="1" x14ac:dyDescent="0.3">
      <c r="B18" s="102" t="s">
        <v>275</v>
      </c>
      <c r="C18" s="110">
        <v>57513</v>
      </c>
      <c r="D18" s="110">
        <v>77640</v>
      </c>
      <c r="E18" s="110">
        <v>85654</v>
      </c>
      <c r="F18" s="110">
        <v>81907</v>
      </c>
      <c r="G18" s="110">
        <v>88005</v>
      </c>
      <c r="H18" s="110">
        <v>91970</v>
      </c>
      <c r="I18" s="110">
        <v>114797</v>
      </c>
      <c r="J18" s="110">
        <v>131820</v>
      </c>
      <c r="K18" s="110">
        <v>148317</v>
      </c>
      <c r="L18" s="110">
        <v>196485</v>
      </c>
      <c r="M18" s="110">
        <v>210539</v>
      </c>
      <c r="N18" s="110">
        <v>227898</v>
      </c>
      <c r="O18" s="110">
        <v>233168</v>
      </c>
    </row>
    <row r="19" spans="2:15" x14ac:dyDescent="0.25">
      <c r="B19" s="12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2:15" x14ac:dyDescent="0.25">
      <c r="B20" s="12" t="s">
        <v>276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2:15" x14ac:dyDescent="0.25">
      <c r="B21" t="s">
        <v>277</v>
      </c>
      <c r="C21" s="106">
        <v>521</v>
      </c>
      <c r="D21" s="106">
        <v>1689</v>
      </c>
      <c r="E21" s="106">
        <v>2162</v>
      </c>
      <c r="F21" s="106">
        <v>2090</v>
      </c>
      <c r="G21" s="106">
        <v>2112</v>
      </c>
      <c r="H21" s="106">
        <v>2137</v>
      </c>
      <c r="I21" s="106">
        <v>2536</v>
      </c>
      <c r="J21" s="106">
        <v>2610</v>
      </c>
      <c r="K21" s="106">
        <v>2946</v>
      </c>
      <c r="L21" s="106">
        <v>5367</v>
      </c>
      <c r="M21" s="106">
        <v>5501</v>
      </c>
      <c r="N21" s="106">
        <v>6118</v>
      </c>
      <c r="O21" s="106"/>
    </row>
    <row r="22" spans="2:15" x14ac:dyDescent="0.25">
      <c r="B22" t="s">
        <v>278</v>
      </c>
      <c r="C22" s="106">
        <v>5860</v>
      </c>
      <c r="D22" s="106">
        <v>6811</v>
      </c>
      <c r="E22" s="106">
        <v>8146</v>
      </c>
      <c r="F22" s="106">
        <v>7661</v>
      </c>
      <c r="G22" s="106">
        <v>8169</v>
      </c>
      <c r="H22" s="106">
        <v>8463</v>
      </c>
      <c r="I22" s="106">
        <v>9432</v>
      </c>
      <c r="J22" s="106">
        <v>9937</v>
      </c>
      <c r="K22" s="106">
        <v>10575</v>
      </c>
      <c r="L22" s="106">
        <v>15584</v>
      </c>
      <c r="M22" s="106">
        <v>16612</v>
      </c>
      <c r="N22" s="106">
        <v>18926</v>
      </c>
      <c r="O22" s="106"/>
    </row>
    <row r="23" spans="2:15" x14ac:dyDescent="0.25">
      <c r="B23" t="s">
        <v>279</v>
      </c>
      <c r="C23" s="106">
        <v>37037</v>
      </c>
      <c r="D23" s="106">
        <v>49885</v>
      </c>
      <c r="E23" s="106">
        <v>56800</v>
      </c>
      <c r="F23" s="106">
        <v>48633</v>
      </c>
      <c r="G23" s="106">
        <v>53948</v>
      </c>
      <c r="H23" s="106">
        <v>56071</v>
      </c>
      <c r="I23" s="106">
        <v>62976</v>
      </c>
      <c r="J23" s="106">
        <v>65282</v>
      </c>
      <c r="K23" s="106">
        <v>69561</v>
      </c>
      <c r="L23" s="106">
        <v>102739</v>
      </c>
      <c r="M23" s="106">
        <v>113225</v>
      </c>
      <c r="N23" s="106">
        <v>124339</v>
      </c>
      <c r="O23" s="106"/>
    </row>
    <row r="24" spans="2:15" x14ac:dyDescent="0.25">
      <c r="B24" t="s">
        <v>280</v>
      </c>
      <c r="C24" s="106">
        <v>24</v>
      </c>
      <c r="D24" s="106">
        <v>43</v>
      </c>
      <c r="E24" s="106">
        <v>62</v>
      </c>
      <c r="F24" s="106">
        <v>41</v>
      </c>
      <c r="G24" s="106">
        <v>56</v>
      </c>
      <c r="H24" s="106">
        <v>69</v>
      </c>
      <c r="I24" s="106">
        <v>85</v>
      </c>
      <c r="J24" s="106">
        <v>111</v>
      </c>
      <c r="K24" s="106">
        <v>129</v>
      </c>
      <c r="L24" s="106">
        <v>154</v>
      </c>
      <c r="M24" s="106">
        <v>203</v>
      </c>
      <c r="N24" s="106">
        <v>294</v>
      </c>
      <c r="O24" s="106"/>
    </row>
    <row r="25" spans="2:15" x14ac:dyDescent="0.25">
      <c r="B25" t="s">
        <v>281</v>
      </c>
      <c r="C25" s="106">
        <v>106</v>
      </c>
      <c r="D25" s="106">
        <v>121</v>
      </c>
      <c r="E25" s="106">
        <v>156</v>
      </c>
      <c r="F25" s="106">
        <v>81</v>
      </c>
      <c r="G25" s="106">
        <v>88</v>
      </c>
      <c r="H25" s="106">
        <v>119</v>
      </c>
      <c r="I25" s="106">
        <v>142</v>
      </c>
      <c r="J25" s="106">
        <v>144</v>
      </c>
      <c r="K25" s="106">
        <v>155</v>
      </c>
      <c r="L25" s="106">
        <v>174</v>
      </c>
      <c r="M25" s="106">
        <v>201</v>
      </c>
      <c r="N25" s="106">
        <v>266</v>
      </c>
      <c r="O25" s="106"/>
    </row>
    <row r="26" spans="2:15" x14ac:dyDescent="0.25">
      <c r="B26" t="s">
        <v>282</v>
      </c>
      <c r="C26" s="106">
        <v>179</v>
      </c>
      <c r="D26" s="106">
        <v>193</v>
      </c>
      <c r="E26" s="106">
        <v>201</v>
      </c>
      <c r="F26" s="106">
        <v>125</v>
      </c>
      <c r="G26" s="106">
        <v>131</v>
      </c>
      <c r="H26" s="106">
        <v>144</v>
      </c>
      <c r="I26" s="106">
        <v>157</v>
      </c>
      <c r="J26" s="106">
        <v>165</v>
      </c>
      <c r="K26" s="106">
        <v>170</v>
      </c>
      <c r="L26" s="106">
        <v>207</v>
      </c>
      <c r="M26" s="106">
        <v>214</v>
      </c>
      <c r="N26" s="106">
        <v>237</v>
      </c>
      <c r="O26" s="106"/>
    </row>
    <row r="27" spans="2:15" x14ac:dyDescent="0.25">
      <c r="B27" t="s">
        <v>283</v>
      </c>
      <c r="C27" s="106">
        <v>1340</v>
      </c>
      <c r="D27" s="106">
        <v>1600</v>
      </c>
      <c r="E27" s="106">
        <v>1634</v>
      </c>
      <c r="F27" s="106">
        <v>1706</v>
      </c>
      <c r="G27" s="106">
        <v>1670</v>
      </c>
      <c r="H27" s="106">
        <v>1678</v>
      </c>
      <c r="I27" s="106">
        <v>1872</v>
      </c>
      <c r="J27" s="106">
        <v>2054</v>
      </c>
      <c r="K27" s="106">
        <v>2001</v>
      </c>
      <c r="L27" s="106">
        <v>2062</v>
      </c>
      <c r="M27" s="106">
        <v>644</v>
      </c>
      <c r="N27" s="106">
        <v>1161</v>
      </c>
      <c r="O27" s="106">
        <v>2951</v>
      </c>
    </row>
    <row r="28" spans="2:15" x14ac:dyDescent="0.25">
      <c r="B28" t="s">
        <v>284</v>
      </c>
      <c r="C28" s="106">
        <v>801</v>
      </c>
      <c r="D28" s="106">
        <v>955</v>
      </c>
      <c r="E28" s="106">
        <v>1028</v>
      </c>
      <c r="F28" s="106">
        <v>988</v>
      </c>
      <c r="G28" s="106">
        <v>975</v>
      </c>
      <c r="H28" s="106">
        <v>1071</v>
      </c>
      <c r="I28" s="106">
        <v>1289</v>
      </c>
      <c r="J28" s="106">
        <v>1828</v>
      </c>
      <c r="K28" s="106">
        <v>3325</v>
      </c>
      <c r="L28" s="106">
        <v>3689</v>
      </c>
      <c r="M28" s="106">
        <v>2636</v>
      </c>
      <c r="N28" s="106">
        <v>3354</v>
      </c>
      <c r="O28" s="106"/>
    </row>
    <row r="29" spans="2:15" x14ac:dyDescent="0.25">
      <c r="B29" s="12" t="s">
        <v>285</v>
      </c>
      <c r="C29" s="108">
        <v>45868</v>
      </c>
      <c r="D29" s="108">
        <v>61298</v>
      </c>
      <c r="E29" s="108">
        <v>70189</v>
      </c>
      <c r="F29" s="108">
        <v>61325</v>
      </c>
      <c r="G29" s="108">
        <v>67149</v>
      </c>
      <c r="H29" s="108">
        <v>69752</v>
      </c>
      <c r="I29" s="108">
        <v>78489</v>
      </c>
      <c r="J29" s="108">
        <v>82131</v>
      </c>
      <c r="K29" s="108">
        <v>88862</v>
      </c>
      <c r="L29" s="108">
        <v>129976</v>
      </c>
      <c r="M29" s="108">
        <v>139236</v>
      </c>
      <c r="N29" s="108">
        <v>154695</v>
      </c>
      <c r="O29" s="29"/>
    </row>
    <row r="30" spans="2:15" ht="15.75" thickBot="1" x14ac:dyDescent="0.3">
      <c r="B30" s="12" t="s">
        <v>286</v>
      </c>
      <c r="C30" s="108">
        <v>11151</v>
      </c>
      <c r="D30" s="108">
        <v>14252</v>
      </c>
      <c r="E30" s="108">
        <v>18013</v>
      </c>
      <c r="F30" s="108">
        <v>5186</v>
      </c>
      <c r="G30" s="108">
        <v>8419</v>
      </c>
      <c r="H30" s="108">
        <v>11904</v>
      </c>
      <c r="I30" s="108">
        <v>15845</v>
      </c>
      <c r="J30" s="108">
        <v>20046</v>
      </c>
      <c r="K30" s="108">
        <v>23945</v>
      </c>
      <c r="L30" s="108">
        <v>30096</v>
      </c>
      <c r="M30" s="108">
        <v>34784</v>
      </c>
      <c r="N30" s="108">
        <v>42234</v>
      </c>
      <c r="O30" s="29"/>
    </row>
    <row r="31" spans="2:15" x14ac:dyDescent="0.25">
      <c r="B31" s="12" t="s">
        <v>13</v>
      </c>
      <c r="C31" s="109">
        <f>C29-C30</f>
        <v>34717</v>
      </c>
      <c r="D31" s="109">
        <f t="shared" ref="D31:O31" si="1">D29-D30</f>
        <v>47046</v>
      </c>
      <c r="E31" s="109">
        <f t="shared" si="1"/>
        <v>52176</v>
      </c>
      <c r="F31" s="109">
        <f t="shared" si="1"/>
        <v>56139</v>
      </c>
      <c r="G31" s="109">
        <f t="shared" si="1"/>
        <v>58730</v>
      </c>
      <c r="H31" s="109">
        <f t="shared" si="1"/>
        <v>57848</v>
      </c>
      <c r="I31" s="109">
        <f t="shared" si="1"/>
        <v>62644</v>
      </c>
      <c r="J31" s="109">
        <f t="shared" si="1"/>
        <v>62085</v>
      </c>
      <c r="K31" s="109">
        <f t="shared" si="1"/>
        <v>64917</v>
      </c>
      <c r="L31" s="109">
        <f t="shared" si="1"/>
        <v>99880</v>
      </c>
      <c r="M31" s="109">
        <f t="shared" si="1"/>
        <v>104452</v>
      </c>
      <c r="N31" s="109">
        <f t="shared" si="1"/>
        <v>112461</v>
      </c>
      <c r="O31" s="107">
        <f t="shared" si="1"/>
        <v>0</v>
      </c>
    </row>
    <row r="32" spans="2:15" x14ac:dyDescent="0.25"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spans="2:15" x14ac:dyDescent="0.25">
      <c r="B33" s="12" t="s">
        <v>287</v>
      </c>
      <c r="C33" s="104">
        <v>5898</v>
      </c>
      <c r="D33" s="104">
        <v>9400</v>
      </c>
      <c r="E33" s="104">
        <v>8265</v>
      </c>
      <c r="F33" s="104">
        <v>7271</v>
      </c>
      <c r="G33" s="104">
        <v>4363</v>
      </c>
      <c r="H33" s="104">
        <v>5950</v>
      </c>
      <c r="I33" s="104">
        <v>11889</v>
      </c>
      <c r="J33" s="104">
        <v>27191</v>
      </c>
      <c r="K33" s="104">
        <v>32566</v>
      </c>
      <c r="L33" s="104">
        <v>16905</v>
      </c>
      <c r="M33" s="104">
        <v>22166</v>
      </c>
      <c r="N33" s="104">
        <v>29676</v>
      </c>
      <c r="O33" s="104">
        <v>29555</v>
      </c>
    </row>
    <row r="34" spans="2:15" x14ac:dyDescent="0.25">
      <c r="B34" s="12" t="s">
        <v>15</v>
      </c>
      <c r="C34" s="105">
        <v>1750</v>
      </c>
      <c r="D34" s="105">
        <v>663</v>
      </c>
      <c r="E34" s="105">
        <v>599</v>
      </c>
      <c r="F34" s="105">
        <v>1195</v>
      </c>
      <c r="G34" s="105">
        <v>1366</v>
      </c>
      <c r="H34" s="105">
        <v>1469</v>
      </c>
      <c r="I34" s="105">
        <v>1894</v>
      </c>
      <c r="J34" s="105">
        <v>1259</v>
      </c>
      <c r="K34" s="105">
        <v>8581</v>
      </c>
      <c r="L34" s="105">
        <v>4940</v>
      </c>
      <c r="M34" s="105">
        <v>4806</v>
      </c>
      <c r="N34" s="105">
        <v>7246</v>
      </c>
      <c r="O34" s="105">
        <v>10740</v>
      </c>
    </row>
    <row r="35" spans="2:15" x14ac:dyDescent="0.25"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2:15" x14ac:dyDescent="0.25">
      <c r="B36" s="12" t="s">
        <v>288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2:15" x14ac:dyDescent="0.25">
      <c r="B37" t="s">
        <v>289</v>
      </c>
      <c r="C37" s="105">
        <v>5495</v>
      </c>
      <c r="D37" s="105">
        <v>8155</v>
      </c>
      <c r="E37" s="105">
        <v>11009</v>
      </c>
      <c r="F37" s="105">
        <v>8321</v>
      </c>
      <c r="G37" s="105">
        <v>11395</v>
      </c>
      <c r="H37" s="105">
        <v>12594</v>
      </c>
      <c r="I37" s="105">
        <v>14548</v>
      </c>
      <c r="J37" s="105">
        <v>13773</v>
      </c>
      <c r="K37" s="105">
        <v>14249</v>
      </c>
      <c r="L37" s="105">
        <v>33787</v>
      </c>
      <c r="M37" s="105">
        <v>33135</v>
      </c>
      <c r="N37" s="105">
        <v>37815</v>
      </c>
      <c r="O37" s="105">
        <v>37240</v>
      </c>
    </row>
    <row r="38" spans="2:15" x14ac:dyDescent="0.25">
      <c r="B38" t="s">
        <v>290</v>
      </c>
      <c r="C38" s="106">
        <v>2106</v>
      </c>
      <c r="D38" s="106">
        <v>2292</v>
      </c>
      <c r="E38" s="106">
        <v>2500</v>
      </c>
      <c r="F38" s="106">
        <v>2727</v>
      </c>
      <c r="G38" s="106">
        <v>4149</v>
      </c>
      <c r="H38" s="106">
        <v>4704</v>
      </c>
      <c r="I38" s="106">
        <v>7160</v>
      </c>
      <c r="J38" s="106">
        <v>4505</v>
      </c>
      <c r="K38" s="106">
        <v>4486</v>
      </c>
      <c r="L38" s="106">
        <v>7457</v>
      </c>
      <c r="M38" s="106">
        <v>7134</v>
      </c>
      <c r="N38" s="106">
        <v>7548</v>
      </c>
      <c r="O38" s="106">
        <v>8002</v>
      </c>
    </row>
    <row r="39" spans="2:15" x14ac:dyDescent="0.25">
      <c r="B39" t="s">
        <v>291</v>
      </c>
      <c r="C39" s="106">
        <v>1653</v>
      </c>
      <c r="D39" s="106">
        <v>663</v>
      </c>
      <c r="E39" s="106">
        <v>1913</v>
      </c>
      <c r="F39" s="106">
        <v>1020</v>
      </c>
      <c r="G39" s="106">
        <v>1485</v>
      </c>
      <c r="H39" s="106">
        <v>1063</v>
      </c>
      <c r="I39" s="106">
        <v>6187</v>
      </c>
      <c r="J39" s="106">
        <v>12003</v>
      </c>
      <c r="K39" s="106">
        <v>12813</v>
      </c>
      <c r="L39" s="106">
        <v>17383</v>
      </c>
      <c r="M39" s="106">
        <v>20714</v>
      </c>
      <c r="N39" s="106">
        <v>12348</v>
      </c>
      <c r="O39" s="106">
        <v>9289</v>
      </c>
    </row>
    <row r="40" spans="2:15" x14ac:dyDescent="0.25">
      <c r="B40" t="s">
        <v>292</v>
      </c>
      <c r="C40" s="106">
        <v>861</v>
      </c>
      <c r="D40" s="106">
        <v>2373</v>
      </c>
      <c r="E40" s="106">
        <v>1371</v>
      </c>
      <c r="F40" s="106">
        <v>666</v>
      </c>
      <c r="G40" s="106">
        <v>995</v>
      </c>
      <c r="H40" s="106">
        <v>1212</v>
      </c>
      <c r="I40" s="106">
        <v>1276</v>
      </c>
      <c r="J40" s="106">
        <v>1562</v>
      </c>
      <c r="K40" s="106">
        <v>1267</v>
      </c>
      <c r="L40" s="106">
        <v>2227</v>
      </c>
      <c r="M40" s="106">
        <v>3179</v>
      </c>
      <c r="N40" s="106">
        <v>1877</v>
      </c>
      <c r="O40" s="106">
        <v>7064</v>
      </c>
    </row>
    <row r="41" spans="2:15" x14ac:dyDescent="0.25">
      <c r="B41" t="s">
        <v>293</v>
      </c>
      <c r="C41" s="106">
        <v>5033</v>
      </c>
      <c r="D41" s="106">
        <v>7048</v>
      </c>
      <c r="E41" s="106">
        <v>7820</v>
      </c>
      <c r="F41" s="106">
        <v>4567</v>
      </c>
      <c r="G41" s="106">
        <v>5522</v>
      </c>
      <c r="H41" s="106">
        <v>7130</v>
      </c>
      <c r="I41" s="106">
        <v>9199</v>
      </c>
      <c r="J41" s="106">
        <v>9442</v>
      </c>
      <c r="K41" s="106">
        <v>9438</v>
      </c>
      <c r="L41" s="106">
        <v>13906</v>
      </c>
      <c r="M41" s="106">
        <v>14953</v>
      </c>
      <c r="N41" s="106">
        <v>18927</v>
      </c>
      <c r="O41" s="106">
        <v>16984</v>
      </c>
    </row>
    <row r="42" spans="2:15" x14ac:dyDescent="0.25"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spans="2:15" ht="15.75" thickBot="1" x14ac:dyDescent="0.3">
      <c r="B43" s="102" t="s">
        <v>294</v>
      </c>
      <c r="C43" s="110">
        <v>57513</v>
      </c>
      <c r="D43" s="110">
        <v>77640</v>
      </c>
      <c r="E43" s="110">
        <v>85654</v>
      </c>
      <c r="F43" s="110">
        <v>81907</v>
      </c>
      <c r="G43" s="110">
        <v>88005</v>
      </c>
      <c r="H43" s="110">
        <v>91970</v>
      </c>
      <c r="I43" s="110">
        <v>114797</v>
      </c>
      <c r="J43" s="110">
        <v>131820</v>
      </c>
      <c r="K43" s="110">
        <v>148317</v>
      </c>
      <c r="L43" s="110">
        <v>196485</v>
      </c>
      <c r="M43" s="110">
        <v>210539</v>
      </c>
      <c r="N43" s="110">
        <v>227898</v>
      </c>
      <c r="O43" s="110">
        <v>233168</v>
      </c>
    </row>
    <row r="45" spans="2:15" x14ac:dyDescent="0.25">
      <c r="B45" s="8" t="s">
        <v>85</v>
      </c>
    </row>
    <row r="47" spans="2:15" x14ac:dyDescent="0.25">
      <c r="B47" s="114" t="s">
        <v>86</v>
      </c>
      <c r="C47" s="111">
        <v>5844</v>
      </c>
      <c r="D47" s="111">
        <v>2594</v>
      </c>
      <c r="E47" s="111">
        <v>7876</v>
      </c>
      <c r="F47" s="111">
        <v>6897</v>
      </c>
      <c r="G47" s="111">
        <v>7888</v>
      </c>
      <c r="H47" s="111">
        <v>12379</v>
      </c>
      <c r="I47" s="111">
        <v>14633</v>
      </c>
      <c r="J47" s="111">
        <v>12785</v>
      </c>
      <c r="K47" s="111">
        <v>18789</v>
      </c>
      <c r="L47" s="111">
        <v>26270</v>
      </c>
      <c r="M47" s="111">
        <v>23323</v>
      </c>
      <c r="N47" s="111">
        <v>12078</v>
      </c>
    </row>
    <row r="48" spans="2:15" x14ac:dyDescent="0.25">
      <c r="B48" s="112" t="s">
        <v>87</v>
      </c>
      <c r="C48" s="111">
        <v>5766</v>
      </c>
      <c r="D48" s="111">
        <v>6517</v>
      </c>
      <c r="E48" s="111">
        <v>8850</v>
      </c>
      <c r="F48" s="111">
        <v>6614</v>
      </c>
      <c r="G48" s="111">
        <v>11994</v>
      </c>
      <c r="H48" s="111">
        <v>14920</v>
      </c>
      <c r="I48" s="111">
        <v>18844</v>
      </c>
      <c r="J48" s="111">
        <v>12301</v>
      </c>
      <c r="K48" s="111">
        <v>19455</v>
      </c>
      <c r="L48" s="111">
        <v>38913</v>
      </c>
      <c r="M48" s="111">
        <v>20856</v>
      </c>
      <c r="N48" s="111">
        <v>28472</v>
      </c>
    </row>
    <row r="49" spans="2:14" x14ac:dyDescent="0.25">
      <c r="B49" s="21" t="s">
        <v>43</v>
      </c>
      <c r="C49" s="25">
        <v>-644</v>
      </c>
      <c r="D49" s="25">
        <v>284</v>
      </c>
      <c r="E49" s="25">
        <v>-207</v>
      </c>
      <c r="F49" s="25">
        <v>-294</v>
      </c>
      <c r="G49" s="20">
        <v>-1352</v>
      </c>
      <c r="H49" s="25">
        <v>-640</v>
      </c>
      <c r="I49" s="20">
        <v>-2203</v>
      </c>
      <c r="J49" s="20">
        <v>2458</v>
      </c>
      <c r="K49" s="25">
        <v>72</v>
      </c>
      <c r="L49" s="20">
        <v>-1884</v>
      </c>
      <c r="M49" s="25">
        <v>317</v>
      </c>
      <c r="N49" s="25">
        <v>-154</v>
      </c>
    </row>
    <row r="50" spans="2:14" x14ac:dyDescent="0.25">
      <c r="B50" s="21" t="s">
        <v>29</v>
      </c>
      <c r="C50" s="25">
        <v>294</v>
      </c>
      <c r="D50" s="25">
        <v>-976</v>
      </c>
      <c r="E50" s="20">
        <v>-2854</v>
      </c>
      <c r="F50" s="20">
        <v>2578</v>
      </c>
      <c r="G50" s="20">
        <v>-3065</v>
      </c>
      <c r="H50" s="20">
        <v>-1199</v>
      </c>
      <c r="I50" s="20">
        <v>-1741</v>
      </c>
      <c r="J50" s="25">
        <v>744</v>
      </c>
      <c r="K50" s="25">
        <v>-335</v>
      </c>
      <c r="L50" s="20">
        <v>-15593</v>
      </c>
      <c r="M50" s="25">
        <v>704</v>
      </c>
      <c r="N50" s="20">
        <v>-3284</v>
      </c>
    </row>
    <row r="51" spans="2:14" x14ac:dyDescent="0.25">
      <c r="B51" s="21" t="s">
        <v>88</v>
      </c>
      <c r="C51" s="25">
        <v>0</v>
      </c>
      <c r="D51" s="25">
        <v>0</v>
      </c>
      <c r="E51" s="20">
        <v>2543</v>
      </c>
      <c r="F51" s="20">
        <v>-2143</v>
      </c>
      <c r="G51" s="20">
        <v>1561</v>
      </c>
      <c r="H51" s="20">
        <v>2514</v>
      </c>
      <c r="I51" s="20">
        <v>3406</v>
      </c>
      <c r="J51" s="25">
        <v>183</v>
      </c>
      <c r="K51" s="20">
        <v>1306</v>
      </c>
      <c r="L51" s="20">
        <v>13013</v>
      </c>
      <c r="M51" s="20">
        <v>4965</v>
      </c>
      <c r="N51" s="20">
        <v>-7235</v>
      </c>
    </row>
    <row r="52" spans="2:14" x14ac:dyDescent="0.25">
      <c r="B52" s="21" t="s">
        <v>89</v>
      </c>
      <c r="C52" s="25">
        <v>278</v>
      </c>
      <c r="D52" s="25">
        <v>51</v>
      </c>
      <c r="E52" s="25">
        <v>286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</row>
    <row r="53" spans="2:14" x14ac:dyDescent="0.25">
      <c r="B53" s="21" t="s">
        <v>90</v>
      </c>
      <c r="C53" s="25">
        <v>661</v>
      </c>
      <c r="D53" s="20">
        <v>-2878</v>
      </c>
      <c r="E53" s="25">
        <v>31</v>
      </c>
      <c r="F53" s="25">
        <v>351</v>
      </c>
      <c r="G53" s="20">
        <v>-1013</v>
      </c>
      <c r="H53" s="20">
        <v>-1776</v>
      </c>
      <c r="I53" s="20">
        <v>-1043</v>
      </c>
      <c r="J53" s="20">
        <v>-1746</v>
      </c>
      <c r="K53" s="25">
        <v>221</v>
      </c>
      <c r="L53" s="20">
        <v>-2800</v>
      </c>
      <c r="M53" s="20">
        <v>-2881</v>
      </c>
      <c r="N53" s="20">
        <v>-2942</v>
      </c>
    </row>
    <row r="54" spans="2:14" x14ac:dyDescent="0.25">
      <c r="B54" s="112" t="s">
        <v>91</v>
      </c>
      <c r="C54" s="113">
        <v>589</v>
      </c>
      <c r="D54" s="111">
        <v>-3520</v>
      </c>
      <c r="E54" s="113">
        <v>-202</v>
      </c>
      <c r="F54" s="113">
        <v>491</v>
      </c>
      <c r="G54" s="111">
        <v>-3869</v>
      </c>
      <c r="H54" s="111">
        <v>-1101</v>
      </c>
      <c r="I54" s="111">
        <v>-1581</v>
      </c>
      <c r="J54" s="111">
        <v>1639</v>
      </c>
      <c r="K54" s="111">
        <v>1264</v>
      </c>
      <c r="L54" s="111">
        <v>-7264</v>
      </c>
      <c r="M54" s="111">
        <v>3105</v>
      </c>
      <c r="N54" s="111">
        <v>-13615</v>
      </c>
    </row>
    <row r="55" spans="2:14" x14ac:dyDescent="0.25">
      <c r="B55" s="21" t="s">
        <v>92</v>
      </c>
      <c r="C55" s="25">
        <v>-511</v>
      </c>
      <c r="D55" s="25">
        <v>-404</v>
      </c>
      <c r="E55" s="25">
        <v>-773</v>
      </c>
      <c r="F55" s="25">
        <v>-207</v>
      </c>
      <c r="G55" s="25">
        <v>-237</v>
      </c>
      <c r="H55" s="20">
        <v>-1440</v>
      </c>
      <c r="I55" s="20">
        <v>-2630</v>
      </c>
      <c r="J55" s="20">
        <v>-1155</v>
      </c>
      <c r="K55" s="20">
        <v>-1930</v>
      </c>
      <c r="L55" s="20">
        <v>-5379</v>
      </c>
      <c r="M55" s="25">
        <v>-638</v>
      </c>
      <c r="N55" s="20">
        <v>-2779</v>
      </c>
    </row>
    <row r="56" spans="2:14" x14ac:dyDescent="0.25">
      <c r="B56" s="114" t="s">
        <v>93</v>
      </c>
      <c r="C56" s="111">
        <v>-5433</v>
      </c>
      <c r="D56" s="111">
        <v>-5618</v>
      </c>
      <c r="E56" s="111">
        <v>-7372</v>
      </c>
      <c r="F56" s="111">
        <v>-3857</v>
      </c>
      <c r="G56" s="111">
        <v>-5094</v>
      </c>
      <c r="H56" s="111">
        <v>-4529</v>
      </c>
      <c r="I56" s="111">
        <v>-11387</v>
      </c>
      <c r="J56" s="111">
        <v>-19589</v>
      </c>
      <c r="K56" s="111">
        <v>-7702</v>
      </c>
      <c r="L56" s="111">
        <v>-14748</v>
      </c>
      <c r="M56" s="111">
        <v>-10730</v>
      </c>
      <c r="N56" s="111">
        <v>-14467</v>
      </c>
    </row>
    <row r="57" spans="2:14" x14ac:dyDescent="0.25">
      <c r="B57" s="21" t="s">
        <v>94</v>
      </c>
      <c r="C57" s="20">
        <v>-5630</v>
      </c>
      <c r="D57" s="20">
        <v>-5763</v>
      </c>
      <c r="E57" s="20">
        <v>-6721</v>
      </c>
      <c r="F57" s="20">
        <v>-5166</v>
      </c>
      <c r="G57" s="20">
        <v>-4435</v>
      </c>
      <c r="H57" s="20">
        <v>-4736</v>
      </c>
      <c r="I57" s="20">
        <v>-10206</v>
      </c>
      <c r="J57" s="20">
        <v>-12810</v>
      </c>
      <c r="K57" s="20">
        <v>-9258</v>
      </c>
      <c r="L57" s="20">
        <v>-10091</v>
      </c>
      <c r="M57" s="20">
        <v>-14784</v>
      </c>
      <c r="N57" s="20">
        <v>-15801</v>
      </c>
    </row>
    <row r="58" spans="2:14" x14ac:dyDescent="0.25">
      <c r="B58" s="21" t="s">
        <v>95</v>
      </c>
      <c r="C58" s="25">
        <v>12</v>
      </c>
      <c r="D58" s="25">
        <v>19</v>
      </c>
      <c r="E58" s="25">
        <v>207</v>
      </c>
      <c r="F58" s="25">
        <v>4</v>
      </c>
      <c r="G58" s="25">
        <v>45</v>
      </c>
      <c r="H58" s="25">
        <v>60</v>
      </c>
      <c r="I58" s="25">
        <v>44</v>
      </c>
      <c r="J58" s="25">
        <v>43</v>
      </c>
      <c r="K58" s="25">
        <v>51</v>
      </c>
      <c r="L58" s="25">
        <v>43</v>
      </c>
      <c r="M58" s="25">
        <v>35</v>
      </c>
      <c r="N58" s="25">
        <v>254</v>
      </c>
    </row>
    <row r="59" spans="2:14" x14ac:dyDescent="0.25">
      <c r="B59" s="21" t="s">
        <v>96</v>
      </c>
      <c r="C59" s="25">
        <v>0</v>
      </c>
      <c r="D59" s="25">
        <v>-75</v>
      </c>
      <c r="E59" s="25">
        <v>0</v>
      </c>
      <c r="F59" s="25">
        <v>0</v>
      </c>
      <c r="G59" s="20">
        <v>-2784</v>
      </c>
      <c r="H59" s="20">
        <v>-8111</v>
      </c>
      <c r="I59" s="20">
        <v>-8340</v>
      </c>
      <c r="J59" s="25">
        <v>-762</v>
      </c>
      <c r="K59" s="25">
        <v>-606</v>
      </c>
      <c r="L59" s="20">
        <v>-4440</v>
      </c>
      <c r="M59" s="25">
        <v>0</v>
      </c>
      <c r="N59" s="20">
        <v>-3584</v>
      </c>
    </row>
    <row r="60" spans="2:14" x14ac:dyDescent="0.25">
      <c r="B60" s="21" t="s">
        <v>97</v>
      </c>
      <c r="C60" s="25">
        <v>134</v>
      </c>
      <c r="D60" s="25">
        <v>93</v>
      </c>
      <c r="E60" s="25">
        <v>70</v>
      </c>
      <c r="F60" s="25">
        <v>0</v>
      </c>
      <c r="G60" s="20">
        <v>2490</v>
      </c>
      <c r="H60" s="20">
        <v>8120</v>
      </c>
      <c r="I60" s="20">
        <v>8591</v>
      </c>
      <c r="J60" s="25">
        <v>847</v>
      </c>
      <c r="K60" s="25">
        <v>612</v>
      </c>
      <c r="L60" s="20">
        <v>4153</v>
      </c>
      <c r="M60" s="25">
        <v>5</v>
      </c>
      <c r="N60" s="20">
        <v>3635</v>
      </c>
    </row>
    <row r="61" spans="2:14" x14ac:dyDescent="0.25">
      <c r="B61" s="21" t="s">
        <v>98</v>
      </c>
      <c r="C61" s="25">
        <v>49</v>
      </c>
      <c r="D61" s="25">
        <v>34</v>
      </c>
      <c r="E61" s="25">
        <v>26</v>
      </c>
      <c r="F61" s="25">
        <v>41</v>
      </c>
      <c r="G61" s="25">
        <v>98</v>
      </c>
      <c r="H61" s="25">
        <v>121</v>
      </c>
      <c r="I61" s="25">
        <v>158</v>
      </c>
      <c r="J61" s="25">
        <v>503</v>
      </c>
      <c r="K61" s="25">
        <v>619</v>
      </c>
      <c r="L61" s="25">
        <v>591</v>
      </c>
      <c r="M61" s="25">
        <v>600</v>
      </c>
      <c r="N61" s="25">
        <v>899</v>
      </c>
    </row>
    <row r="62" spans="2:14" x14ac:dyDescent="0.25">
      <c r="B62" s="21" t="s">
        <v>99</v>
      </c>
      <c r="C62" s="25">
        <v>4</v>
      </c>
      <c r="D62" s="25">
        <v>22</v>
      </c>
      <c r="E62" s="25">
        <v>21</v>
      </c>
      <c r="F62" s="25">
        <v>20</v>
      </c>
      <c r="G62" s="25">
        <v>20</v>
      </c>
      <c r="H62" s="25">
        <v>5</v>
      </c>
      <c r="I62" s="25">
        <v>0</v>
      </c>
      <c r="J62" s="25">
        <v>10</v>
      </c>
      <c r="K62" s="25">
        <v>11</v>
      </c>
      <c r="L62" s="25">
        <v>25</v>
      </c>
      <c r="M62" s="25">
        <v>21</v>
      </c>
      <c r="N62" s="25">
        <v>21</v>
      </c>
    </row>
    <row r="63" spans="2:14" x14ac:dyDescent="0.25">
      <c r="B63" s="21" t="s">
        <v>100</v>
      </c>
      <c r="C63" s="25">
        <v>-3</v>
      </c>
      <c r="D63" s="25">
        <v>-1</v>
      </c>
      <c r="E63" s="25">
        <v>-40</v>
      </c>
      <c r="F63" s="25">
        <v>-9</v>
      </c>
      <c r="G63" s="25">
        <v>-37</v>
      </c>
      <c r="H63" s="25">
        <v>-46</v>
      </c>
      <c r="I63" s="25">
        <v>-413</v>
      </c>
      <c r="J63" s="25">
        <v>0</v>
      </c>
      <c r="K63" s="20">
        <v>-5087</v>
      </c>
      <c r="L63" s="25">
        <v>-364</v>
      </c>
      <c r="M63" s="25">
        <v>-244</v>
      </c>
      <c r="N63" s="25">
        <v>-396</v>
      </c>
    </row>
    <row r="64" spans="2:14" x14ac:dyDescent="0.25">
      <c r="B64" s="21" t="s">
        <v>101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164</v>
      </c>
      <c r="K64" s="25">
        <v>0</v>
      </c>
      <c r="L64" s="25">
        <v>0</v>
      </c>
      <c r="M64" s="25">
        <v>0</v>
      </c>
      <c r="N64" s="25">
        <v>0</v>
      </c>
    </row>
    <row r="65" spans="2:14" x14ac:dyDescent="0.25">
      <c r="B65" s="21" t="s">
        <v>102</v>
      </c>
      <c r="C65" s="25">
        <v>0</v>
      </c>
      <c r="D65" s="25">
        <v>0</v>
      </c>
      <c r="E65" s="25">
        <v>0</v>
      </c>
      <c r="F65" s="25">
        <v>0</v>
      </c>
      <c r="G65" s="25">
        <v>-110</v>
      </c>
      <c r="H65" s="25">
        <v>-315</v>
      </c>
      <c r="I65" s="20">
        <v>-1014</v>
      </c>
      <c r="J65" s="25">
        <v>-64</v>
      </c>
      <c r="K65" s="20">
        <v>-1575</v>
      </c>
      <c r="L65" s="25">
        <v>-20</v>
      </c>
      <c r="M65" s="25">
        <v>0</v>
      </c>
      <c r="N65" s="25">
        <v>-630</v>
      </c>
    </row>
    <row r="66" spans="2:14" x14ac:dyDescent="0.25">
      <c r="B66" s="21" t="s">
        <v>103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-293</v>
      </c>
      <c r="L66" s="25">
        <v>-149</v>
      </c>
      <c r="M66" s="25">
        <v>0</v>
      </c>
      <c r="N66" s="25">
        <v>0</v>
      </c>
    </row>
    <row r="67" spans="2:14" x14ac:dyDescent="0.25">
      <c r="B67" s="21" t="s">
        <v>104</v>
      </c>
      <c r="C67" s="25">
        <v>0</v>
      </c>
      <c r="D67" s="25">
        <v>53</v>
      </c>
      <c r="E67" s="25">
        <v>-936</v>
      </c>
      <c r="F67" s="20">
        <v>1252</v>
      </c>
      <c r="G67" s="25">
        <v>-381</v>
      </c>
      <c r="H67" s="25">
        <v>373</v>
      </c>
      <c r="I67" s="25">
        <v>-207</v>
      </c>
      <c r="J67" s="20">
        <v>-7520</v>
      </c>
      <c r="K67" s="20">
        <v>7824</v>
      </c>
      <c r="L67" s="20">
        <v>-4496</v>
      </c>
      <c r="M67" s="20">
        <v>3637</v>
      </c>
      <c r="N67" s="20">
        <v>1135</v>
      </c>
    </row>
    <row r="68" spans="2:14" x14ac:dyDescent="0.25">
      <c r="B68" s="114" t="s">
        <v>105</v>
      </c>
      <c r="C68" s="113">
        <v>-791</v>
      </c>
      <c r="D68" s="111">
        <v>3300</v>
      </c>
      <c r="E68" s="113">
        <v>-169</v>
      </c>
      <c r="F68" s="111">
        <v>-3151</v>
      </c>
      <c r="G68" s="111">
        <v>-2710</v>
      </c>
      <c r="H68" s="111">
        <v>-8185</v>
      </c>
      <c r="I68" s="111">
        <v>1753</v>
      </c>
      <c r="J68" s="111">
        <v>5189</v>
      </c>
      <c r="K68" s="111">
        <v>-3110</v>
      </c>
      <c r="L68" s="111">
        <v>-14657</v>
      </c>
      <c r="M68" s="111">
        <v>-5977</v>
      </c>
      <c r="N68" s="111">
        <v>-5005</v>
      </c>
    </row>
    <row r="69" spans="2:14" x14ac:dyDescent="0.25">
      <c r="B69" s="21" t="s">
        <v>106</v>
      </c>
      <c r="C69" s="25">
        <v>0</v>
      </c>
      <c r="D69" s="25">
        <v>0</v>
      </c>
      <c r="E69" s="25">
        <v>0</v>
      </c>
      <c r="F69" s="25">
        <v>0</v>
      </c>
      <c r="G69" s="25">
        <v>57</v>
      </c>
      <c r="H69" s="25">
        <v>49</v>
      </c>
      <c r="I69" s="25">
        <v>0</v>
      </c>
      <c r="J69" s="25">
        <v>107</v>
      </c>
      <c r="K69" s="25">
        <v>39</v>
      </c>
      <c r="L69" s="25">
        <v>72</v>
      </c>
      <c r="M69" s="25">
        <v>59</v>
      </c>
      <c r="N69" s="25">
        <v>6</v>
      </c>
    </row>
    <row r="70" spans="2:14" x14ac:dyDescent="0.25">
      <c r="B70" s="21" t="s">
        <v>107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-572</v>
      </c>
      <c r="K70" s="25">
        <v>0</v>
      </c>
      <c r="L70" s="25">
        <v>0</v>
      </c>
      <c r="M70" s="25">
        <v>0</v>
      </c>
      <c r="N70" s="25">
        <v>0</v>
      </c>
    </row>
    <row r="71" spans="2:14" x14ac:dyDescent="0.25">
      <c r="B71" s="21" t="s">
        <v>108</v>
      </c>
      <c r="C71" s="20">
        <v>6980</v>
      </c>
      <c r="D71" s="20">
        <v>11271</v>
      </c>
      <c r="E71" s="20">
        <v>10216</v>
      </c>
      <c r="F71" s="20">
        <v>1197</v>
      </c>
      <c r="G71" s="20">
        <v>7101</v>
      </c>
      <c r="H71" s="20">
        <v>6209</v>
      </c>
      <c r="I71" s="20">
        <v>13154</v>
      </c>
      <c r="J71" s="20">
        <v>22754</v>
      </c>
      <c r="K71" s="20">
        <v>15897</v>
      </c>
      <c r="L71" s="20">
        <v>17043</v>
      </c>
      <c r="M71" s="20">
        <v>19742</v>
      </c>
      <c r="N71" s="20">
        <v>20858</v>
      </c>
    </row>
    <row r="72" spans="2:14" x14ac:dyDescent="0.25">
      <c r="B72" s="21" t="s">
        <v>109</v>
      </c>
      <c r="C72" s="20">
        <v>-6026</v>
      </c>
      <c r="D72" s="20">
        <v>-5242</v>
      </c>
      <c r="E72" s="20">
        <v>-7479</v>
      </c>
      <c r="F72" s="25">
        <v>0</v>
      </c>
      <c r="G72" s="20">
        <v>-5890</v>
      </c>
      <c r="H72" s="20">
        <v>-10001</v>
      </c>
      <c r="I72" s="20">
        <v>-6273</v>
      </c>
      <c r="J72" s="20">
        <v>-11107</v>
      </c>
      <c r="K72" s="20">
        <v>-13888</v>
      </c>
      <c r="L72" s="20">
        <v>-24091</v>
      </c>
      <c r="M72" s="20">
        <v>-14158</v>
      </c>
      <c r="N72" s="20">
        <v>-16328</v>
      </c>
    </row>
    <row r="73" spans="2:14" x14ac:dyDescent="0.25">
      <c r="B73" s="21" t="s">
        <v>110</v>
      </c>
      <c r="C73" s="20">
        <v>-1519</v>
      </c>
      <c r="D73" s="20">
        <v>-2413</v>
      </c>
      <c r="E73" s="20">
        <v>-2563</v>
      </c>
      <c r="F73" s="20">
        <v>-3125</v>
      </c>
      <c r="G73" s="20">
        <v>-3569</v>
      </c>
      <c r="H73" s="20">
        <v>-3511</v>
      </c>
      <c r="I73" s="20">
        <v>-3815</v>
      </c>
      <c r="J73" s="20">
        <v>-4520</v>
      </c>
      <c r="K73" s="20">
        <v>-4340</v>
      </c>
      <c r="L73" s="20">
        <v>-5102</v>
      </c>
      <c r="M73" s="20">
        <v>-6902</v>
      </c>
      <c r="N73" s="20">
        <v>-8087</v>
      </c>
    </row>
    <row r="74" spans="2:14" x14ac:dyDescent="0.25">
      <c r="B74" s="21" t="s">
        <v>111</v>
      </c>
      <c r="C74" s="25">
        <v>-227</v>
      </c>
      <c r="D74" s="25">
        <v>-315</v>
      </c>
      <c r="E74" s="25">
        <v>-344</v>
      </c>
      <c r="F74" s="25">
        <v>-320</v>
      </c>
      <c r="G74" s="25">
        <v>-218</v>
      </c>
      <c r="H74" s="25">
        <v>-655</v>
      </c>
      <c r="I74" s="25">
        <v>-933</v>
      </c>
      <c r="J74" s="20">
        <v>-1195</v>
      </c>
      <c r="K74" s="25">
        <v>-483</v>
      </c>
      <c r="L74" s="20">
        <v>-1571</v>
      </c>
      <c r="M74" s="20">
        <v>-4194</v>
      </c>
      <c r="N74" s="25">
        <v>-822</v>
      </c>
    </row>
    <row r="75" spans="2:14" x14ac:dyDescent="0.25">
      <c r="B75" s="21" t="s">
        <v>112</v>
      </c>
      <c r="C75" s="25">
        <v>0</v>
      </c>
      <c r="D75" s="25">
        <v>0</v>
      </c>
      <c r="E75" s="25">
        <v>0</v>
      </c>
      <c r="F75" s="25">
        <v>-187</v>
      </c>
      <c r="G75" s="25">
        <v>-186</v>
      </c>
      <c r="H75" s="25">
        <v>-200</v>
      </c>
      <c r="I75" s="25">
        <v>-227</v>
      </c>
      <c r="J75" s="25">
        <v>-177</v>
      </c>
      <c r="K75" s="25">
        <v>-335</v>
      </c>
      <c r="L75" s="25">
        <v>-417</v>
      </c>
      <c r="M75" s="25">
        <v>-524</v>
      </c>
      <c r="N75" s="25">
        <v>-632</v>
      </c>
    </row>
    <row r="76" spans="2:14" x14ac:dyDescent="0.25">
      <c r="B76" s="21" t="s">
        <v>113</v>
      </c>
      <c r="C76" s="25">
        <v>0</v>
      </c>
      <c r="D76" s="25">
        <v>0</v>
      </c>
      <c r="E76" s="25">
        <v>0</v>
      </c>
      <c r="F76" s="25">
        <v>-715</v>
      </c>
      <c r="G76" s="25">
        <v>-5</v>
      </c>
      <c r="H76" s="25">
        <v>-76</v>
      </c>
      <c r="I76" s="25">
        <v>-153</v>
      </c>
      <c r="J76" s="25">
        <v>-101</v>
      </c>
      <c r="K76" s="25">
        <v>0</v>
      </c>
      <c r="L76" s="25">
        <v>-591</v>
      </c>
      <c r="M76" s="25">
        <v>0</v>
      </c>
      <c r="N76" s="25">
        <v>0</v>
      </c>
    </row>
    <row r="77" spans="2:14" x14ac:dyDescent="0.25">
      <c r="B77" s="114" t="s">
        <v>20</v>
      </c>
      <c r="C77" s="113">
        <v>-380</v>
      </c>
      <c r="D77" s="113">
        <v>276</v>
      </c>
      <c r="E77" s="113">
        <v>334</v>
      </c>
      <c r="F77" s="113">
        <v>-111</v>
      </c>
      <c r="G77" s="113">
        <v>84</v>
      </c>
      <c r="H77" s="113">
        <v>-335</v>
      </c>
      <c r="I77" s="111">
        <v>4999</v>
      </c>
      <c r="J77" s="111">
        <v>-1615</v>
      </c>
      <c r="K77" s="111">
        <v>7977</v>
      </c>
      <c r="L77" s="111">
        <v>-3135</v>
      </c>
      <c r="M77" s="111">
        <v>6616</v>
      </c>
      <c r="N77" s="111">
        <v>-7394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600E-20AE-4947-B270-8614989FC4B9}">
  <sheetPr>
    <tabColor rgb="FF002060"/>
  </sheetPr>
  <dimension ref="B2:I92"/>
  <sheetViews>
    <sheetView showGridLines="0" zoomScaleNormal="100" workbookViewId="0">
      <selection activeCell="L7" sqref="L7"/>
    </sheetView>
  </sheetViews>
  <sheetFormatPr defaultRowHeight="15" x14ac:dyDescent="0.25"/>
  <cols>
    <col min="1" max="1" width="1.85546875" customWidth="1"/>
    <col min="2" max="2" width="36.42578125" customWidth="1"/>
    <col min="10" max="10" width="9.140625" customWidth="1"/>
  </cols>
  <sheetData>
    <row r="2" spans="2:9" ht="52.5" customHeight="1" x14ac:dyDescent="0.7">
      <c r="B2" s="167" t="str">
        <f>'Data Sheet'!B1</f>
        <v>JSW STEEL LTD</v>
      </c>
    </row>
    <row r="3" spans="2:9" x14ac:dyDescent="0.25">
      <c r="B3" t="str">
        <f>CONCATENATE("    ","NSE: JSWSTELL"," | ","BSE: 500228")</f>
        <v xml:space="preserve">    NSE: JSWSTELL | BSE: 500228</v>
      </c>
    </row>
    <row r="4" spans="2:9" ht="18" customHeight="1" x14ac:dyDescent="0.25">
      <c r="B4" s="174" t="str">
        <f>CONCATENATE("   ","INR "&amp;'Data Sheet'!B8)</f>
        <v xml:space="preserve">   INR 1016.2</v>
      </c>
    </row>
    <row r="5" spans="2:9" x14ac:dyDescent="0.25">
      <c r="B5" t="s">
        <v>391</v>
      </c>
    </row>
    <row r="6" spans="2:9" ht="4.5" customHeight="1" thickBot="1" x14ac:dyDescent="0.3">
      <c r="B6" s="168"/>
      <c r="C6" s="168"/>
      <c r="D6" s="168"/>
      <c r="E6" s="168"/>
      <c r="F6" s="168"/>
      <c r="G6" s="168"/>
      <c r="H6" s="168"/>
      <c r="I6" s="168"/>
    </row>
    <row r="7" spans="2:9" x14ac:dyDescent="0.25">
      <c r="B7" s="175" t="s">
        <v>392</v>
      </c>
    </row>
    <row r="8" spans="2:9" ht="15.75" customHeight="1" x14ac:dyDescent="0.25">
      <c r="B8" s="181" t="s">
        <v>393</v>
      </c>
      <c r="C8" s="181"/>
      <c r="D8" s="181"/>
      <c r="E8" s="181"/>
      <c r="F8" s="181"/>
      <c r="G8" s="181"/>
      <c r="H8" s="181"/>
      <c r="I8" s="181"/>
    </row>
    <row r="9" spans="2:9" ht="15" customHeight="1" x14ac:dyDescent="0.25">
      <c r="B9" s="181"/>
      <c r="C9" s="181"/>
      <c r="D9" s="181"/>
      <c r="E9" s="181"/>
      <c r="F9" s="181"/>
      <c r="G9" s="181"/>
      <c r="H9" s="181"/>
      <c r="I9" s="181"/>
    </row>
    <row r="10" spans="2:9" ht="15" customHeight="1" x14ac:dyDescent="0.25">
      <c r="B10" s="181"/>
      <c r="C10" s="181"/>
      <c r="D10" s="181"/>
      <c r="E10" s="181"/>
      <c r="F10" s="181"/>
      <c r="G10" s="181"/>
      <c r="H10" s="181"/>
      <c r="I10" s="181"/>
    </row>
    <row r="11" spans="2:9" ht="15" customHeight="1" x14ac:dyDescent="0.25">
      <c r="B11" s="181"/>
      <c r="C11" s="181"/>
      <c r="D11" s="181"/>
      <c r="E11" s="181"/>
      <c r="F11" s="181"/>
      <c r="G11" s="181"/>
      <c r="H11" s="181"/>
      <c r="I11" s="181"/>
    </row>
    <row r="12" spans="2:9" ht="4.5" customHeight="1" x14ac:dyDescent="0.25"/>
    <row r="13" spans="2:9" x14ac:dyDescent="0.25">
      <c r="B13" s="175" t="s">
        <v>406</v>
      </c>
    </row>
    <row r="17" spans="3:3" x14ac:dyDescent="0.25">
      <c r="C17" s="173"/>
    </row>
    <row r="33" ht="15.75" customHeight="1" x14ac:dyDescent="0.25"/>
    <row r="38" ht="16.5" customHeight="1" x14ac:dyDescent="0.25"/>
    <row r="39" customFormat="1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spans="2:9" ht="16.5" customHeight="1" x14ac:dyDescent="0.25"/>
    <row r="54" spans="2:9" x14ac:dyDescent="0.25">
      <c r="B54" s="180" t="s">
        <v>394</v>
      </c>
      <c r="C54" s="180"/>
      <c r="D54" s="180"/>
      <c r="E54" s="180"/>
      <c r="F54" s="180"/>
      <c r="G54" s="180"/>
      <c r="H54" s="180"/>
      <c r="I54" s="180"/>
    </row>
    <row r="55" spans="2:9" x14ac:dyDescent="0.25">
      <c r="C55" s="169">
        <f>'Raw FS'!I2</f>
        <v>43162</v>
      </c>
      <c r="D55" s="169">
        <f>'Raw FS'!J2</f>
        <v>43528</v>
      </c>
      <c r="E55" s="169">
        <f>'Raw FS'!K2</f>
        <v>43894</v>
      </c>
      <c r="F55" s="169">
        <f>'Raw FS'!L2</f>
        <v>44260</v>
      </c>
      <c r="G55" s="169">
        <f>'Raw FS'!M2</f>
        <v>44626</v>
      </c>
      <c r="H55" s="169">
        <f>'Raw FS'!N2</f>
        <v>44992</v>
      </c>
      <c r="I55" s="169">
        <f>'Raw FS'!O2</f>
        <v>45358</v>
      </c>
    </row>
    <row r="56" spans="2:9" x14ac:dyDescent="0.25">
      <c r="B56" t="s">
        <v>65</v>
      </c>
      <c r="C56">
        <f>'Data Sheet'!E30</f>
        <v>6214</v>
      </c>
      <c r="D56">
        <f>'Data Sheet'!F30</f>
        <v>7639</v>
      </c>
      <c r="E56">
        <f>'Data Sheet'!G30</f>
        <v>4030</v>
      </c>
      <c r="F56">
        <f>'Data Sheet'!H30</f>
        <v>7911</v>
      </c>
      <c r="G56">
        <f>'Data Sheet'!I30</f>
        <v>20665</v>
      </c>
      <c r="H56">
        <f>'Data Sheet'!J30</f>
        <v>4144</v>
      </c>
      <c r="I56">
        <f>'Data Sheet'!K30</f>
        <v>8812</v>
      </c>
    </row>
    <row r="57" spans="2:9" x14ac:dyDescent="0.25">
      <c r="B57" t="s">
        <v>395</v>
      </c>
      <c r="C57">
        <f>(('Data Sheet'!E57+'Data Sheet'!E58)+('Data Sheet'!D57+'Data Sheet'!D58)/2)</f>
        <v>39321.5</v>
      </c>
      <c r="D57">
        <f>(('Data Sheet'!F57+'Data Sheet'!F58)+('Data Sheet'!E57+'Data Sheet'!E58)/2)</f>
        <v>48794</v>
      </c>
      <c r="E57">
        <f>(('Data Sheet'!G57+'Data Sheet'!G58)+('Data Sheet'!F57+'Data Sheet'!F58)/2)</f>
        <v>53996.5</v>
      </c>
      <c r="F57">
        <f>(('Data Sheet'!H57+'Data Sheet'!H58)+('Data Sheet'!G57+'Data Sheet'!G58)/2)</f>
        <v>65063.5</v>
      </c>
      <c r="G57">
        <f>(('Data Sheet'!I57+'Data Sheet'!I58)+('Data Sheet'!H57+'Data Sheet'!H58)/2)</f>
        <v>90679</v>
      </c>
      <c r="H57">
        <f>(('Data Sheet'!J57+'Data Sheet'!J58)+('Data Sheet'!I57+'Data Sheet'!I58)/2)</f>
        <v>99343.5</v>
      </c>
      <c r="I57">
        <f>(('Data Sheet'!K57+'Data Sheet'!K58)+('Data Sheet'!J57+'Data Sheet'!J58)/2)</f>
        <v>110516.5</v>
      </c>
    </row>
    <row r="58" spans="2:9" x14ac:dyDescent="0.25">
      <c r="B58" s="170" t="s">
        <v>394</v>
      </c>
      <c r="C58" s="171">
        <f>C56/C57</f>
        <v>0.15803059394987476</v>
      </c>
      <c r="D58" s="171">
        <f t="shared" ref="D58:I58" si="0">D56/D57</f>
        <v>0.1565561339508956</v>
      </c>
      <c r="E58" s="171">
        <f t="shared" si="0"/>
        <v>7.4634467048790204E-2</v>
      </c>
      <c r="F58" s="171">
        <f t="shared" si="0"/>
        <v>0.12158890929630284</v>
      </c>
      <c r="G58" s="171">
        <f t="shared" si="0"/>
        <v>0.22789179413094543</v>
      </c>
      <c r="H58" s="171">
        <f t="shared" si="0"/>
        <v>4.1713851434668596E-2</v>
      </c>
      <c r="I58" s="171">
        <f t="shared" si="0"/>
        <v>7.9734700248379198E-2</v>
      </c>
    </row>
    <row r="60" spans="2:9" x14ac:dyDescent="0.25">
      <c r="B60" s="180" t="s">
        <v>396</v>
      </c>
      <c r="C60" s="180"/>
      <c r="D60" s="180"/>
      <c r="E60" s="180"/>
      <c r="F60" s="180"/>
      <c r="G60" s="180"/>
      <c r="H60" s="180"/>
      <c r="I60" s="180"/>
    </row>
    <row r="61" spans="2:9" x14ac:dyDescent="0.25">
      <c r="C61" s="169">
        <f t="shared" ref="C61:H61" si="1">C55</f>
        <v>43162</v>
      </c>
      <c r="D61" s="169">
        <f t="shared" si="1"/>
        <v>43528</v>
      </c>
      <c r="E61" s="169">
        <f t="shared" si="1"/>
        <v>43894</v>
      </c>
      <c r="F61" s="169">
        <f t="shared" si="1"/>
        <v>44260</v>
      </c>
      <c r="G61" s="169">
        <f t="shared" si="1"/>
        <v>44626</v>
      </c>
      <c r="H61" s="169">
        <f t="shared" si="1"/>
        <v>44992</v>
      </c>
      <c r="I61" s="169">
        <f>I55</f>
        <v>45358</v>
      </c>
    </row>
    <row r="62" spans="2:9" x14ac:dyDescent="0.25">
      <c r="B62" t="s">
        <v>65</v>
      </c>
      <c r="C62">
        <f>'Data Sheet'!E30</f>
        <v>6214</v>
      </c>
      <c r="D62">
        <f>'Data Sheet'!F30</f>
        <v>7639</v>
      </c>
      <c r="E62">
        <f>'Data Sheet'!G30</f>
        <v>4030</v>
      </c>
      <c r="F62">
        <f>'Data Sheet'!H30</f>
        <v>7911</v>
      </c>
      <c r="G62">
        <f>'Data Sheet'!I30</f>
        <v>20665</v>
      </c>
      <c r="H62">
        <f>'Data Sheet'!J30</f>
        <v>4144</v>
      </c>
      <c r="I62">
        <f>'Data Sheet'!K30</f>
        <v>8812</v>
      </c>
    </row>
    <row r="63" spans="2:9" x14ac:dyDescent="0.25">
      <c r="B63" t="s">
        <v>346</v>
      </c>
      <c r="C63">
        <f>'Data Sheet'!E17</f>
        <v>71933</v>
      </c>
      <c r="D63">
        <f>'Data Sheet'!F17</f>
        <v>84757</v>
      </c>
      <c r="E63">
        <f>'Data Sheet'!G17</f>
        <v>73326</v>
      </c>
      <c r="F63">
        <f>'Data Sheet'!H17</f>
        <v>79839</v>
      </c>
      <c r="G63">
        <f>'Data Sheet'!I17</f>
        <v>146371</v>
      </c>
      <c r="H63">
        <f>'Data Sheet'!J17</f>
        <v>165960</v>
      </c>
      <c r="I63">
        <f>'Data Sheet'!K17</f>
        <v>175006</v>
      </c>
    </row>
    <row r="64" spans="2:9" x14ac:dyDescent="0.25">
      <c r="B64" s="170" t="s">
        <v>398</v>
      </c>
      <c r="C64" s="171">
        <f t="shared" ref="C64:I64" si="2">C62/C63</f>
        <v>8.6385942474246871E-2</v>
      </c>
      <c r="D64" s="171">
        <f t="shared" si="2"/>
        <v>9.0128248994183369E-2</v>
      </c>
      <c r="E64" s="171">
        <f t="shared" si="2"/>
        <v>5.4960041458691322E-2</v>
      </c>
      <c r="F64" s="171">
        <f t="shared" si="2"/>
        <v>9.9086912411227593E-2</v>
      </c>
      <c r="G64" s="171">
        <f t="shared" si="2"/>
        <v>0.14118233803144065</v>
      </c>
      <c r="H64" s="171">
        <f t="shared" si="2"/>
        <v>2.4969872258375513E-2</v>
      </c>
      <c r="I64" s="171">
        <f t="shared" si="2"/>
        <v>5.0352559340822597E-2</v>
      </c>
    </row>
    <row r="66" spans="2:9" x14ac:dyDescent="0.25">
      <c r="B66" t="s">
        <v>346</v>
      </c>
      <c r="C66">
        <f>'Data Sheet'!E17</f>
        <v>71933</v>
      </c>
      <c r="D66">
        <f>'Data Sheet'!F17</f>
        <v>84757</v>
      </c>
      <c r="E66">
        <f>'Data Sheet'!G17</f>
        <v>73326</v>
      </c>
      <c r="F66">
        <f>'Data Sheet'!H17</f>
        <v>79839</v>
      </c>
      <c r="G66">
        <f>'Data Sheet'!I17</f>
        <v>146371</v>
      </c>
      <c r="H66">
        <f>'Data Sheet'!J17</f>
        <v>165960</v>
      </c>
      <c r="I66">
        <f>'Data Sheet'!K17</f>
        <v>175006</v>
      </c>
    </row>
    <row r="67" spans="2:9" x14ac:dyDescent="0.25">
      <c r="B67" t="s">
        <v>397</v>
      </c>
      <c r="C67">
        <f>('Data Sheet'!E66+'Data Sheet'!D66)/2</f>
        <v>89987.5</v>
      </c>
      <c r="D67">
        <f>('Data Sheet'!F66+'Data Sheet'!E66)/2</f>
        <v>103383.5</v>
      </c>
      <c r="E67">
        <f>('Data Sheet'!G66+'Data Sheet'!F66)/2</f>
        <v>123308.5</v>
      </c>
      <c r="F67">
        <f>('Data Sheet'!H66+'Data Sheet'!G66)/2</f>
        <v>140068.5</v>
      </c>
      <c r="G67">
        <f>('Data Sheet'!I66+'Data Sheet'!H66)/2</f>
        <v>172401</v>
      </c>
      <c r="H67">
        <f>('Data Sheet'!J66+'Data Sheet'!I66)/2</f>
        <v>203512</v>
      </c>
      <c r="I67">
        <f>('Data Sheet'!K66+'Data Sheet'!J66)/2</f>
        <v>219218.5</v>
      </c>
    </row>
    <row r="68" spans="2:9" x14ac:dyDescent="0.25">
      <c r="B68" s="170" t="s">
        <v>399</v>
      </c>
      <c r="C68" s="172">
        <f t="shared" ref="C68:I68" si="3">C66/C67</f>
        <v>0.79936657869148497</v>
      </c>
      <c r="D68" s="172">
        <f t="shared" si="3"/>
        <v>0.81983101752213849</v>
      </c>
      <c r="E68" s="172">
        <f t="shared" si="3"/>
        <v>0.5946548696967362</v>
      </c>
      <c r="F68" s="172">
        <f t="shared" si="3"/>
        <v>0.56999967872862212</v>
      </c>
      <c r="G68" s="172">
        <f t="shared" si="3"/>
        <v>0.8490147968979298</v>
      </c>
      <c r="H68" s="172">
        <f t="shared" si="3"/>
        <v>0.8154801682456071</v>
      </c>
      <c r="I68" s="172">
        <f t="shared" si="3"/>
        <v>0.79831766023396744</v>
      </c>
    </row>
    <row r="70" spans="2:9" x14ac:dyDescent="0.25">
      <c r="B70" t="str">
        <f>B67</f>
        <v>Average Total Asset</v>
      </c>
      <c r="C70">
        <f>C67</f>
        <v>89987.5</v>
      </c>
      <c r="D70">
        <f t="shared" ref="D70:I70" si="4">D67</f>
        <v>103383.5</v>
      </c>
      <c r="E70">
        <f t="shared" si="4"/>
        <v>123308.5</v>
      </c>
      <c r="F70">
        <f t="shared" si="4"/>
        <v>140068.5</v>
      </c>
      <c r="G70">
        <f t="shared" si="4"/>
        <v>172401</v>
      </c>
      <c r="H70">
        <f t="shared" si="4"/>
        <v>203512</v>
      </c>
      <c r="I70">
        <f t="shared" si="4"/>
        <v>219218.5</v>
      </c>
    </row>
    <row r="71" spans="2:9" x14ac:dyDescent="0.25">
      <c r="B71" t="str">
        <f>B57</f>
        <v>Average Shareholder Equity</v>
      </c>
      <c r="C71">
        <f>C57</f>
        <v>39321.5</v>
      </c>
      <c r="D71">
        <f t="shared" ref="D71:I71" si="5">D57</f>
        <v>48794</v>
      </c>
      <c r="E71">
        <f t="shared" si="5"/>
        <v>53996.5</v>
      </c>
      <c r="F71">
        <f t="shared" si="5"/>
        <v>65063.5</v>
      </c>
      <c r="G71">
        <f t="shared" si="5"/>
        <v>90679</v>
      </c>
      <c r="H71">
        <f t="shared" si="5"/>
        <v>99343.5</v>
      </c>
      <c r="I71">
        <f t="shared" si="5"/>
        <v>110516.5</v>
      </c>
    </row>
    <row r="72" spans="2:9" x14ac:dyDescent="0.25">
      <c r="B72" s="170" t="s">
        <v>400</v>
      </c>
      <c r="C72" s="172">
        <f t="shared" ref="C72:I72" si="6">C70/C71</f>
        <v>2.2885062879086506</v>
      </c>
      <c r="D72" s="172">
        <f t="shared" si="6"/>
        <v>2.1187748493667256</v>
      </c>
      <c r="E72" s="172">
        <f t="shared" si="6"/>
        <v>2.2836387543637087</v>
      </c>
      <c r="F72" s="172">
        <f t="shared" si="6"/>
        <v>2.152796883045025</v>
      </c>
      <c r="G72" s="172">
        <f t="shared" si="6"/>
        <v>1.9012229954013609</v>
      </c>
      <c r="H72" s="172">
        <f t="shared" si="6"/>
        <v>2.0485688545299894</v>
      </c>
      <c r="I72" s="172">
        <f t="shared" si="6"/>
        <v>1.983581637131107</v>
      </c>
    </row>
    <row r="74" spans="2:9" x14ac:dyDescent="0.25">
      <c r="B74" s="170" t="s">
        <v>401</v>
      </c>
      <c r="C74" s="171">
        <f t="shared" ref="C74:I74" si="7">C72*C68*C64</f>
        <v>0.15803059394987479</v>
      </c>
      <c r="D74" s="171">
        <f t="shared" si="7"/>
        <v>0.15655613395089563</v>
      </c>
      <c r="E74" s="171">
        <f t="shared" si="7"/>
        <v>7.463446704879019E-2</v>
      </c>
      <c r="F74" s="171">
        <f t="shared" si="7"/>
        <v>0.12158890929630284</v>
      </c>
      <c r="G74" s="171">
        <f t="shared" si="7"/>
        <v>0.2278917941309454</v>
      </c>
      <c r="H74" s="171">
        <f t="shared" si="7"/>
        <v>4.1713851434668596E-2</v>
      </c>
      <c r="I74" s="171">
        <f t="shared" si="7"/>
        <v>7.9734700248379184E-2</v>
      </c>
    </row>
    <row r="76" spans="2:9" x14ac:dyDescent="0.25">
      <c r="B76" s="180" t="s">
        <v>402</v>
      </c>
      <c r="C76" s="180"/>
      <c r="D76" s="180"/>
      <c r="E76" s="180"/>
      <c r="F76" s="180"/>
      <c r="G76" s="180"/>
      <c r="H76" s="180"/>
      <c r="I76" s="180"/>
    </row>
    <row r="77" spans="2:9" x14ac:dyDescent="0.25">
      <c r="C77" s="169">
        <f>'Data Sheet'!E16</f>
        <v>43190</v>
      </c>
      <c r="D77" s="169">
        <f>'Data Sheet'!F16</f>
        <v>43555</v>
      </c>
      <c r="E77" s="169">
        <f>'Data Sheet'!G16</f>
        <v>43921</v>
      </c>
      <c r="F77" s="169">
        <f>'Data Sheet'!H16</f>
        <v>44286</v>
      </c>
      <c r="G77" s="169">
        <f>'Data Sheet'!I16</f>
        <v>44651</v>
      </c>
      <c r="H77" s="169">
        <f>'Data Sheet'!J16</f>
        <v>45016</v>
      </c>
      <c r="I77" s="169">
        <f>'Data Sheet'!K16</f>
        <v>45382</v>
      </c>
    </row>
    <row r="78" spans="2:9" x14ac:dyDescent="0.25">
      <c r="B78" t="s">
        <v>65</v>
      </c>
      <c r="C78">
        <f t="shared" ref="C78:H78" si="8">C62</f>
        <v>6214</v>
      </c>
      <c r="D78">
        <f t="shared" si="8"/>
        <v>7639</v>
      </c>
      <c r="E78">
        <f t="shared" si="8"/>
        <v>4030</v>
      </c>
      <c r="F78">
        <f t="shared" si="8"/>
        <v>7911</v>
      </c>
      <c r="G78">
        <f t="shared" si="8"/>
        <v>20665</v>
      </c>
      <c r="H78">
        <f t="shared" si="8"/>
        <v>4144</v>
      </c>
      <c r="I78">
        <f>I62</f>
        <v>8812</v>
      </c>
    </row>
    <row r="79" spans="2:9" x14ac:dyDescent="0.25">
      <c r="B79" t="s">
        <v>403</v>
      </c>
      <c r="C79">
        <f t="shared" ref="C79:H79" si="9">C67</f>
        <v>89987.5</v>
      </c>
      <c r="D79">
        <f t="shared" si="9"/>
        <v>103383.5</v>
      </c>
      <c r="E79">
        <f t="shared" si="9"/>
        <v>123308.5</v>
      </c>
      <c r="F79">
        <f t="shared" si="9"/>
        <v>140068.5</v>
      </c>
      <c r="G79">
        <f t="shared" si="9"/>
        <v>172401</v>
      </c>
      <c r="H79">
        <f t="shared" si="9"/>
        <v>203512</v>
      </c>
      <c r="I79">
        <f>I67</f>
        <v>219218.5</v>
      </c>
    </row>
    <row r="80" spans="2:9" x14ac:dyDescent="0.25">
      <c r="B80" s="170" t="s">
        <v>402</v>
      </c>
      <c r="C80" s="171">
        <f t="shared" ref="C80:I80" si="10">C78/C79</f>
        <v>6.9054035282678145E-2</v>
      </c>
      <c r="D80" s="171">
        <f t="shared" si="10"/>
        <v>7.3889934080390005E-2</v>
      </c>
      <c r="E80" s="171">
        <f t="shared" si="10"/>
        <v>3.2682256292145308E-2</v>
      </c>
      <c r="F80" s="171">
        <f t="shared" si="10"/>
        <v>5.6479508240610841E-2</v>
      </c>
      <c r="G80" s="171">
        <f t="shared" si="10"/>
        <v>0.11986589404933846</v>
      </c>
      <c r="H80" s="171">
        <f t="shared" si="10"/>
        <v>2.0362435630331382E-2</v>
      </c>
      <c r="I80" s="171">
        <f t="shared" si="10"/>
        <v>4.0197337359757501E-2</v>
      </c>
    </row>
    <row r="82" spans="2:9" x14ac:dyDescent="0.25">
      <c r="B82" s="180" t="s">
        <v>404</v>
      </c>
      <c r="C82" s="180"/>
      <c r="D82" s="180"/>
      <c r="E82" s="180"/>
      <c r="F82" s="180"/>
      <c r="G82" s="180"/>
      <c r="H82" s="180"/>
      <c r="I82" s="180"/>
    </row>
    <row r="83" spans="2:9" x14ac:dyDescent="0.25">
      <c r="C83" s="169">
        <f t="shared" ref="C83:H83" si="11">C77</f>
        <v>43190</v>
      </c>
      <c r="D83" s="169">
        <f t="shared" si="11"/>
        <v>43555</v>
      </c>
      <c r="E83" s="169">
        <f t="shared" si="11"/>
        <v>43921</v>
      </c>
      <c r="F83" s="169">
        <f t="shared" si="11"/>
        <v>44286</v>
      </c>
      <c r="G83" s="169">
        <f t="shared" si="11"/>
        <v>44651</v>
      </c>
      <c r="H83" s="169">
        <f t="shared" si="11"/>
        <v>45016</v>
      </c>
      <c r="I83" s="169">
        <f>I77</f>
        <v>45382</v>
      </c>
    </row>
    <row r="84" spans="2:9" x14ac:dyDescent="0.25">
      <c r="B84" t="s">
        <v>65</v>
      </c>
      <c r="C84">
        <f t="shared" ref="C84:H84" si="12">C78</f>
        <v>6214</v>
      </c>
      <c r="D84">
        <f t="shared" si="12"/>
        <v>7639</v>
      </c>
      <c r="E84">
        <f t="shared" si="12"/>
        <v>4030</v>
      </c>
      <c r="F84">
        <f t="shared" si="12"/>
        <v>7911</v>
      </c>
      <c r="G84">
        <f t="shared" si="12"/>
        <v>20665</v>
      </c>
      <c r="H84">
        <f t="shared" si="12"/>
        <v>4144</v>
      </c>
      <c r="I84">
        <f>I78</f>
        <v>8812</v>
      </c>
    </row>
    <row r="85" spans="2:9" x14ac:dyDescent="0.25">
      <c r="B85" t="s">
        <v>346</v>
      </c>
      <c r="C85">
        <f t="shared" ref="C85:H85" si="13">C63</f>
        <v>71933</v>
      </c>
      <c r="D85">
        <f t="shared" si="13"/>
        <v>84757</v>
      </c>
      <c r="E85">
        <f t="shared" si="13"/>
        <v>73326</v>
      </c>
      <c r="F85">
        <f t="shared" si="13"/>
        <v>79839</v>
      </c>
      <c r="G85">
        <f t="shared" si="13"/>
        <v>146371</v>
      </c>
      <c r="H85">
        <f t="shared" si="13"/>
        <v>165960</v>
      </c>
      <c r="I85">
        <f>I63</f>
        <v>175006</v>
      </c>
    </row>
    <row r="86" spans="2:9" x14ac:dyDescent="0.25">
      <c r="B86" s="170" t="s">
        <v>398</v>
      </c>
      <c r="C86" s="171">
        <f t="shared" ref="C86:I86" si="14">C84/C85</f>
        <v>8.6385942474246871E-2</v>
      </c>
      <c r="D86" s="171">
        <f t="shared" si="14"/>
        <v>9.0128248994183369E-2</v>
      </c>
      <c r="E86" s="171">
        <f t="shared" si="14"/>
        <v>5.4960041458691322E-2</v>
      </c>
      <c r="F86" s="171">
        <f t="shared" si="14"/>
        <v>9.9086912411227593E-2</v>
      </c>
      <c r="G86" s="171">
        <f t="shared" si="14"/>
        <v>0.14118233803144065</v>
      </c>
      <c r="H86" s="171">
        <f t="shared" si="14"/>
        <v>2.4969872258375513E-2</v>
      </c>
      <c r="I86" s="171">
        <f t="shared" si="14"/>
        <v>5.0352559340822597E-2</v>
      </c>
    </row>
    <row r="88" spans="2:9" x14ac:dyDescent="0.25">
      <c r="B88" t="s">
        <v>65</v>
      </c>
      <c r="C88">
        <f>C84</f>
        <v>6214</v>
      </c>
      <c r="D88">
        <f t="shared" ref="D88:I88" si="15">D84</f>
        <v>7639</v>
      </c>
      <c r="E88">
        <f t="shared" si="15"/>
        <v>4030</v>
      </c>
      <c r="F88">
        <f t="shared" si="15"/>
        <v>7911</v>
      </c>
      <c r="G88">
        <f t="shared" si="15"/>
        <v>20665</v>
      </c>
      <c r="H88">
        <f t="shared" si="15"/>
        <v>4144</v>
      </c>
      <c r="I88">
        <f t="shared" si="15"/>
        <v>8812</v>
      </c>
    </row>
    <row r="89" spans="2:9" x14ac:dyDescent="0.25">
      <c r="B89" t="s">
        <v>397</v>
      </c>
      <c r="C89">
        <f>C79</f>
        <v>89987.5</v>
      </c>
      <c r="D89">
        <f t="shared" ref="D89:I89" si="16">D67</f>
        <v>103383.5</v>
      </c>
      <c r="E89">
        <f t="shared" si="16"/>
        <v>123308.5</v>
      </c>
      <c r="F89">
        <f t="shared" si="16"/>
        <v>140068.5</v>
      </c>
      <c r="G89">
        <f t="shared" si="16"/>
        <v>172401</v>
      </c>
      <c r="H89">
        <f t="shared" si="16"/>
        <v>203512</v>
      </c>
      <c r="I89">
        <f t="shared" si="16"/>
        <v>219218.5</v>
      </c>
    </row>
    <row r="90" spans="2:9" x14ac:dyDescent="0.25">
      <c r="B90" s="170" t="s">
        <v>399</v>
      </c>
      <c r="C90" s="172">
        <f t="shared" ref="C90:I90" si="17">C88/C89</f>
        <v>6.9054035282678145E-2</v>
      </c>
      <c r="D90" s="172">
        <f t="shared" si="17"/>
        <v>7.3889934080390005E-2</v>
      </c>
      <c r="E90" s="172">
        <f t="shared" si="17"/>
        <v>3.2682256292145308E-2</v>
      </c>
      <c r="F90" s="172">
        <f t="shared" si="17"/>
        <v>5.6479508240610841E-2</v>
      </c>
      <c r="G90" s="172">
        <f t="shared" si="17"/>
        <v>0.11986589404933846</v>
      </c>
      <c r="H90" s="172">
        <f t="shared" si="17"/>
        <v>2.0362435630331382E-2</v>
      </c>
      <c r="I90" s="172">
        <f t="shared" si="17"/>
        <v>4.0197337359757501E-2</v>
      </c>
    </row>
    <row r="92" spans="2:9" x14ac:dyDescent="0.25">
      <c r="B92" s="170" t="s">
        <v>405</v>
      </c>
      <c r="C92" s="171">
        <f>C86*C90</f>
        <v>5.9652979195440482E-3</v>
      </c>
      <c r="D92" s="171">
        <f t="shared" ref="D92:I92" si="18">D90*D86</f>
        <v>6.6595703769611854E-3</v>
      </c>
      <c r="E92" s="171">
        <f t="shared" si="18"/>
        <v>1.7962181607798814E-3</v>
      </c>
      <c r="F92" s="171">
        <f t="shared" si="18"/>
        <v>5.5963800860666137E-3</v>
      </c>
      <c r="G92" s="171">
        <f t="shared" si="18"/>
        <v>1.6922947172114552E-2</v>
      </c>
      <c r="H92" s="171">
        <f t="shared" si="18"/>
        <v>5.0844741655876869E-4</v>
      </c>
      <c r="I92" s="171">
        <f t="shared" si="18"/>
        <v>2.0240388147502548E-3</v>
      </c>
    </row>
  </sheetData>
  <mergeCells count="5">
    <mergeCell ref="B76:I76"/>
    <mergeCell ref="B82:I82"/>
    <mergeCell ref="B8:I11"/>
    <mergeCell ref="B54:I54"/>
    <mergeCell ref="B60:I60"/>
  </mergeCells>
  <pageMargins left="0.7" right="0.7" top="0.75" bottom="0.75" header="0.3" footer="0.3"/>
  <pageSetup scale="81" orientation="portrait" r:id="rId1"/>
  <rowBreaks count="1" manualBreakCount="1">
    <brk id="50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L96"/>
  <sheetViews>
    <sheetView zoomScale="120" zoomScaleNormal="120" zoomScalePageLayoutView="120" workbookViewId="0">
      <pane xSplit="1" ySplit="1" topLeftCell="D11" activePane="bottomRight" state="frozen"/>
      <selection activeCell="C4" sqref="C4"/>
      <selection pane="topRight" activeCell="C4" sqref="C4"/>
      <selection pane="bottomLeft" activeCell="C4" sqref="C4"/>
      <selection pane="bottomRight" activeCell="G16" sqref="G16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33</v>
      </c>
      <c r="E1" s="182" t="str">
        <f>IF(B2&lt;&gt;B3, "A NEW VERSION OF THE WORKSHEET IS AVAILABLE", "")</f>
        <v/>
      </c>
      <c r="F1" s="182"/>
      <c r="G1" s="182"/>
      <c r="H1" s="182"/>
      <c r="I1" s="182"/>
      <c r="J1" s="182"/>
      <c r="K1" s="182"/>
    </row>
    <row r="2" spans="1:11" x14ac:dyDescent="0.25">
      <c r="A2" s="1" t="s">
        <v>31</v>
      </c>
      <c r="B2" s="2">
        <v>2.1</v>
      </c>
      <c r="E2" s="183" t="s">
        <v>21</v>
      </c>
      <c r="F2" s="183"/>
      <c r="G2" s="183"/>
      <c r="H2" s="183"/>
      <c r="I2" s="183"/>
      <c r="J2" s="183"/>
      <c r="K2" s="183"/>
    </row>
    <row r="3" spans="1:11" x14ac:dyDescent="0.25">
      <c r="A3" s="1" t="s">
        <v>32</v>
      </c>
      <c r="B3" s="2">
        <v>2.1</v>
      </c>
    </row>
    <row r="4" spans="1:11" x14ac:dyDescent="0.25">
      <c r="A4" s="1"/>
    </row>
    <row r="5" spans="1:11" x14ac:dyDescent="0.25">
      <c r="A5" s="1" t="s">
        <v>34</v>
      </c>
    </row>
    <row r="6" spans="1:11" x14ac:dyDescent="0.25">
      <c r="A6" s="2" t="s">
        <v>27</v>
      </c>
      <c r="B6" s="2">
        <f>IF(B9&gt;0, B9/B8, 0)</f>
        <v>244.54544381027355</v>
      </c>
    </row>
    <row r="7" spans="1:11" x14ac:dyDescent="0.25">
      <c r="A7" s="2" t="s">
        <v>16</v>
      </c>
      <c r="B7">
        <v>1</v>
      </c>
    </row>
    <row r="8" spans="1:11" x14ac:dyDescent="0.25">
      <c r="A8" s="2" t="s">
        <v>28</v>
      </c>
      <c r="B8">
        <v>1016.2</v>
      </c>
    </row>
    <row r="9" spans="1:11" x14ac:dyDescent="0.25">
      <c r="A9" s="2" t="s">
        <v>44</v>
      </c>
      <c r="B9">
        <v>248507.08</v>
      </c>
    </row>
    <row r="15" spans="1:11" x14ac:dyDescent="0.25">
      <c r="A15" s="1" t="s">
        <v>22</v>
      </c>
    </row>
    <row r="16" spans="1:11" s="6" customFormat="1" x14ac:dyDescent="0.25">
      <c r="A16" s="5" t="s">
        <v>23</v>
      </c>
      <c r="B16" s="4">
        <v>42094</v>
      </c>
      <c r="C16" s="4">
        <v>42460</v>
      </c>
      <c r="D16" s="4">
        <v>42825</v>
      </c>
      <c r="E16" s="4">
        <v>43190</v>
      </c>
      <c r="F16" s="4">
        <v>43555</v>
      </c>
      <c r="G16" s="4">
        <v>43921</v>
      </c>
      <c r="H16" s="4">
        <v>44286</v>
      </c>
      <c r="I16" s="4">
        <v>44651</v>
      </c>
      <c r="J16" s="4">
        <v>45016</v>
      </c>
      <c r="K16" s="4">
        <v>45382</v>
      </c>
    </row>
    <row r="17" spans="1:11" s="3" customFormat="1" x14ac:dyDescent="0.25">
      <c r="A17" s="3" t="s">
        <v>1</v>
      </c>
      <c r="B17">
        <v>52971.51</v>
      </c>
      <c r="C17">
        <v>41546.17</v>
      </c>
      <c r="D17">
        <v>55604</v>
      </c>
      <c r="E17">
        <v>71933</v>
      </c>
      <c r="F17">
        <v>84757</v>
      </c>
      <c r="G17">
        <v>73326</v>
      </c>
      <c r="H17">
        <v>79839</v>
      </c>
      <c r="I17">
        <v>146371</v>
      </c>
      <c r="J17">
        <v>165960</v>
      </c>
      <c r="K17">
        <v>175006</v>
      </c>
    </row>
    <row r="18" spans="1:11" s="3" customFormat="1" x14ac:dyDescent="0.25">
      <c r="A18" s="2" t="s">
        <v>45</v>
      </c>
      <c r="B18">
        <v>31140.42</v>
      </c>
      <c r="C18">
        <v>21181.02</v>
      </c>
      <c r="D18">
        <v>29749</v>
      </c>
      <c r="E18">
        <v>38781</v>
      </c>
      <c r="F18">
        <v>43796</v>
      </c>
      <c r="G18">
        <v>39000</v>
      </c>
      <c r="H18">
        <v>32856</v>
      </c>
      <c r="I18">
        <v>62871</v>
      </c>
      <c r="J18">
        <v>95970</v>
      </c>
      <c r="K18">
        <v>94754</v>
      </c>
    </row>
    <row r="19" spans="1:11" s="3" customFormat="1" x14ac:dyDescent="0.25">
      <c r="A19" s="2" t="s">
        <v>46</v>
      </c>
      <c r="B19">
        <v>1488.21</v>
      </c>
      <c r="C19">
        <v>-1365.76</v>
      </c>
      <c r="D19">
        <v>1486</v>
      </c>
      <c r="E19">
        <v>-244</v>
      </c>
      <c r="F19">
        <v>590</v>
      </c>
      <c r="G19">
        <v>270</v>
      </c>
      <c r="H19">
        <v>348</v>
      </c>
      <c r="I19">
        <v>3601</v>
      </c>
      <c r="J19">
        <v>2636</v>
      </c>
      <c r="K19">
        <v>3087</v>
      </c>
    </row>
    <row r="20" spans="1:11" s="3" customFormat="1" x14ac:dyDescent="0.25">
      <c r="A20" s="2" t="s">
        <v>47</v>
      </c>
      <c r="B20">
        <v>4123.1000000000004</v>
      </c>
      <c r="C20">
        <v>3657.88</v>
      </c>
      <c r="D20">
        <v>4883</v>
      </c>
      <c r="E20">
        <v>5697</v>
      </c>
      <c r="F20">
        <v>7053</v>
      </c>
      <c r="G20">
        <v>6272</v>
      </c>
      <c r="H20">
        <v>5985</v>
      </c>
      <c r="I20">
        <v>11289</v>
      </c>
      <c r="J20">
        <v>17452</v>
      </c>
      <c r="K20">
        <v>15127</v>
      </c>
    </row>
    <row r="21" spans="1:11" s="3" customFormat="1" x14ac:dyDescent="0.25">
      <c r="A21" s="2" t="s">
        <v>48</v>
      </c>
      <c r="B21">
        <v>6764.77</v>
      </c>
      <c r="C21">
        <v>5745.05</v>
      </c>
      <c r="D21">
        <v>6887</v>
      </c>
      <c r="E21">
        <v>8713</v>
      </c>
      <c r="F21">
        <v>10158</v>
      </c>
      <c r="G21">
        <v>10243</v>
      </c>
      <c r="H21">
        <v>16247</v>
      </c>
      <c r="I21">
        <v>29726</v>
      </c>
      <c r="J21">
        <v>26224</v>
      </c>
      <c r="K21">
        <v>29716</v>
      </c>
    </row>
    <row r="22" spans="1:11" s="3" customFormat="1" x14ac:dyDescent="0.25">
      <c r="A22" s="2" t="s">
        <v>49</v>
      </c>
      <c r="B22">
        <v>1532.84</v>
      </c>
      <c r="C22">
        <v>1518.67</v>
      </c>
      <c r="D22">
        <v>1700</v>
      </c>
      <c r="E22">
        <v>1843</v>
      </c>
      <c r="F22">
        <v>2489</v>
      </c>
      <c r="G22">
        <v>2839</v>
      </c>
      <c r="H22">
        <v>2506</v>
      </c>
      <c r="I22">
        <v>3493</v>
      </c>
      <c r="J22">
        <v>3915</v>
      </c>
      <c r="K22">
        <v>4591</v>
      </c>
    </row>
    <row r="23" spans="1:11" s="3" customFormat="1" x14ac:dyDescent="0.25">
      <c r="A23" s="2" t="s">
        <v>50</v>
      </c>
      <c r="B23">
        <v>372.65</v>
      </c>
      <c r="C23">
        <v>332.82</v>
      </c>
      <c r="D23">
        <v>323</v>
      </c>
      <c r="E23">
        <v>277</v>
      </c>
      <c r="F23">
        <v>602</v>
      </c>
      <c r="G23">
        <v>450</v>
      </c>
      <c r="H23">
        <v>404</v>
      </c>
      <c r="I23">
        <v>557</v>
      </c>
      <c r="J23">
        <v>1018</v>
      </c>
      <c r="K23">
        <v>894</v>
      </c>
    </row>
    <row r="24" spans="1:11" s="3" customFormat="1" x14ac:dyDescent="0.25">
      <c r="A24" s="2" t="s">
        <v>51</v>
      </c>
      <c r="B24">
        <v>1162.08</v>
      </c>
      <c r="C24">
        <v>1322.66</v>
      </c>
      <c r="D24">
        <v>1240</v>
      </c>
      <c r="E24">
        <v>1462</v>
      </c>
      <c r="F24">
        <v>2319</v>
      </c>
      <c r="G24">
        <v>2979</v>
      </c>
      <c r="H24">
        <v>2011</v>
      </c>
      <c r="I24">
        <v>2922</v>
      </c>
      <c r="J24">
        <v>5547</v>
      </c>
      <c r="K24">
        <v>4854</v>
      </c>
    </row>
    <row r="25" spans="1:11" s="3" customFormat="1" x14ac:dyDescent="0.25">
      <c r="A25" s="3" t="s">
        <v>4</v>
      </c>
      <c r="B25">
        <v>102.77</v>
      </c>
      <c r="C25">
        <v>-1966.23</v>
      </c>
      <c r="D25">
        <v>18</v>
      </c>
      <c r="E25">
        <v>-177</v>
      </c>
      <c r="F25">
        <v>196</v>
      </c>
      <c r="G25">
        <v>-289</v>
      </c>
      <c r="H25">
        <v>473</v>
      </c>
      <c r="I25">
        <v>1600</v>
      </c>
      <c r="J25">
        <v>1561</v>
      </c>
      <c r="K25">
        <v>1500</v>
      </c>
    </row>
    <row r="26" spans="1:11" s="3" customFormat="1" x14ac:dyDescent="0.25">
      <c r="A26" s="3" t="s">
        <v>5</v>
      </c>
      <c r="B26">
        <v>3434.49</v>
      </c>
      <c r="C26">
        <v>3322.56</v>
      </c>
      <c r="D26">
        <v>3430</v>
      </c>
      <c r="E26">
        <v>3387</v>
      </c>
      <c r="F26">
        <v>4041</v>
      </c>
      <c r="G26">
        <v>4246</v>
      </c>
      <c r="H26">
        <v>4679</v>
      </c>
      <c r="I26">
        <v>6001</v>
      </c>
      <c r="J26">
        <v>7474</v>
      </c>
      <c r="K26">
        <v>8172</v>
      </c>
    </row>
    <row r="27" spans="1:11" s="3" customFormat="1" x14ac:dyDescent="0.25">
      <c r="A27" s="3" t="s">
        <v>6</v>
      </c>
      <c r="B27">
        <v>3493.03</v>
      </c>
      <c r="C27">
        <v>3601.18</v>
      </c>
      <c r="D27">
        <v>3768</v>
      </c>
      <c r="E27">
        <v>3701</v>
      </c>
      <c r="F27">
        <v>3917</v>
      </c>
      <c r="G27">
        <v>4265</v>
      </c>
      <c r="H27">
        <v>3957</v>
      </c>
      <c r="I27">
        <v>4968</v>
      </c>
      <c r="J27">
        <v>6902</v>
      </c>
      <c r="K27">
        <v>8105</v>
      </c>
    </row>
    <row r="28" spans="1:11" s="3" customFormat="1" x14ac:dyDescent="0.25">
      <c r="A28" s="3" t="s">
        <v>7</v>
      </c>
      <c r="B28">
        <v>2539.11</v>
      </c>
      <c r="C28">
        <v>-2467.66</v>
      </c>
      <c r="D28">
        <v>5128</v>
      </c>
      <c r="E28">
        <v>7651</v>
      </c>
      <c r="F28">
        <v>11168</v>
      </c>
      <c r="G28">
        <v>3013</v>
      </c>
      <c r="H28">
        <v>12015</v>
      </c>
      <c r="I28">
        <v>29745</v>
      </c>
      <c r="J28">
        <v>5655</v>
      </c>
      <c r="K28">
        <v>13380</v>
      </c>
    </row>
    <row r="29" spans="1:11" s="3" customFormat="1" x14ac:dyDescent="0.25">
      <c r="A29" s="3" t="s">
        <v>8</v>
      </c>
      <c r="B29">
        <v>819.41</v>
      </c>
      <c r="C29">
        <v>-1966.21</v>
      </c>
      <c r="D29">
        <v>1674</v>
      </c>
      <c r="E29">
        <v>1538</v>
      </c>
      <c r="F29">
        <v>3644</v>
      </c>
      <c r="G29">
        <v>-906</v>
      </c>
      <c r="H29">
        <v>4142</v>
      </c>
      <c r="I29">
        <v>8807</v>
      </c>
      <c r="J29">
        <v>1516</v>
      </c>
      <c r="K29">
        <v>4407</v>
      </c>
    </row>
    <row r="30" spans="1:11" s="3" customFormat="1" x14ac:dyDescent="0.25">
      <c r="A30" s="3" t="s">
        <v>9</v>
      </c>
      <c r="B30">
        <v>1796.57</v>
      </c>
      <c r="C30">
        <v>-335.43</v>
      </c>
      <c r="D30">
        <v>3523</v>
      </c>
      <c r="E30">
        <v>6214</v>
      </c>
      <c r="F30">
        <v>7639</v>
      </c>
      <c r="G30">
        <v>4030</v>
      </c>
      <c r="H30">
        <v>7911</v>
      </c>
      <c r="I30">
        <v>20665</v>
      </c>
      <c r="J30">
        <v>4144</v>
      </c>
      <c r="K30">
        <v>8812</v>
      </c>
    </row>
    <row r="31" spans="1:11" s="3" customFormat="1" x14ac:dyDescent="0.25">
      <c r="A31" s="3" t="s">
        <v>35</v>
      </c>
      <c r="B31">
        <v>333.02</v>
      </c>
      <c r="C31">
        <v>225.68</v>
      </c>
      <c r="D31">
        <v>677.25</v>
      </c>
      <c r="E31">
        <v>966.4</v>
      </c>
      <c r="F31">
        <v>1234.0999999999999</v>
      </c>
      <c r="G31">
        <v>602</v>
      </c>
      <c r="H31">
        <v>1963</v>
      </c>
      <c r="I31">
        <v>5222.3500000000004</v>
      </c>
      <c r="J31">
        <v>1023.4</v>
      </c>
      <c r="K31">
        <v>2226.5</v>
      </c>
    </row>
    <row r="32" spans="1:11" s="3" customFormat="1" x14ac:dyDescent="0.25">
      <c r="A32" s="2" t="s">
        <v>162</v>
      </c>
      <c r="B32" s="2">
        <f t="shared" ref="B32:K32" si="0">B34+B26</f>
        <v>9363.8600000000115</v>
      </c>
      <c r="C32" s="2">
        <f t="shared" si="0"/>
        <v>6422.309999999994</v>
      </c>
      <c r="D32" s="2">
        <f t="shared" si="0"/>
        <v>12308</v>
      </c>
      <c r="E32" s="2">
        <f t="shared" si="0"/>
        <v>14916</v>
      </c>
      <c r="F32" s="2">
        <f t="shared" si="0"/>
        <v>18930</v>
      </c>
      <c r="G32" s="2">
        <f t="shared" si="0"/>
        <v>11813</v>
      </c>
      <c r="H32" s="2">
        <f t="shared" si="0"/>
        <v>20178</v>
      </c>
      <c r="I32" s="2">
        <f t="shared" si="0"/>
        <v>39114</v>
      </c>
      <c r="J32" s="2">
        <f t="shared" si="0"/>
        <v>18470</v>
      </c>
      <c r="K32" s="2">
        <f t="shared" si="0"/>
        <v>28157</v>
      </c>
    </row>
    <row r="33" spans="1:11" x14ac:dyDescent="0.25">
      <c r="A33" s="3"/>
    </row>
    <row r="34" spans="1:11" x14ac:dyDescent="0.25">
      <c r="A34" s="2" t="s">
        <v>157</v>
      </c>
      <c r="B34" s="2">
        <f>'Historical FS'!C23+'Historical FS'!C19</f>
        <v>5929.3700000000117</v>
      </c>
      <c r="C34" s="2">
        <f>'Historical FS'!D23+'Historical FS'!D19</f>
        <v>3099.7499999999941</v>
      </c>
      <c r="D34" s="2">
        <f>'Historical FS'!E23+'Historical FS'!E19</f>
        <v>8878</v>
      </c>
      <c r="E34" s="2">
        <f>'Historical FS'!F23+'Historical FS'!F19</f>
        <v>11529</v>
      </c>
      <c r="F34" s="2">
        <f>'Historical FS'!G23+'Historical FS'!G19</f>
        <v>14889</v>
      </c>
      <c r="G34" s="2">
        <f>'Historical FS'!H23+'Historical FS'!H19</f>
        <v>7567</v>
      </c>
      <c r="H34" s="2">
        <f>'Historical FS'!I23+'Historical FS'!I19</f>
        <v>15499</v>
      </c>
      <c r="I34" s="2">
        <f>'Historical FS'!J23+'Historical FS'!J19</f>
        <v>33113</v>
      </c>
      <c r="J34" s="2">
        <f>'Historical FS'!K23+'Historical FS'!K19</f>
        <v>10996</v>
      </c>
      <c r="K34" s="2">
        <f>'Historical FS'!L23+'Historical FS'!L19</f>
        <v>19985</v>
      </c>
    </row>
    <row r="35" spans="1:11" x14ac:dyDescent="0.25">
      <c r="A35" s="2" t="s">
        <v>158</v>
      </c>
      <c r="B35" s="41">
        <f>B34/B17</f>
        <v>0.11193507604370749</v>
      </c>
      <c r="C35" s="41">
        <f t="shared" ref="C35:K35" si="1">C34/C17</f>
        <v>7.4609765472966438E-2</v>
      </c>
      <c r="D35" s="41">
        <f t="shared" si="1"/>
        <v>0.15966477231853823</v>
      </c>
      <c r="E35" s="41">
        <f t="shared" si="1"/>
        <v>0.16027414399510656</v>
      </c>
      <c r="F35" s="41">
        <f t="shared" si="1"/>
        <v>0.17566690656818906</v>
      </c>
      <c r="G35" s="41">
        <f t="shared" si="1"/>
        <v>0.1031966833046941</v>
      </c>
      <c r="H35" s="41">
        <f t="shared" si="1"/>
        <v>0.19412818296822354</v>
      </c>
      <c r="I35" s="41">
        <f t="shared" si="1"/>
        <v>0.22622650661674784</v>
      </c>
      <c r="J35" s="41">
        <f t="shared" si="1"/>
        <v>6.6256929380573634E-2</v>
      </c>
      <c r="K35" s="41">
        <f t="shared" si="1"/>
        <v>0.11419608470566724</v>
      </c>
    </row>
    <row r="37" spans="1:11" x14ac:dyDescent="0.25">
      <c r="A37" s="3"/>
    </row>
    <row r="38" spans="1:11" x14ac:dyDescent="0.25">
      <c r="A38" s="3"/>
    </row>
    <row r="39" spans="1:11" x14ac:dyDescent="0.25">
      <c r="A39" s="3"/>
    </row>
    <row r="40" spans="1:11" x14ac:dyDescent="0.25">
      <c r="A40" s="1" t="s">
        <v>24</v>
      </c>
    </row>
    <row r="41" spans="1:11" s="6" customFormat="1" x14ac:dyDescent="0.25">
      <c r="A41" s="5" t="s">
        <v>23</v>
      </c>
      <c r="B41" s="4">
        <v>44834</v>
      </c>
      <c r="C41" s="4">
        <v>44926</v>
      </c>
      <c r="D41" s="4">
        <v>45016</v>
      </c>
      <c r="E41" s="4">
        <v>45107</v>
      </c>
      <c r="F41" s="4">
        <v>45199</v>
      </c>
      <c r="G41" s="4">
        <v>45291</v>
      </c>
      <c r="H41" s="4">
        <v>45382</v>
      </c>
      <c r="I41" s="4">
        <v>45473</v>
      </c>
      <c r="J41" s="4">
        <v>45565</v>
      </c>
      <c r="K41" s="4">
        <v>45657</v>
      </c>
    </row>
    <row r="42" spans="1:11" s="3" customFormat="1" x14ac:dyDescent="0.25">
      <c r="A42" s="3" t="s">
        <v>1</v>
      </c>
      <c r="B42">
        <v>41778</v>
      </c>
      <c r="C42">
        <v>39134</v>
      </c>
      <c r="D42">
        <v>46962</v>
      </c>
      <c r="E42">
        <v>42213</v>
      </c>
      <c r="F42">
        <v>44584</v>
      </c>
      <c r="G42">
        <v>41940</v>
      </c>
      <c r="H42">
        <v>46269</v>
      </c>
      <c r="I42">
        <v>42943</v>
      </c>
      <c r="J42">
        <v>39684</v>
      </c>
      <c r="K42">
        <v>41378</v>
      </c>
    </row>
    <row r="43" spans="1:11" s="3" customFormat="1" x14ac:dyDescent="0.25">
      <c r="A43" s="3" t="s">
        <v>2</v>
      </c>
      <c r="B43">
        <v>40082</v>
      </c>
      <c r="C43">
        <v>34643</v>
      </c>
      <c r="D43">
        <v>39031</v>
      </c>
      <c r="E43">
        <v>35201</v>
      </c>
      <c r="F43">
        <v>36722</v>
      </c>
      <c r="G43">
        <v>34776</v>
      </c>
      <c r="H43">
        <v>40243</v>
      </c>
      <c r="I43">
        <v>37445</v>
      </c>
      <c r="J43">
        <v>34309</v>
      </c>
      <c r="K43">
        <v>35799</v>
      </c>
    </row>
    <row r="44" spans="1:11" s="3" customFormat="1" x14ac:dyDescent="0.25">
      <c r="A44" s="3" t="s">
        <v>4</v>
      </c>
      <c r="B44">
        <v>779</v>
      </c>
      <c r="C44">
        <v>188</v>
      </c>
      <c r="D44">
        <v>465</v>
      </c>
      <c r="E44">
        <v>331</v>
      </c>
      <c r="F44">
        <v>826</v>
      </c>
      <c r="G44">
        <v>194</v>
      </c>
      <c r="H44">
        <v>242</v>
      </c>
      <c r="I44">
        <v>164</v>
      </c>
      <c r="J44">
        <v>-189</v>
      </c>
      <c r="K44">
        <v>50</v>
      </c>
    </row>
    <row r="45" spans="1:11" s="3" customFormat="1" x14ac:dyDescent="0.25">
      <c r="A45" s="3" t="s">
        <v>5</v>
      </c>
      <c r="B45">
        <v>1805</v>
      </c>
      <c r="C45">
        <v>1882</v>
      </c>
      <c r="D45">
        <v>2009</v>
      </c>
      <c r="E45">
        <v>1900</v>
      </c>
      <c r="F45">
        <v>2019</v>
      </c>
      <c r="G45">
        <v>2059</v>
      </c>
      <c r="H45">
        <v>2194</v>
      </c>
      <c r="I45">
        <v>2209</v>
      </c>
      <c r="J45">
        <v>2267</v>
      </c>
      <c r="K45">
        <v>2336</v>
      </c>
    </row>
    <row r="46" spans="1:11" s="3" customFormat="1" x14ac:dyDescent="0.25">
      <c r="A46" s="3" t="s">
        <v>6</v>
      </c>
      <c r="B46">
        <v>1523</v>
      </c>
      <c r="C46">
        <v>1819</v>
      </c>
      <c r="D46">
        <v>2138</v>
      </c>
      <c r="E46">
        <v>1963</v>
      </c>
      <c r="F46">
        <v>2084</v>
      </c>
      <c r="G46">
        <v>1996</v>
      </c>
      <c r="H46">
        <v>2062</v>
      </c>
      <c r="I46">
        <v>2073</v>
      </c>
      <c r="J46">
        <v>2130</v>
      </c>
      <c r="K46">
        <v>2115</v>
      </c>
    </row>
    <row r="47" spans="1:11" s="3" customFormat="1" x14ac:dyDescent="0.25">
      <c r="A47" s="3" t="s">
        <v>7</v>
      </c>
      <c r="B47">
        <v>-853</v>
      </c>
      <c r="C47">
        <v>978</v>
      </c>
      <c r="D47">
        <v>4249</v>
      </c>
      <c r="E47">
        <v>3480</v>
      </c>
      <c r="F47">
        <v>4585</v>
      </c>
      <c r="G47">
        <v>3303</v>
      </c>
      <c r="H47">
        <v>2012</v>
      </c>
      <c r="I47">
        <v>1380</v>
      </c>
      <c r="J47">
        <v>789</v>
      </c>
      <c r="K47">
        <v>1178</v>
      </c>
    </row>
    <row r="48" spans="1:11" s="3" customFormat="1" x14ac:dyDescent="0.25">
      <c r="A48" s="3" t="s">
        <v>8</v>
      </c>
      <c r="B48">
        <v>62</v>
      </c>
      <c r="C48">
        <v>504</v>
      </c>
      <c r="D48">
        <v>508</v>
      </c>
      <c r="E48">
        <v>1052</v>
      </c>
      <c r="F48">
        <v>1812</v>
      </c>
      <c r="G48">
        <v>853</v>
      </c>
      <c r="H48">
        <v>690</v>
      </c>
      <c r="I48">
        <v>513</v>
      </c>
      <c r="J48">
        <v>385</v>
      </c>
      <c r="K48">
        <v>459</v>
      </c>
    </row>
    <row r="49" spans="1:11" s="3" customFormat="1" x14ac:dyDescent="0.25">
      <c r="A49" s="3" t="s">
        <v>9</v>
      </c>
      <c r="B49">
        <v>-848</v>
      </c>
      <c r="C49">
        <v>490</v>
      </c>
      <c r="D49">
        <v>3664</v>
      </c>
      <c r="E49">
        <v>2338</v>
      </c>
      <c r="F49">
        <v>2760</v>
      </c>
      <c r="G49">
        <v>2415</v>
      </c>
      <c r="H49">
        <v>1299</v>
      </c>
      <c r="I49">
        <v>845</v>
      </c>
      <c r="J49">
        <v>439</v>
      </c>
      <c r="K49">
        <v>717</v>
      </c>
    </row>
    <row r="50" spans="1:11" x14ac:dyDescent="0.25">
      <c r="A50" s="3" t="s">
        <v>3</v>
      </c>
      <c r="B50">
        <v>1696</v>
      </c>
      <c r="C50">
        <v>4491</v>
      </c>
      <c r="D50">
        <v>7931</v>
      </c>
      <c r="E50">
        <v>7012</v>
      </c>
      <c r="F50">
        <v>7862</v>
      </c>
      <c r="G50">
        <v>7164</v>
      </c>
      <c r="H50">
        <v>6026</v>
      </c>
      <c r="I50">
        <v>5498</v>
      </c>
      <c r="J50">
        <v>5375</v>
      </c>
      <c r="K50">
        <v>5579</v>
      </c>
    </row>
    <row r="51" spans="1:11" x14ac:dyDescent="0.25">
      <c r="A51" s="3"/>
    </row>
    <row r="52" spans="1:11" x14ac:dyDescent="0.25">
      <c r="A52" s="3"/>
    </row>
    <row r="53" spans="1:11" x14ac:dyDescent="0.25">
      <c r="A53" s="3"/>
    </row>
    <row r="54" spans="1:11" x14ac:dyDescent="0.25">
      <c r="A54" s="3"/>
    </row>
    <row r="55" spans="1:11" x14ac:dyDescent="0.25">
      <c r="A55" s="1" t="s">
        <v>25</v>
      </c>
    </row>
    <row r="56" spans="1:11" s="6" customFormat="1" x14ac:dyDescent="0.25">
      <c r="A56" s="5" t="s">
        <v>23</v>
      </c>
      <c r="B56" s="4">
        <v>42094</v>
      </c>
      <c r="C56" s="4">
        <v>42460</v>
      </c>
      <c r="D56" s="4">
        <v>42825</v>
      </c>
      <c r="E56" s="4">
        <v>43190</v>
      </c>
      <c r="F56" s="4">
        <v>43555</v>
      </c>
      <c r="G56" s="4">
        <v>43921</v>
      </c>
      <c r="H56" s="4">
        <v>44286</v>
      </c>
      <c r="I56" s="4">
        <v>44651</v>
      </c>
      <c r="J56" s="4">
        <v>45016</v>
      </c>
      <c r="K56" s="4">
        <v>45382</v>
      </c>
    </row>
    <row r="57" spans="1:11" x14ac:dyDescent="0.25">
      <c r="A57" s="3" t="s">
        <v>10</v>
      </c>
      <c r="B57">
        <v>302.75</v>
      </c>
      <c r="C57">
        <v>300.89999999999998</v>
      </c>
      <c r="D57">
        <v>301</v>
      </c>
      <c r="E57">
        <v>302</v>
      </c>
      <c r="F57">
        <v>301</v>
      </c>
      <c r="G57">
        <v>301</v>
      </c>
      <c r="H57">
        <v>302</v>
      </c>
      <c r="I57">
        <v>301</v>
      </c>
      <c r="J57">
        <v>301</v>
      </c>
      <c r="K57">
        <v>305</v>
      </c>
    </row>
    <row r="58" spans="1:11" x14ac:dyDescent="0.25">
      <c r="A58" s="3" t="s">
        <v>11</v>
      </c>
      <c r="B58">
        <v>21986.89</v>
      </c>
      <c r="C58">
        <v>18664.55</v>
      </c>
      <c r="D58">
        <v>22346</v>
      </c>
      <c r="E58">
        <v>27696</v>
      </c>
      <c r="F58">
        <v>34494</v>
      </c>
      <c r="G58">
        <v>36298</v>
      </c>
      <c r="H58">
        <v>46462</v>
      </c>
      <c r="I58">
        <v>66996</v>
      </c>
      <c r="J58">
        <v>65394</v>
      </c>
      <c r="K58">
        <v>77364</v>
      </c>
    </row>
    <row r="59" spans="1:11" x14ac:dyDescent="0.25">
      <c r="A59" s="3" t="s">
        <v>36</v>
      </c>
      <c r="B59">
        <v>38754.26</v>
      </c>
      <c r="C59">
        <v>42204.03</v>
      </c>
      <c r="D59">
        <v>43334</v>
      </c>
      <c r="E59">
        <v>39393</v>
      </c>
      <c r="F59">
        <v>47396</v>
      </c>
      <c r="G59">
        <v>61423</v>
      </c>
      <c r="H59">
        <v>62392</v>
      </c>
      <c r="I59">
        <v>72237</v>
      </c>
      <c r="J59">
        <v>80853</v>
      </c>
      <c r="K59">
        <v>87984</v>
      </c>
    </row>
    <row r="60" spans="1:11" x14ac:dyDescent="0.25">
      <c r="A60" s="3" t="s">
        <v>37</v>
      </c>
      <c r="B60">
        <v>24609.98</v>
      </c>
      <c r="C60">
        <v>20737.419999999998</v>
      </c>
      <c r="D60">
        <v>22024</v>
      </c>
      <c r="E60">
        <v>24579</v>
      </c>
      <c r="F60">
        <v>32606</v>
      </c>
      <c r="G60">
        <v>33798</v>
      </c>
      <c r="H60">
        <v>39161</v>
      </c>
      <c r="I60">
        <v>56951</v>
      </c>
      <c r="J60">
        <v>63991</v>
      </c>
      <c r="K60">
        <v>62245</v>
      </c>
    </row>
    <row r="61" spans="1:11" s="1" customFormat="1" x14ac:dyDescent="0.25">
      <c r="A61" s="1" t="s">
        <v>12</v>
      </c>
      <c r="B61">
        <v>85653.88</v>
      </c>
      <c r="C61">
        <v>81906.899999999994</v>
      </c>
      <c r="D61">
        <v>88005</v>
      </c>
      <c r="E61">
        <v>91970</v>
      </c>
      <c r="F61">
        <v>114797</v>
      </c>
      <c r="G61">
        <v>131820</v>
      </c>
      <c r="H61">
        <v>148317</v>
      </c>
      <c r="I61">
        <v>196485</v>
      </c>
      <c r="J61">
        <v>210539</v>
      </c>
      <c r="K61">
        <v>227898</v>
      </c>
    </row>
    <row r="62" spans="1:11" x14ac:dyDescent="0.25">
      <c r="A62" s="3" t="s">
        <v>13</v>
      </c>
      <c r="B62">
        <v>52176.28</v>
      </c>
      <c r="C62">
        <v>56139.519999999997</v>
      </c>
      <c r="D62">
        <v>58730</v>
      </c>
      <c r="E62">
        <v>57848</v>
      </c>
      <c r="F62">
        <v>62644</v>
      </c>
      <c r="G62">
        <v>62085</v>
      </c>
      <c r="H62">
        <v>64917</v>
      </c>
      <c r="I62">
        <v>99880</v>
      </c>
      <c r="J62">
        <v>104452</v>
      </c>
      <c r="K62">
        <v>112461</v>
      </c>
    </row>
    <row r="63" spans="1:11" x14ac:dyDescent="0.25">
      <c r="A63" s="3" t="s">
        <v>14</v>
      </c>
      <c r="B63">
        <v>8265.27</v>
      </c>
      <c r="C63">
        <v>7270.85</v>
      </c>
      <c r="D63">
        <v>4363</v>
      </c>
      <c r="E63">
        <v>5950</v>
      </c>
      <c r="F63">
        <v>11889</v>
      </c>
      <c r="G63">
        <v>27191</v>
      </c>
      <c r="H63">
        <v>32566</v>
      </c>
      <c r="I63">
        <v>16905</v>
      </c>
      <c r="J63">
        <v>22166</v>
      </c>
      <c r="K63">
        <v>29676</v>
      </c>
    </row>
    <row r="64" spans="1:11" x14ac:dyDescent="0.25">
      <c r="A64" s="3" t="s">
        <v>15</v>
      </c>
      <c r="B64">
        <v>599.25</v>
      </c>
      <c r="C64">
        <v>1194.6099999999999</v>
      </c>
      <c r="D64">
        <v>1366</v>
      </c>
      <c r="E64">
        <v>1469</v>
      </c>
      <c r="F64">
        <v>1894</v>
      </c>
      <c r="G64">
        <v>1259</v>
      </c>
      <c r="H64">
        <v>8581</v>
      </c>
      <c r="I64">
        <v>4940</v>
      </c>
      <c r="J64">
        <v>4806</v>
      </c>
      <c r="K64">
        <v>7246</v>
      </c>
    </row>
    <row r="65" spans="1:12" x14ac:dyDescent="0.25">
      <c r="A65" s="3" t="s">
        <v>38</v>
      </c>
      <c r="B65">
        <v>24613.08</v>
      </c>
      <c r="C65">
        <v>17301.919999999998</v>
      </c>
      <c r="D65">
        <v>23546</v>
      </c>
      <c r="E65">
        <v>26703</v>
      </c>
      <c r="F65">
        <v>38370</v>
      </c>
      <c r="G65">
        <v>41285</v>
      </c>
      <c r="H65">
        <v>42253</v>
      </c>
      <c r="I65">
        <v>74760</v>
      </c>
      <c r="J65">
        <v>79115</v>
      </c>
      <c r="K65">
        <v>78515</v>
      </c>
    </row>
    <row r="66" spans="1:12" s="1" customFormat="1" x14ac:dyDescent="0.25">
      <c r="A66" s="1" t="s">
        <v>12</v>
      </c>
      <c r="B66">
        <v>85653.88</v>
      </c>
      <c r="C66">
        <v>81906.899999999994</v>
      </c>
      <c r="D66">
        <v>88005</v>
      </c>
      <c r="E66">
        <v>91970</v>
      </c>
      <c r="F66">
        <v>114797</v>
      </c>
      <c r="G66">
        <v>131820</v>
      </c>
      <c r="H66">
        <v>148317</v>
      </c>
      <c r="I66">
        <v>196485</v>
      </c>
      <c r="J66">
        <v>210539</v>
      </c>
      <c r="K66">
        <v>227898</v>
      </c>
    </row>
    <row r="67" spans="1:12" s="3" customFormat="1" x14ac:dyDescent="0.25">
      <c r="A67" s="3" t="s">
        <v>43</v>
      </c>
      <c r="B67">
        <v>2499.75</v>
      </c>
      <c r="C67">
        <v>2727.37</v>
      </c>
      <c r="D67">
        <v>4149</v>
      </c>
      <c r="E67">
        <v>4704</v>
      </c>
      <c r="F67">
        <v>7160</v>
      </c>
      <c r="G67">
        <v>4505</v>
      </c>
      <c r="H67">
        <v>4486</v>
      </c>
      <c r="I67">
        <v>7457</v>
      </c>
      <c r="J67">
        <v>7134</v>
      </c>
      <c r="K67">
        <v>7548</v>
      </c>
    </row>
    <row r="68" spans="1:12" x14ac:dyDescent="0.25">
      <c r="A68" s="3" t="s">
        <v>29</v>
      </c>
      <c r="B68">
        <v>11009.04</v>
      </c>
      <c r="C68">
        <v>8321.18</v>
      </c>
      <c r="D68">
        <v>11395</v>
      </c>
      <c r="E68">
        <v>12594</v>
      </c>
      <c r="F68">
        <v>14548</v>
      </c>
      <c r="G68">
        <v>13773</v>
      </c>
      <c r="H68">
        <v>14249</v>
      </c>
      <c r="I68">
        <v>33787</v>
      </c>
      <c r="J68">
        <v>33135</v>
      </c>
      <c r="K68">
        <v>37815</v>
      </c>
    </row>
    <row r="69" spans="1:12" x14ac:dyDescent="0.25">
      <c r="A69" s="2" t="s">
        <v>52</v>
      </c>
      <c r="B69">
        <v>1913.25</v>
      </c>
      <c r="C69">
        <v>1020.4</v>
      </c>
      <c r="D69">
        <v>1485</v>
      </c>
      <c r="E69">
        <v>1063</v>
      </c>
      <c r="F69">
        <v>6187</v>
      </c>
      <c r="G69">
        <v>12003</v>
      </c>
      <c r="H69">
        <v>12813</v>
      </c>
      <c r="I69">
        <v>17383</v>
      </c>
      <c r="J69">
        <v>20714</v>
      </c>
      <c r="K69">
        <v>12348</v>
      </c>
    </row>
    <row r="70" spans="1:12" x14ac:dyDescent="0.25">
      <c r="A70" s="2" t="s">
        <v>39</v>
      </c>
      <c r="B70">
        <v>302752000</v>
      </c>
      <c r="C70">
        <v>300903227</v>
      </c>
      <c r="D70">
        <v>3012984690</v>
      </c>
      <c r="E70">
        <v>3016231580</v>
      </c>
      <c r="F70">
        <v>3011711464</v>
      </c>
      <c r="G70">
        <v>3011711464</v>
      </c>
      <c r="H70">
        <v>3015766346</v>
      </c>
      <c r="I70">
        <v>3016603583</v>
      </c>
      <c r="J70">
        <v>3020456419</v>
      </c>
      <c r="K70">
        <v>3052602319</v>
      </c>
    </row>
    <row r="71" spans="1:12" x14ac:dyDescent="0.25">
      <c r="A71" s="2" t="s">
        <v>40</v>
      </c>
    </row>
    <row r="72" spans="1:12" x14ac:dyDescent="0.25">
      <c r="A72" s="2" t="s">
        <v>53</v>
      </c>
      <c r="B72">
        <v>10</v>
      </c>
      <c r="C72">
        <v>10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2" x14ac:dyDescent="0.25">
      <c r="A74" s="2" t="s">
        <v>83</v>
      </c>
      <c r="B74" s="2">
        <f>B65-SUM(B67:B69)</f>
        <v>9191.0400000000009</v>
      </c>
      <c r="C74" s="2">
        <f t="shared" ref="C74:K74" si="2">C65-SUM(C67:C69)</f>
        <v>5232.9699999999993</v>
      </c>
      <c r="D74" s="2">
        <f t="shared" si="2"/>
        <v>6517</v>
      </c>
      <c r="E74" s="2">
        <f t="shared" si="2"/>
        <v>8342</v>
      </c>
      <c r="F74" s="2">
        <f t="shared" si="2"/>
        <v>10475</v>
      </c>
      <c r="G74" s="2">
        <f t="shared" si="2"/>
        <v>11004</v>
      </c>
      <c r="H74" s="2">
        <f t="shared" si="2"/>
        <v>10705</v>
      </c>
      <c r="I74" s="2">
        <f t="shared" si="2"/>
        <v>16133</v>
      </c>
      <c r="J74" s="2">
        <f t="shared" si="2"/>
        <v>18132</v>
      </c>
      <c r="K74" s="2">
        <f t="shared" si="2"/>
        <v>20804</v>
      </c>
    </row>
    <row r="75" spans="1:12" x14ac:dyDescent="0.25">
      <c r="A75" s="3"/>
    </row>
    <row r="76" spans="1:12" x14ac:dyDescent="0.25">
      <c r="B76" s="2">
        <v>14253</v>
      </c>
    </row>
    <row r="77" spans="1:12" x14ac:dyDescent="0.25">
      <c r="A77" s="2" t="s">
        <v>148</v>
      </c>
      <c r="C77" s="2">
        <v>14253</v>
      </c>
      <c r="D77" s="2">
        <v>12758</v>
      </c>
      <c r="E77" s="2">
        <v>13348</v>
      </c>
      <c r="F77" s="2">
        <v>15944</v>
      </c>
      <c r="G77" s="2">
        <v>16159</v>
      </c>
      <c r="H77" s="2">
        <v>17918</v>
      </c>
      <c r="I77" s="2">
        <v>15243</v>
      </c>
      <c r="J77" s="2">
        <v>30889</v>
      </c>
      <c r="K77" s="2">
        <v>38203</v>
      </c>
      <c r="L77" s="2">
        <v>33365</v>
      </c>
    </row>
    <row r="78" spans="1:12" x14ac:dyDescent="0.25">
      <c r="A78" s="2" t="s">
        <v>155</v>
      </c>
    </row>
    <row r="79" spans="1:12" x14ac:dyDescent="0.25">
      <c r="A79" s="2" t="s">
        <v>156</v>
      </c>
    </row>
    <row r="80" spans="1:12" x14ac:dyDescent="0.25">
      <c r="A80" s="1" t="s">
        <v>26</v>
      </c>
    </row>
    <row r="81" spans="1:11" s="6" customFormat="1" x14ac:dyDescent="0.25">
      <c r="A81" s="5" t="s">
        <v>23</v>
      </c>
      <c r="B81" s="4">
        <v>42094</v>
      </c>
      <c r="C81" s="4">
        <v>42460</v>
      </c>
      <c r="D81" s="4">
        <v>42825</v>
      </c>
      <c r="E81" s="4">
        <v>43190</v>
      </c>
      <c r="F81" s="4">
        <v>43555</v>
      </c>
      <c r="G81" s="4">
        <v>43921</v>
      </c>
      <c r="H81" s="4">
        <v>44286</v>
      </c>
      <c r="I81" s="4">
        <v>44651</v>
      </c>
      <c r="J81" s="4">
        <v>45016</v>
      </c>
      <c r="K81" s="4">
        <v>45382</v>
      </c>
    </row>
    <row r="82" spans="1:11" s="1" customFormat="1" x14ac:dyDescent="0.25">
      <c r="A82" s="3" t="s">
        <v>17</v>
      </c>
      <c r="B82">
        <v>7875.65</v>
      </c>
      <c r="C82">
        <v>6897.32</v>
      </c>
      <c r="D82">
        <v>7888</v>
      </c>
      <c r="E82">
        <v>12379</v>
      </c>
      <c r="F82">
        <v>14633</v>
      </c>
      <c r="G82">
        <v>12785</v>
      </c>
      <c r="H82">
        <v>18789</v>
      </c>
      <c r="I82">
        <v>26270</v>
      </c>
      <c r="J82">
        <v>23323</v>
      </c>
      <c r="K82">
        <v>12078</v>
      </c>
    </row>
    <row r="83" spans="1:11" s="3" customFormat="1" x14ac:dyDescent="0.25">
      <c r="A83" s="3" t="s">
        <v>18</v>
      </c>
      <c r="B83">
        <v>-7372.25</v>
      </c>
      <c r="C83">
        <v>-3857.37</v>
      </c>
      <c r="D83">
        <v>-5094</v>
      </c>
      <c r="E83">
        <v>-4529</v>
      </c>
      <c r="F83">
        <v>-11387</v>
      </c>
      <c r="G83">
        <v>-19589</v>
      </c>
      <c r="H83">
        <v>-7702</v>
      </c>
      <c r="I83">
        <v>-14748</v>
      </c>
      <c r="J83">
        <v>-10730</v>
      </c>
      <c r="K83">
        <v>-14467</v>
      </c>
    </row>
    <row r="84" spans="1:11" s="3" customFormat="1" x14ac:dyDescent="0.25">
      <c r="A84" s="3" t="s">
        <v>19</v>
      </c>
      <c r="B84">
        <v>-169.08</v>
      </c>
      <c r="C84">
        <v>-3150.66</v>
      </c>
      <c r="D84">
        <v>-2710</v>
      </c>
      <c r="E84">
        <v>-8185</v>
      </c>
      <c r="F84">
        <v>1753</v>
      </c>
      <c r="G84">
        <v>5189</v>
      </c>
      <c r="H84">
        <v>-3110</v>
      </c>
      <c r="I84">
        <v>-14657</v>
      </c>
      <c r="J84">
        <v>-5977</v>
      </c>
      <c r="K84">
        <v>-5005</v>
      </c>
    </row>
    <row r="85" spans="1:11" s="1" customFormat="1" x14ac:dyDescent="0.25">
      <c r="A85" s="3" t="s">
        <v>20</v>
      </c>
      <c r="B85">
        <v>334.32</v>
      </c>
      <c r="C85">
        <v>-110.71</v>
      </c>
      <c r="D85">
        <v>84</v>
      </c>
      <c r="E85">
        <v>-335</v>
      </c>
      <c r="F85">
        <v>4999</v>
      </c>
      <c r="G85">
        <v>-1615</v>
      </c>
      <c r="H85">
        <v>7977</v>
      </c>
      <c r="I85">
        <v>-3135</v>
      </c>
      <c r="J85">
        <v>6616</v>
      </c>
      <c r="K85">
        <v>-7394</v>
      </c>
    </row>
    <row r="86" spans="1:11" x14ac:dyDescent="0.25">
      <c r="A86" s="3"/>
    </row>
    <row r="87" spans="1:11" x14ac:dyDescent="0.25">
      <c r="A87" s="3"/>
    </row>
    <row r="88" spans="1:11" x14ac:dyDescent="0.25">
      <c r="A88" s="3"/>
    </row>
    <row r="89" spans="1:11" x14ac:dyDescent="0.25">
      <c r="A89" s="3"/>
    </row>
    <row r="90" spans="1:11" s="1" customFormat="1" x14ac:dyDescent="0.25">
      <c r="A90" s="1" t="s">
        <v>42</v>
      </c>
      <c r="B90">
        <v>90.66</v>
      </c>
      <c r="C90">
        <v>128.33000000000001</v>
      </c>
      <c r="D90">
        <v>188.2</v>
      </c>
      <c r="E90">
        <v>288.14999999999998</v>
      </c>
      <c r="F90">
        <v>293.05</v>
      </c>
      <c r="G90">
        <v>146.25</v>
      </c>
      <c r="H90">
        <v>468.45</v>
      </c>
      <c r="I90">
        <v>732.65</v>
      </c>
      <c r="J90">
        <v>688.1</v>
      </c>
      <c r="K90">
        <v>830.2</v>
      </c>
    </row>
    <row r="92" spans="1:11" s="1" customFormat="1" x14ac:dyDescent="0.25">
      <c r="A92" s="1" t="s">
        <v>41</v>
      </c>
    </row>
    <row r="93" spans="1:11" x14ac:dyDescent="0.25">
      <c r="A93" s="2" t="s">
        <v>54</v>
      </c>
      <c r="B93" s="7">
        <v>241.72</v>
      </c>
      <c r="C93" s="7">
        <v>241.72</v>
      </c>
      <c r="D93" s="7">
        <v>241.72</v>
      </c>
      <c r="E93" s="7">
        <v>241.72</v>
      </c>
      <c r="F93" s="7">
        <v>241.72</v>
      </c>
      <c r="G93" s="7">
        <v>241.72</v>
      </c>
      <c r="H93" s="7">
        <v>241.72</v>
      </c>
      <c r="I93" s="7">
        <v>241.72</v>
      </c>
      <c r="J93" s="7">
        <v>241.72</v>
      </c>
      <c r="K93" s="7">
        <v>244.55</v>
      </c>
    </row>
    <row r="96" spans="1:11" x14ac:dyDescent="0.25">
      <c r="A96" s="2" t="s">
        <v>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C00-000000000000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2:M32"/>
  <sheetViews>
    <sheetView workbookViewId="0">
      <selection activeCell="D26" sqref="D26"/>
    </sheetView>
  </sheetViews>
  <sheetFormatPr defaultRowHeight="15" x14ac:dyDescent="0.25"/>
  <cols>
    <col min="1" max="1" width="35.5703125" bestFit="1" customWidth="1"/>
    <col min="2" max="5" width="9.28515625" bestFit="1" customWidth="1"/>
    <col min="6" max="7" width="9.7109375" bestFit="1" customWidth="1"/>
    <col min="8" max="9" width="10.5703125" bestFit="1" customWidth="1"/>
    <col min="10" max="10" width="9.7109375" bestFit="1" customWidth="1"/>
    <col min="11" max="13" width="10.5703125" bestFit="1" customWidth="1"/>
  </cols>
  <sheetData>
    <row r="2" spans="1:13" x14ac:dyDescent="0.25">
      <c r="A2" s="19" t="s">
        <v>86</v>
      </c>
      <c r="B2" s="20">
        <v>5844</v>
      </c>
      <c r="C2" s="20">
        <v>2594</v>
      </c>
      <c r="D2" s="20">
        <v>7876</v>
      </c>
      <c r="E2" s="20">
        <v>6897</v>
      </c>
      <c r="F2" s="20">
        <v>7888</v>
      </c>
      <c r="G2" s="20">
        <v>12379</v>
      </c>
      <c r="H2" s="20">
        <v>14633</v>
      </c>
      <c r="I2" s="20">
        <v>12785</v>
      </c>
      <c r="J2" s="20">
        <v>18789</v>
      </c>
      <c r="K2" s="20">
        <v>26270</v>
      </c>
      <c r="L2" s="20">
        <v>23323</v>
      </c>
      <c r="M2" s="20">
        <v>12078</v>
      </c>
    </row>
    <row r="3" spans="1:13" x14ac:dyDescent="0.25">
      <c r="A3" s="21" t="s">
        <v>87</v>
      </c>
      <c r="B3" s="20">
        <v>5766</v>
      </c>
      <c r="C3" s="20">
        <v>6517</v>
      </c>
      <c r="D3" s="20">
        <v>8850</v>
      </c>
      <c r="E3" s="20">
        <v>6614</v>
      </c>
      <c r="F3" s="20">
        <v>11994</v>
      </c>
      <c r="G3" s="20">
        <v>14920</v>
      </c>
      <c r="H3" s="20">
        <v>18844</v>
      </c>
      <c r="I3" s="20">
        <v>12301</v>
      </c>
      <c r="J3" s="20">
        <v>19455</v>
      </c>
      <c r="K3" s="20">
        <v>38913</v>
      </c>
      <c r="L3" s="20">
        <v>20856</v>
      </c>
      <c r="M3" s="20">
        <v>28472</v>
      </c>
    </row>
    <row r="4" spans="1:13" x14ac:dyDescent="0.25">
      <c r="A4" s="22" t="s">
        <v>43</v>
      </c>
      <c r="B4" s="23">
        <v>-644</v>
      </c>
      <c r="C4" s="23">
        <v>284</v>
      </c>
      <c r="D4" s="23">
        <v>-207</v>
      </c>
      <c r="E4" s="23">
        <v>-294</v>
      </c>
      <c r="F4" s="24">
        <v>-1352</v>
      </c>
      <c r="G4" s="23">
        <v>-640</v>
      </c>
      <c r="H4" s="24">
        <v>-2203</v>
      </c>
      <c r="I4" s="24">
        <v>2458</v>
      </c>
      <c r="J4" s="23">
        <v>72</v>
      </c>
      <c r="K4" s="24">
        <v>-1884</v>
      </c>
      <c r="L4" s="23">
        <v>317</v>
      </c>
      <c r="M4" s="23">
        <v>-154</v>
      </c>
    </row>
    <row r="5" spans="1:13" x14ac:dyDescent="0.25">
      <c r="A5" s="22" t="s">
        <v>29</v>
      </c>
      <c r="B5" s="23">
        <v>294</v>
      </c>
      <c r="C5" s="23">
        <v>-976</v>
      </c>
      <c r="D5" s="24">
        <v>-2854</v>
      </c>
      <c r="E5" s="24">
        <v>2578</v>
      </c>
      <c r="F5" s="24">
        <v>-3065</v>
      </c>
      <c r="G5" s="24">
        <v>-1199</v>
      </c>
      <c r="H5" s="24">
        <v>-1741</v>
      </c>
      <c r="I5" s="23">
        <v>744</v>
      </c>
      <c r="J5" s="23">
        <v>-335</v>
      </c>
      <c r="K5" s="24">
        <v>-15593</v>
      </c>
      <c r="L5" s="23">
        <v>704</v>
      </c>
      <c r="M5" s="24">
        <v>-3284</v>
      </c>
    </row>
    <row r="6" spans="1:13" x14ac:dyDescent="0.25">
      <c r="A6" s="22" t="s">
        <v>88</v>
      </c>
      <c r="B6" s="23">
        <v>0</v>
      </c>
      <c r="C6" s="23">
        <v>0</v>
      </c>
      <c r="D6" s="24">
        <v>2543</v>
      </c>
      <c r="E6" s="24">
        <v>-2143</v>
      </c>
      <c r="F6" s="24">
        <v>1561</v>
      </c>
      <c r="G6" s="24">
        <v>2514</v>
      </c>
      <c r="H6" s="24">
        <v>3406</v>
      </c>
      <c r="I6" s="23">
        <v>183</v>
      </c>
      <c r="J6" s="24">
        <v>1306</v>
      </c>
      <c r="K6" s="24">
        <v>13013</v>
      </c>
      <c r="L6" s="24">
        <v>4965</v>
      </c>
      <c r="M6" s="24">
        <v>-7235</v>
      </c>
    </row>
    <row r="7" spans="1:13" x14ac:dyDescent="0.25">
      <c r="A7" s="22" t="s">
        <v>89</v>
      </c>
      <c r="B7" s="23">
        <v>278</v>
      </c>
      <c r="C7" s="23">
        <v>51</v>
      </c>
      <c r="D7" s="23">
        <v>286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</row>
    <row r="8" spans="1:13" x14ac:dyDescent="0.25">
      <c r="A8" s="22" t="s">
        <v>90</v>
      </c>
      <c r="B8" s="23">
        <v>661</v>
      </c>
      <c r="C8" s="24">
        <v>-2878</v>
      </c>
      <c r="D8" s="23">
        <v>31</v>
      </c>
      <c r="E8" s="23">
        <v>351</v>
      </c>
      <c r="F8" s="24">
        <v>-1013</v>
      </c>
      <c r="G8" s="24">
        <v>-1776</v>
      </c>
      <c r="H8" s="24">
        <v>-1043</v>
      </c>
      <c r="I8" s="24">
        <v>-1746</v>
      </c>
      <c r="J8" s="23">
        <v>221</v>
      </c>
      <c r="K8" s="24">
        <v>-2800</v>
      </c>
      <c r="L8" s="24">
        <v>-2881</v>
      </c>
      <c r="M8" s="24">
        <v>-2942</v>
      </c>
    </row>
    <row r="9" spans="1:13" x14ac:dyDescent="0.25">
      <c r="A9" s="21" t="s">
        <v>91</v>
      </c>
      <c r="B9" s="25">
        <v>589</v>
      </c>
      <c r="C9" s="20">
        <v>-3520</v>
      </c>
      <c r="D9" s="25">
        <v>-202</v>
      </c>
      <c r="E9" s="25">
        <v>491</v>
      </c>
      <c r="F9" s="20">
        <v>-3869</v>
      </c>
      <c r="G9" s="20">
        <v>-1101</v>
      </c>
      <c r="H9" s="20">
        <v>-1581</v>
      </c>
      <c r="I9" s="20">
        <v>1639</v>
      </c>
      <c r="J9" s="20">
        <v>1264</v>
      </c>
      <c r="K9" s="20">
        <v>-7264</v>
      </c>
      <c r="L9" s="20">
        <v>3105</v>
      </c>
      <c r="M9" s="20">
        <v>-13615</v>
      </c>
    </row>
    <row r="10" spans="1:13" x14ac:dyDescent="0.25">
      <c r="A10" s="22" t="s">
        <v>92</v>
      </c>
      <c r="B10" s="23">
        <v>-511</v>
      </c>
      <c r="C10" s="23">
        <v>-404</v>
      </c>
      <c r="D10" s="23">
        <v>-773</v>
      </c>
      <c r="E10" s="23">
        <v>-207</v>
      </c>
      <c r="F10" s="23">
        <v>-237</v>
      </c>
      <c r="G10" s="24">
        <v>-1440</v>
      </c>
      <c r="H10" s="24">
        <v>-2630</v>
      </c>
      <c r="I10" s="24">
        <v>-1155</v>
      </c>
      <c r="J10" s="24">
        <v>-1930</v>
      </c>
      <c r="K10" s="24">
        <v>-5379</v>
      </c>
      <c r="L10" s="23">
        <v>-638</v>
      </c>
      <c r="M10" s="24">
        <v>-2779</v>
      </c>
    </row>
    <row r="11" spans="1:13" x14ac:dyDescent="0.25">
      <c r="A11" s="19" t="s">
        <v>93</v>
      </c>
      <c r="B11" s="20">
        <v>-5433</v>
      </c>
      <c r="C11" s="20">
        <v>-5618</v>
      </c>
      <c r="D11" s="20">
        <v>-7372</v>
      </c>
      <c r="E11" s="20">
        <v>-3857</v>
      </c>
      <c r="F11" s="20">
        <v>-5094</v>
      </c>
      <c r="G11" s="20">
        <v>-4529</v>
      </c>
      <c r="H11" s="20">
        <v>-11387</v>
      </c>
      <c r="I11" s="20">
        <v>-19589</v>
      </c>
      <c r="J11" s="20">
        <v>-7702</v>
      </c>
      <c r="K11" s="20">
        <v>-14748</v>
      </c>
      <c r="L11" s="20">
        <v>-10730</v>
      </c>
      <c r="M11" s="20">
        <v>-14467</v>
      </c>
    </row>
    <row r="12" spans="1:13" x14ac:dyDescent="0.25">
      <c r="A12" s="22" t="s">
        <v>94</v>
      </c>
      <c r="B12" s="24">
        <v>-5630</v>
      </c>
      <c r="C12" s="24">
        <v>-5763</v>
      </c>
      <c r="D12" s="24">
        <v>-6721</v>
      </c>
      <c r="E12" s="24">
        <v>-5166</v>
      </c>
      <c r="F12" s="24">
        <v>-4435</v>
      </c>
      <c r="G12" s="24">
        <v>-4736</v>
      </c>
      <c r="H12" s="24">
        <v>-10206</v>
      </c>
      <c r="I12" s="24">
        <v>-12810</v>
      </c>
      <c r="J12" s="24">
        <v>-9258</v>
      </c>
      <c r="K12" s="24">
        <v>-10091</v>
      </c>
      <c r="L12" s="24">
        <v>-14784</v>
      </c>
      <c r="M12" s="24">
        <v>-15801</v>
      </c>
    </row>
    <row r="13" spans="1:13" x14ac:dyDescent="0.25">
      <c r="A13" s="22" t="s">
        <v>95</v>
      </c>
      <c r="B13" s="23">
        <v>12</v>
      </c>
      <c r="C13" s="23">
        <v>19</v>
      </c>
      <c r="D13" s="23">
        <v>207</v>
      </c>
      <c r="E13" s="23">
        <v>4</v>
      </c>
      <c r="F13" s="23">
        <v>45</v>
      </c>
      <c r="G13" s="23">
        <v>60</v>
      </c>
      <c r="H13" s="23">
        <v>44</v>
      </c>
      <c r="I13" s="23">
        <v>43</v>
      </c>
      <c r="J13" s="23">
        <v>51</v>
      </c>
      <c r="K13" s="23">
        <v>43</v>
      </c>
      <c r="L13" s="23">
        <v>35</v>
      </c>
      <c r="M13" s="23">
        <v>254</v>
      </c>
    </row>
    <row r="14" spans="1:13" x14ac:dyDescent="0.25">
      <c r="A14" s="22" t="s">
        <v>96</v>
      </c>
      <c r="B14" s="23">
        <v>0</v>
      </c>
      <c r="C14" s="23">
        <v>-75</v>
      </c>
      <c r="D14" s="23">
        <v>0</v>
      </c>
      <c r="E14" s="23">
        <v>0</v>
      </c>
      <c r="F14" s="24">
        <v>-2784</v>
      </c>
      <c r="G14" s="24">
        <v>-8111</v>
      </c>
      <c r="H14" s="24">
        <v>-8340</v>
      </c>
      <c r="I14" s="23">
        <v>-762</v>
      </c>
      <c r="J14" s="23">
        <v>-606</v>
      </c>
      <c r="K14" s="24">
        <v>-4440</v>
      </c>
      <c r="L14" s="23">
        <v>0</v>
      </c>
      <c r="M14" s="24">
        <v>-3584</v>
      </c>
    </row>
    <row r="15" spans="1:13" x14ac:dyDescent="0.25">
      <c r="A15" s="22" t="s">
        <v>97</v>
      </c>
      <c r="B15" s="23">
        <v>134</v>
      </c>
      <c r="C15" s="23">
        <v>93</v>
      </c>
      <c r="D15" s="23">
        <v>70</v>
      </c>
      <c r="E15" s="23">
        <v>0</v>
      </c>
      <c r="F15" s="24">
        <v>2490</v>
      </c>
      <c r="G15" s="24">
        <v>8120</v>
      </c>
      <c r="H15" s="24">
        <v>8591</v>
      </c>
      <c r="I15" s="23">
        <v>847</v>
      </c>
      <c r="J15" s="23">
        <v>612</v>
      </c>
      <c r="K15" s="24">
        <v>4153</v>
      </c>
      <c r="L15" s="23">
        <v>5</v>
      </c>
      <c r="M15" s="24">
        <v>3635</v>
      </c>
    </row>
    <row r="16" spans="1:13" x14ac:dyDescent="0.25">
      <c r="A16" s="22" t="s">
        <v>98</v>
      </c>
      <c r="B16" s="23">
        <v>49</v>
      </c>
      <c r="C16" s="23">
        <v>34</v>
      </c>
      <c r="D16" s="23">
        <v>26</v>
      </c>
      <c r="E16" s="23">
        <v>41</v>
      </c>
      <c r="F16" s="23">
        <v>98</v>
      </c>
      <c r="G16" s="23">
        <v>121</v>
      </c>
      <c r="H16" s="23">
        <v>158</v>
      </c>
      <c r="I16" s="23">
        <v>503</v>
      </c>
      <c r="J16" s="23">
        <v>619</v>
      </c>
      <c r="K16" s="23">
        <v>591</v>
      </c>
      <c r="L16" s="23">
        <v>600</v>
      </c>
      <c r="M16" s="23">
        <v>899</v>
      </c>
    </row>
    <row r="17" spans="1:13" x14ac:dyDescent="0.25">
      <c r="A17" s="22" t="s">
        <v>99</v>
      </c>
      <c r="B17" s="23">
        <v>4</v>
      </c>
      <c r="C17" s="23">
        <v>22</v>
      </c>
      <c r="D17" s="23">
        <v>21</v>
      </c>
      <c r="E17" s="23">
        <v>20</v>
      </c>
      <c r="F17" s="23">
        <v>20</v>
      </c>
      <c r="G17" s="23">
        <v>5</v>
      </c>
      <c r="H17" s="23">
        <v>0</v>
      </c>
      <c r="I17" s="23">
        <v>10</v>
      </c>
      <c r="J17" s="23">
        <v>11</v>
      </c>
      <c r="K17" s="23">
        <v>25</v>
      </c>
      <c r="L17" s="23">
        <v>21</v>
      </c>
      <c r="M17" s="23">
        <v>21</v>
      </c>
    </row>
    <row r="18" spans="1:13" x14ac:dyDescent="0.25">
      <c r="A18" s="22" t="s">
        <v>100</v>
      </c>
      <c r="B18" s="23">
        <v>-3</v>
      </c>
      <c r="C18" s="23">
        <v>-1</v>
      </c>
      <c r="D18" s="23">
        <v>-40</v>
      </c>
      <c r="E18" s="23">
        <v>-9</v>
      </c>
      <c r="F18" s="23">
        <v>-37</v>
      </c>
      <c r="G18" s="23">
        <v>-46</v>
      </c>
      <c r="H18" s="23">
        <v>-413</v>
      </c>
      <c r="I18" s="23">
        <v>0</v>
      </c>
      <c r="J18" s="24">
        <v>-5087</v>
      </c>
      <c r="K18" s="23">
        <v>-364</v>
      </c>
      <c r="L18" s="23">
        <v>-244</v>
      </c>
      <c r="M18" s="23">
        <v>-396</v>
      </c>
    </row>
    <row r="19" spans="1:13" x14ac:dyDescent="0.25">
      <c r="A19" s="22" t="s">
        <v>101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164</v>
      </c>
      <c r="J19" s="23">
        <v>0</v>
      </c>
      <c r="K19" s="23">
        <v>0</v>
      </c>
      <c r="L19" s="23">
        <v>0</v>
      </c>
      <c r="M19" s="23">
        <v>0</v>
      </c>
    </row>
    <row r="20" spans="1:13" x14ac:dyDescent="0.25">
      <c r="A20" s="22" t="s">
        <v>102</v>
      </c>
      <c r="B20" s="23">
        <v>0</v>
      </c>
      <c r="C20" s="23">
        <v>0</v>
      </c>
      <c r="D20" s="23">
        <v>0</v>
      </c>
      <c r="E20" s="23">
        <v>0</v>
      </c>
      <c r="F20" s="23">
        <v>-110</v>
      </c>
      <c r="G20" s="23">
        <v>-315</v>
      </c>
      <c r="H20" s="24">
        <v>-1014</v>
      </c>
      <c r="I20" s="23">
        <v>-64</v>
      </c>
      <c r="J20" s="24">
        <v>-1575</v>
      </c>
      <c r="K20" s="23">
        <v>-20</v>
      </c>
      <c r="L20" s="23">
        <v>0</v>
      </c>
      <c r="M20" s="23">
        <v>-630</v>
      </c>
    </row>
    <row r="21" spans="1:13" x14ac:dyDescent="0.25">
      <c r="A21" s="22" t="s">
        <v>103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-293</v>
      </c>
      <c r="K21" s="23">
        <v>-149</v>
      </c>
      <c r="L21" s="23">
        <v>0</v>
      </c>
      <c r="M21" s="23">
        <v>0</v>
      </c>
    </row>
    <row r="22" spans="1:13" x14ac:dyDescent="0.25">
      <c r="A22" s="22" t="s">
        <v>104</v>
      </c>
      <c r="B22" s="23">
        <v>0</v>
      </c>
      <c r="C22" s="23">
        <v>53</v>
      </c>
      <c r="D22" s="23">
        <v>-936</v>
      </c>
      <c r="E22" s="24">
        <v>1252</v>
      </c>
      <c r="F22" s="23">
        <v>-381</v>
      </c>
      <c r="G22" s="23">
        <v>373</v>
      </c>
      <c r="H22" s="23">
        <v>-207</v>
      </c>
      <c r="I22" s="24">
        <v>-7520</v>
      </c>
      <c r="J22" s="24">
        <v>7824</v>
      </c>
      <c r="K22" s="24">
        <v>-4496</v>
      </c>
      <c r="L22" s="24">
        <v>3637</v>
      </c>
      <c r="M22" s="24">
        <v>1135</v>
      </c>
    </row>
    <row r="23" spans="1:13" x14ac:dyDescent="0.25">
      <c r="A23" s="19" t="s">
        <v>105</v>
      </c>
      <c r="B23" s="25">
        <v>-791</v>
      </c>
      <c r="C23" s="20">
        <v>3300</v>
      </c>
      <c r="D23" s="25">
        <v>-169</v>
      </c>
      <c r="E23" s="20">
        <v>-3151</v>
      </c>
      <c r="F23" s="20">
        <v>-2710</v>
      </c>
      <c r="G23" s="20">
        <v>-8185</v>
      </c>
      <c r="H23" s="20">
        <v>1753</v>
      </c>
      <c r="I23" s="20">
        <v>5189</v>
      </c>
      <c r="J23" s="20">
        <v>-3110</v>
      </c>
      <c r="K23" s="20">
        <v>-14657</v>
      </c>
      <c r="L23" s="20">
        <v>-5977</v>
      </c>
      <c r="M23" s="20">
        <v>-5005</v>
      </c>
    </row>
    <row r="24" spans="1:13" x14ac:dyDescent="0.25">
      <c r="A24" s="22" t="s">
        <v>106</v>
      </c>
      <c r="B24" s="23">
        <v>0</v>
      </c>
      <c r="C24" s="23">
        <v>0</v>
      </c>
      <c r="D24" s="23">
        <v>0</v>
      </c>
      <c r="E24" s="23">
        <v>0</v>
      </c>
      <c r="F24" s="23">
        <v>57</v>
      </c>
      <c r="G24" s="23">
        <v>49</v>
      </c>
      <c r="H24" s="23">
        <v>0</v>
      </c>
      <c r="I24" s="23">
        <v>107</v>
      </c>
      <c r="J24" s="23">
        <v>39</v>
      </c>
      <c r="K24" s="23">
        <v>72</v>
      </c>
      <c r="L24" s="23">
        <v>59</v>
      </c>
      <c r="M24" s="23">
        <v>6</v>
      </c>
    </row>
    <row r="25" spans="1:13" x14ac:dyDescent="0.25">
      <c r="A25" s="22" t="s">
        <v>107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-572</v>
      </c>
      <c r="J25" s="23">
        <v>0</v>
      </c>
      <c r="K25" s="23">
        <v>0</v>
      </c>
      <c r="L25" s="23">
        <v>0</v>
      </c>
      <c r="M25" s="23">
        <v>0</v>
      </c>
    </row>
    <row r="26" spans="1:13" x14ac:dyDescent="0.25">
      <c r="A26" s="22" t="s">
        <v>108</v>
      </c>
      <c r="B26" s="24">
        <v>6980</v>
      </c>
      <c r="C26" s="24">
        <v>11271</v>
      </c>
      <c r="D26" s="24">
        <v>10216</v>
      </c>
      <c r="E26" s="24">
        <v>1197</v>
      </c>
      <c r="F26" s="24">
        <v>7101</v>
      </c>
      <c r="G26" s="24">
        <v>6209</v>
      </c>
      <c r="H26" s="24">
        <v>13154</v>
      </c>
      <c r="I26" s="24">
        <v>22754</v>
      </c>
      <c r="J26" s="24">
        <v>15897</v>
      </c>
      <c r="K26" s="24">
        <v>17043</v>
      </c>
      <c r="L26" s="24">
        <v>19742</v>
      </c>
      <c r="M26" s="24">
        <v>20858</v>
      </c>
    </row>
    <row r="27" spans="1:13" x14ac:dyDescent="0.25">
      <c r="A27" s="22" t="s">
        <v>109</v>
      </c>
      <c r="B27" s="24">
        <v>-6026</v>
      </c>
      <c r="C27" s="24">
        <v>-5242</v>
      </c>
      <c r="D27" s="24">
        <v>-7479</v>
      </c>
      <c r="E27" s="23">
        <v>0</v>
      </c>
      <c r="F27" s="24">
        <v>-5890</v>
      </c>
      <c r="G27" s="24">
        <v>-10001</v>
      </c>
      <c r="H27" s="24">
        <v>-6273</v>
      </c>
      <c r="I27" s="24">
        <v>-11107</v>
      </c>
      <c r="J27" s="24">
        <v>-13888</v>
      </c>
      <c r="K27" s="24">
        <v>-24091</v>
      </c>
      <c r="L27" s="24">
        <v>-14158</v>
      </c>
      <c r="M27" s="24">
        <v>-16328</v>
      </c>
    </row>
    <row r="28" spans="1:13" x14ac:dyDescent="0.25">
      <c r="A28" s="22" t="s">
        <v>110</v>
      </c>
      <c r="B28" s="24">
        <v>-1519</v>
      </c>
      <c r="C28" s="24">
        <v>-2413</v>
      </c>
      <c r="D28" s="24">
        <v>-2563</v>
      </c>
      <c r="E28" s="24">
        <v>-3125</v>
      </c>
      <c r="F28" s="24">
        <v>-3569</v>
      </c>
      <c r="G28" s="24">
        <v>-3511</v>
      </c>
      <c r="H28" s="24">
        <v>-3815</v>
      </c>
      <c r="I28" s="24">
        <v>-4520</v>
      </c>
      <c r="J28" s="24">
        <v>-4340</v>
      </c>
      <c r="K28" s="24">
        <v>-5102</v>
      </c>
      <c r="L28" s="24">
        <v>-6902</v>
      </c>
      <c r="M28" s="24">
        <v>-8087</v>
      </c>
    </row>
    <row r="29" spans="1:13" x14ac:dyDescent="0.25">
      <c r="A29" s="22" t="s">
        <v>111</v>
      </c>
      <c r="B29" s="23">
        <v>-227</v>
      </c>
      <c r="C29" s="23">
        <v>-315</v>
      </c>
      <c r="D29" s="23">
        <v>-344</v>
      </c>
      <c r="E29" s="23">
        <v>-320</v>
      </c>
      <c r="F29" s="23">
        <v>-218</v>
      </c>
      <c r="G29" s="23">
        <v>-655</v>
      </c>
      <c r="H29" s="23">
        <v>-933</v>
      </c>
      <c r="I29" s="24">
        <v>-1195</v>
      </c>
      <c r="J29" s="23">
        <v>-483</v>
      </c>
      <c r="K29" s="24">
        <v>-1571</v>
      </c>
      <c r="L29" s="24">
        <v>-4194</v>
      </c>
      <c r="M29" s="23">
        <v>-822</v>
      </c>
    </row>
    <row r="30" spans="1:13" x14ac:dyDescent="0.25">
      <c r="A30" s="22" t="s">
        <v>112</v>
      </c>
      <c r="B30" s="23">
        <v>0</v>
      </c>
      <c r="C30" s="23">
        <v>0</v>
      </c>
      <c r="D30" s="23">
        <v>0</v>
      </c>
      <c r="E30" s="23">
        <v>-187</v>
      </c>
      <c r="F30" s="23">
        <v>-186</v>
      </c>
      <c r="G30" s="23">
        <v>-200</v>
      </c>
      <c r="H30" s="23">
        <v>-227</v>
      </c>
      <c r="I30" s="23">
        <v>-177</v>
      </c>
      <c r="J30" s="23">
        <v>-335</v>
      </c>
      <c r="K30" s="23">
        <v>-417</v>
      </c>
      <c r="L30" s="23">
        <v>-524</v>
      </c>
      <c r="M30" s="23">
        <v>-632</v>
      </c>
    </row>
    <row r="31" spans="1:13" x14ac:dyDescent="0.25">
      <c r="A31" s="22" t="s">
        <v>113</v>
      </c>
      <c r="B31" s="23">
        <v>0</v>
      </c>
      <c r="C31" s="23">
        <v>0</v>
      </c>
      <c r="D31" s="23">
        <v>0</v>
      </c>
      <c r="E31" s="23">
        <v>-715</v>
      </c>
      <c r="F31" s="23">
        <v>-5</v>
      </c>
      <c r="G31" s="23">
        <v>-76</v>
      </c>
      <c r="H31" s="23">
        <v>-153</v>
      </c>
      <c r="I31" s="23">
        <v>-101</v>
      </c>
      <c r="J31" s="23">
        <v>0</v>
      </c>
      <c r="K31" s="23">
        <v>-591</v>
      </c>
      <c r="L31" s="23">
        <v>0</v>
      </c>
      <c r="M31" s="23">
        <v>0</v>
      </c>
    </row>
    <row r="32" spans="1:13" x14ac:dyDescent="0.25">
      <c r="A32" s="19" t="s">
        <v>20</v>
      </c>
      <c r="B32" s="25">
        <v>-380</v>
      </c>
      <c r="C32" s="25">
        <v>276</v>
      </c>
      <c r="D32" s="25">
        <v>334</v>
      </c>
      <c r="E32" s="25">
        <v>-111</v>
      </c>
      <c r="F32" s="25">
        <v>84</v>
      </c>
      <c r="G32" s="25">
        <v>-335</v>
      </c>
      <c r="H32" s="20">
        <v>4999</v>
      </c>
      <c r="I32" s="20">
        <v>-1615</v>
      </c>
      <c r="J32" s="20">
        <v>7977</v>
      </c>
      <c r="K32" s="20">
        <v>-3135</v>
      </c>
      <c r="L32" s="20">
        <v>6616</v>
      </c>
      <c r="M32" s="20">
        <v>-7394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S152"/>
  <sheetViews>
    <sheetView showGridLines="0" workbookViewId="0">
      <selection activeCell="O12" sqref="O12"/>
    </sheetView>
  </sheetViews>
  <sheetFormatPr defaultRowHeight="15" x14ac:dyDescent="0.25"/>
  <cols>
    <col min="1" max="1" width="1.85546875" customWidth="1"/>
    <col min="2" max="4" width="12.7109375" customWidth="1"/>
    <col min="6" max="8" width="12.7109375" customWidth="1"/>
    <col min="15" max="15" width="20.42578125" bestFit="1" customWidth="1"/>
  </cols>
  <sheetData>
    <row r="2" spans="2:15" ht="15" customHeight="1" x14ac:dyDescent="0.25">
      <c r="B2" s="184" t="str">
        <f>'Data Sheet'!B1</f>
        <v>JSW STEEL LTD</v>
      </c>
      <c r="C2" s="176"/>
      <c r="D2" s="176"/>
      <c r="F2" s="184" t="s">
        <v>170</v>
      </c>
      <c r="G2" s="176"/>
      <c r="H2" s="176"/>
    </row>
    <row r="3" spans="2:15" x14ac:dyDescent="0.25">
      <c r="N3" t="s">
        <v>173</v>
      </c>
      <c r="O3" s="66">
        <f>SLOPE(D6:D108,H6:H108)</f>
        <v>1.2946664379956851</v>
      </c>
    </row>
    <row r="4" spans="2:15" x14ac:dyDescent="0.25">
      <c r="B4" s="12" t="s">
        <v>167</v>
      </c>
      <c r="C4" s="12" t="s">
        <v>168</v>
      </c>
      <c r="D4" s="65" t="s">
        <v>169</v>
      </c>
      <c r="F4" s="12" t="s">
        <v>167</v>
      </c>
      <c r="G4" s="12" t="s">
        <v>168</v>
      </c>
      <c r="H4" s="65" t="s">
        <v>169</v>
      </c>
      <c r="N4" t="s">
        <v>174</v>
      </c>
      <c r="O4" s="66">
        <f>_xlfn.COVARIANCE.S(D6:D108,H6:H108)/_xlfn.VAR.S(H6:H108)</f>
        <v>1.2946664379956854</v>
      </c>
    </row>
    <row r="5" spans="2:15" x14ac:dyDescent="0.25">
      <c r="B5" s="64">
        <f>Data!A3</f>
        <v>45732</v>
      </c>
      <c r="C5" s="63">
        <f>Data!B3</f>
        <v>1050.25</v>
      </c>
      <c r="F5" s="62">
        <f>Data!I3</f>
        <v>45732</v>
      </c>
      <c r="G5" s="63">
        <f>Data!J3</f>
        <v>23190.65</v>
      </c>
      <c r="N5" t="s">
        <v>199</v>
      </c>
      <c r="O5" s="66">
        <f>L29</f>
        <v>1.2946664379956854</v>
      </c>
    </row>
    <row r="6" spans="2:15" x14ac:dyDescent="0.25">
      <c r="B6" s="64">
        <f>Data!A106</f>
        <v>45011</v>
      </c>
      <c r="C6" s="63">
        <f>Data!B106</f>
        <v>688.1</v>
      </c>
      <c r="D6" s="53">
        <f>C6/C5-1</f>
        <v>-0.34482266127112593</v>
      </c>
      <c r="F6" s="62">
        <f>Data!I106</f>
        <v>45011</v>
      </c>
      <c r="G6" s="63">
        <f>Data!J106</f>
        <v>17359.75</v>
      </c>
      <c r="H6" s="53">
        <f>G6/G5-1</f>
        <v>-0.25143322847785643</v>
      </c>
    </row>
    <row r="7" spans="2:15" x14ac:dyDescent="0.25">
      <c r="B7" s="64">
        <f>Data!A105</f>
        <v>45018</v>
      </c>
      <c r="C7" s="63">
        <f>Data!B105</f>
        <v>682.7</v>
      </c>
      <c r="D7" s="53">
        <f t="shared" ref="D7:D70" si="0">C7/C6-1</f>
        <v>-7.8476965557331413E-3</v>
      </c>
      <c r="F7" s="62">
        <f>Data!I105</f>
        <v>45018</v>
      </c>
      <c r="G7" s="63">
        <f>Data!J105</f>
        <v>17599.150000000001</v>
      </c>
      <c r="H7" s="53">
        <f t="shared" ref="H7:H70" si="1">G7/G6-1</f>
        <v>1.3790521176860304E-2</v>
      </c>
    </row>
    <row r="8" spans="2:15" x14ac:dyDescent="0.25">
      <c r="B8" s="64">
        <f>Data!A104</f>
        <v>45025</v>
      </c>
      <c r="C8" s="63">
        <f>Data!B104</f>
        <v>720.65</v>
      </c>
      <c r="D8" s="53">
        <f t="shared" si="0"/>
        <v>5.5588106049509145E-2</v>
      </c>
      <c r="F8" s="62">
        <f>Data!I104</f>
        <v>45025</v>
      </c>
      <c r="G8" s="63">
        <f>Data!J104</f>
        <v>17828</v>
      </c>
      <c r="H8" s="53">
        <f t="shared" si="1"/>
        <v>1.3003468917532901E-2</v>
      </c>
    </row>
    <row r="9" spans="2:15" x14ac:dyDescent="0.25">
      <c r="B9" s="64">
        <f>Data!A103</f>
        <v>45032</v>
      </c>
      <c r="C9" s="63">
        <f>Data!B103</f>
        <v>710.65</v>
      </c>
      <c r="D9" s="53">
        <f t="shared" si="0"/>
        <v>-1.3876361617983779E-2</v>
      </c>
      <c r="F9" s="62">
        <f>Data!I103</f>
        <v>45032</v>
      </c>
      <c r="G9" s="63">
        <f>Data!J103</f>
        <v>17624.05</v>
      </c>
      <c r="H9" s="53">
        <f t="shared" si="1"/>
        <v>-1.143986986762402E-2</v>
      </c>
    </row>
    <row r="10" spans="2:15" x14ac:dyDescent="0.25">
      <c r="B10" s="64">
        <f>Data!A102</f>
        <v>45039</v>
      </c>
      <c r="C10" s="63">
        <f>Data!B102</f>
        <v>725.3</v>
      </c>
      <c r="D10" s="53">
        <f t="shared" si="0"/>
        <v>2.0614929993667763E-2</v>
      </c>
      <c r="F10" s="62">
        <f>Data!I102</f>
        <v>45039</v>
      </c>
      <c r="G10" s="63">
        <f>Data!J102</f>
        <v>18065</v>
      </c>
      <c r="H10" s="53">
        <f t="shared" si="1"/>
        <v>2.5019788300645995E-2</v>
      </c>
    </row>
    <row r="11" spans="2:15" x14ac:dyDescent="0.25">
      <c r="B11" s="64">
        <f>Data!A101</f>
        <v>45046</v>
      </c>
      <c r="C11" s="63">
        <f>Data!B101</f>
        <v>733.35</v>
      </c>
      <c r="D11" s="53">
        <f t="shared" si="0"/>
        <v>1.1098855645939709E-2</v>
      </c>
      <c r="F11" s="62">
        <f>Data!I101</f>
        <v>45046</v>
      </c>
      <c r="G11" s="63">
        <f>Data!J101</f>
        <v>18069</v>
      </c>
      <c r="H11" s="53">
        <f t="shared" si="1"/>
        <v>2.2142264046509652E-4</v>
      </c>
    </row>
    <row r="12" spans="2:15" x14ac:dyDescent="0.25">
      <c r="B12" s="64">
        <f>Data!A100</f>
        <v>45053</v>
      </c>
      <c r="C12" s="63">
        <f>Data!B100</f>
        <v>702.65</v>
      </c>
      <c r="D12" s="53">
        <f t="shared" si="0"/>
        <v>-4.1862684938978711E-2</v>
      </c>
      <c r="F12" s="62">
        <f>Data!I100</f>
        <v>45053</v>
      </c>
      <c r="G12" s="63">
        <f>Data!J100</f>
        <v>18314.8</v>
      </c>
      <c r="H12" s="53">
        <f t="shared" si="1"/>
        <v>1.3603409153799317E-2</v>
      </c>
      <c r="K12" t="s">
        <v>175</v>
      </c>
    </row>
    <row r="13" spans="2:15" ht="15.75" thickBot="1" x14ac:dyDescent="0.3">
      <c r="B13" s="64">
        <f>Data!A99</f>
        <v>45060</v>
      </c>
      <c r="C13" s="63">
        <f>Data!B99</f>
        <v>693.85</v>
      </c>
      <c r="D13" s="53">
        <f t="shared" si="0"/>
        <v>-1.2524016224293666E-2</v>
      </c>
      <c r="F13" s="62">
        <f>Data!I99</f>
        <v>45060</v>
      </c>
      <c r="G13" s="63">
        <f>Data!J99</f>
        <v>18203.400000000001</v>
      </c>
      <c r="H13" s="53">
        <f t="shared" si="1"/>
        <v>-6.0825125035489647E-3</v>
      </c>
    </row>
    <row r="14" spans="2:15" x14ac:dyDescent="0.25">
      <c r="B14" s="64">
        <f>Data!A98</f>
        <v>45067</v>
      </c>
      <c r="C14" s="63">
        <f>Data!B98</f>
        <v>701.7</v>
      </c>
      <c r="D14" s="53">
        <f t="shared" si="0"/>
        <v>1.1313684513943878E-2</v>
      </c>
      <c r="F14" s="62">
        <f>Data!I98</f>
        <v>45067</v>
      </c>
      <c r="G14" s="63">
        <f>Data!J98</f>
        <v>18499.349999999999</v>
      </c>
      <c r="H14" s="53">
        <f t="shared" si="1"/>
        <v>1.6257951811200044E-2</v>
      </c>
      <c r="K14" s="69" t="s">
        <v>176</v>
      </c>
      <c r="L14" s="69"/>
    </row>
    <row r="15" spans="2:15" x14ac:dyDescent="0.25">
      <c r="B15" s="64">
        <f>Data!A97</f>
        <v>45074</v>
      </c>
      <c r="C15" s="63">
        <f>Data!B97</f>
        <v>706.6</v>
      </c>
      <c r="D15" s="53">
        <f t="shared" si="0"/>
        <v>6.9830411856919294E-3</v>
      </c>
      <c r="F15" s="62">
        <f>Data!I97</f>
        <v>45074</v>
      </c>
      <c r="G15" s="63">
        <f>Data!J97</f>
        <v>18534.099999999999</v>
      </c>
      <c r="H15" s="53">
        <f t="shared" si="1"/>
        <v>1.8784443777755122E-3</v>
      </c>
      <c r="K15" t="s">
        <v>177</v>
      </c>
      <c r="L15">
        <v>0.85283887170530748</v>
      </c>
    </row>
    <row r="16" spans="2:15" x14ac:dyDescent="0.25">
      <c r="B16" s="64">
        <f>Data!A96</f>
        <v>45081</v>
      </c>
      <c r="C16" s="63">
        <f>Data!B96</f>
        <v>748.5</v>
      </c>
      <c r="D16" s="53">
        <f t="shared" si="0"/>
        <v>5.9298046985564623E-2</v>
      </c>
      <c r="F16" s="62">
        <f>Data!I96</f>
        <v>45081</v>
      </c>
      <c r="G16" s="63">
        <f>Data!J96</f>
        <v>18563.400000000001</v>
      </c>
      <c r="H16" s="53">
        <f t="shared" si="1"/>
        <v>1.5808698561032841E-3</v>
      </c>
      <c r="K16" t="s">
        <v>178</v>
      </c>
      <c r="L16">
        <v>0.7273341410915819</v>
      </c>
    </row>
    <row r="17" spans="2:19" x14ac:dyDescent="0.25">
      <c r="B17" s="64">
        <f>Data!A95</f>
        <v>45088</v>
      </c>
      <c r="C17" s="63">
        <f>Data!B95</f>
        <v>776.1</v>
      </c>
      <c r="D17" s="53">
        <f t="shared" si="0"/>
        <v>3.6873747494990061E-2</v>
      </c>
      <c r="F17" s="62">
        <f>Data!I95</f>
        <v>45088</v>
      </c>
      <c r="G17" s="63">
        <f>Data!J95</f>
        <v>18826</v>
      </c>
      <c r="H17" s="53">
        <f t="shared" si="1"/>
        <v>1.4146115474535925E-2</v>
      </c>
      <c r="K17" t="s">
        <v>179</v>
      </c>
      <c r="L17">
        <v>0.72463447912219159</v>
      </c>
    </row>
    <row r="18" spans="2:19" x14ac:dyDescent="0.25">
      <c r="B18" s="64">
        <f>Data!A94</f>
        <v>45095</v>
      </c>
      <c r="C18" s="63">
        <f>Data!B94</f>
        <v>746.5</v>
      </c>
      <c r="D18" s="53">
        <f t="shared" si="0"/>
        <v>-3.8139415023837109E-2</v>
      </c>
      <c r="F18" s="62">
        <f>Data!I94</f>
        <v>45095</v>
      </c>
      <c r="G18" s="63">
        <f>Data!J94</f>
        <v>18665.5</v>
      </c>
      <c r="H18" s="53">
        <f t="shared" si="1"/>
        <v>-8.5254435355359703E-3</v>
      </c>
      <c r="K18" t="s">
        <v>180</v>
      </c>
      <c r="L18">
        <v>2.3553699132363624E-2</v>
      </c>
    </row>
    <row r="19" spans="2:19" ht="15.75" thickBot="1" x14ac:dyDescent="0.3">
      <c r="B19" s="64">
        <f>Data!A93</f>
        <v>45102</v>
      </c>
      <c r="C19" s="63">
        <f>Data!B93</f>
        <v>784.8</v>
      </c>
      <c r="D19" s="53">
        <f t="shared" si="0"/>
        <v>5.1306095110515759E-2</v>
      </c>
      <c r="F19" s="62">
        <f>Data!I93</f>
        <v>45102</v>
      </c>
      <c r="G19" s="63">
        <f>Data!J93</f>
        <v>19189.05</v>
      </c>
      <c r="H19" s="53">
        <f t="shared" si="1"/>
        <v>2.8049074495727355E-2</v>
      </c>
      <c r="K19" s="67" t="s">
        <v>181</v>
      </c>
      <c r="L19" s="67">
        <v>103</v>
      </c>
    </row>
    <row r="20" spans="2:19" x14ac:dyDescent="0.25">
      <c r="B20" s="64">
        <f>Data!A92</f>
        <v>45109</v>
      </c>
      <c r="C20" s="63">
        <f>Data!B92</f>
        <v>788.4</v>
      </c>
      <c r="D20" s="53">
        <f t="shared" si="0"/>
        <v>4.5871559633028358E-3</v>
      </c>
      <c r="F20" s="62">
        <f>Data!I92</f>
        <v>45109</v>
      </c>
      <c r="G20" s="63">
        <f>Data!J92</f>
        <v>19331.8</v>
      </c>
      <c r="H20" s="53">
        <f t="shared" si="1"/>
        <v>7.4391384669902916E-3</v>
      </c>
    </row>
    <row r="21" spans="2:19" ht="15.75" thickBot="1" x14ac:dyDescent="0.3">
      <c r="B21" s="64">
        <f>Data!A91</f>
        <v>45116</v>
      </c>
      <c r="C21" s="63">
        <f>Data!B91</f>
        <v>804.85</v>
      </c>
      <c r="D21" s="53">
        <f t="shared" si="0"/>
        <v>2.0865043125317229E-2</v>
      </c>
      <c r="F21" s="62">
        <f>Data!I91</f>
        <v>45116</v>
      </c>
      <c r="G21" s="63">
        <f>Data!J91</f>
        <v>19564.5</v>
      </c>
      <c r="H21" s="53">
        <f t="shared" si="1"/>
        <v>1.2037161567986399E-2</v>
      </c>
      <c r="K21" t="s">
        <v>182</v>
      </c>
    </row>
    <row r="22" spans="2:19" x14ac:dyDescent="0.25">
      <c r="B22" s="64">
        <f>Data!A90</f>
        <v>45123</v>
      </c>
      <c r="C22" s="63">
        <f>Data!B90</f>
        <v>786.45</v>
      </c>
      <c r="D22" s="53">
        <f t="shared" si="0"/>
        <v>-2.2861402745853243E-2</v>
      </c>
      <c r="F22" s="62">
        <f>Data!I90</f>
        <v>45123</v>
      </c>
      <c r="G22" s="63">
        <f>Data!J90</f>
        <v>19745</v>
      </c>
      <c r="H22" s="53">
        <f t="shared" si="1"/>
        <v>9.225893838329613E-3</v>
      </c>
      <c r="K22" s="68"/>
      <c r="L22" s="68" t="s">
        <v>186</v>
      </c>
      <c r="M22" s="68" t="s">
        <v>187</v>
      </c>
      <c r="N22" s="68" t="s">
        <v>188</v>
      </c>
      <c r="O22" s="68" t="s">
        <v>189</v>
      </c>
      <c r="P22" s="68" t="s">
        <v>190</v>
      </c>
    </row>
    <row r="23" spans="2:19" x14ac:dyDescent="0.25">
      <c r="B23" s="64">
        <f>Data!A89</f>
        <v>45130</v>
      </c>
      <c r="C23" s="63">
        <f>Data!B89</f>
        <v>804.15</v>
      </c>
      <c r="D23" s="53">
        <f t="shared" si="0"/>
        <v>2.250619874117854E-2</v>
      </c>
      <c r="F23" s="62">
        <f>Data!I89</f>
        <v>45130</v>
      </c>
      <c r="G23" s="63">
        <f>Data!J89</f>
        <v>19646.05</v>
      </c>
      <c r="H23" s="53">
        <f t="shared" si="1"/>
        <v>-5.0113952899468739E-3</v>
      </c>
      <c r="K23" t="s">
        <v>183</v>
      </c>
      <c r="L23">
        <v>1</v>
      </c>
      <c r="M23">
        <v>0.14946614439517425</v>
      </c>
      <c r="N23">
        <v>0.14946614439517425</v>
      </c>
      <c r="O23">
        <v>269.41674525861146</v>
      </c>
      <c r="P23">
        <v>2.9216222089617977E-30</v>
      </c>
    </row>
    <row r="24" spans="2:19" x14ac:dyDescent="0.25">
      <c r="B24" s="64">
        <f>Data!A88</f>
        <v>45137</v>
      </c>
      <c r="C24" s="63">
        <f>Data!B88</f>
        <v>805.95</v>
      </c>
      <c r="D24" s="53">
        <f t="shared" si="0"/>
        <v>2.2383883603807053E-3</v>
      </c>
      <c r="F24" s="62">
        <f>Data!I88</f>
        <v>45137</v>
      </c>
      <c r="G24" s="63">
        <f>Data!J88</f>
        <v>19517</v>
      </c>
      <c r="H24" s="53">
        <f t="shared" si="1"/>
        <v>-6.568750461288575E-3</v>
      </c>
      <c r="K24" t="s">
        <v>184</v>
      </c>
      <c r="L24">
        <v>101</v>
      </c>
      <c r="M24">
        <v>5.6032451024608611E-2</v>
      </c>
      <c r="N24">
        <v>5.54776742817907E-4</v>
      </c>
    </row>
    <row r="25" spans="2:19" ht="15.75" thickBot="1" x14ac:dyDescent="0.3">
      <c r="B25" s="64">
        <f>Data!A87</f>
        <v>45144</v>
      </c>
      <c r="C25" s="63">
        <f>Data!B87</f>
        <v>820.65</v>
      </c>
      <c r="D25" s="53">
        <f t="shared" si="0"/>
        <v>1.8239344872510665E-2</v>
      </c>
      <c r="F25" s="62">
        <f>Data!I87</f>
        <v>45144</v>
      </c>
      <c r="G25" s="63">
        <f>Data!J87</f>
        <v>19428.3</v>
      </c>
      <c r="H25" s="53">
        <f t="shared" si="1"/>
        <v>-4.5447558538710409E-3</v>
      </c>
      <c r="K25" s="67" t="s">
        <v>12</v>
      </c>
      <c r="L25" s="67">
        <v>102</v>
      </c>
      <c r="M25" s="67">
        <v>0.20549859541978285</v>
      </c>
      <c r="N25" s="67"/>
      <c r="O25" s="67"/>
      <c r="P25" s="67"/>
    </row>
    <row r="26" spans="2:19" ht="15.75" thickBot="1" x14ac:dyDescent="0.3">
      <c r="B26" s="64">
        <f>Data!A86</f>
        <v>45151</v>
      </c>
      <c r="C26" s="63">
        <f>Data!B86</f>
        <v>787.1</v>
      </c>
      <c r="D26" s="53">
        <f t="shared" si="0"/>
        <v>-4.0882227502589408E-2</v>
      </c>
      <c r="F26" s="62">
        <f>Data!I86</f>
        <v>45151</v>
      </c>
      <c r="G26" s="63">
        <f>Data!J86</f>
        <v>19310.150000000001</v>
      </c>
      <c r="H26" s="53">
        <f t="shared" si="1"/>
        <v>-6.0813349598265454E-3</v>
      </c>
    </row>
    <row r="27" spans="2:19" x14ac:dyDescent="0.25">
      <c r="B27" s="64">
        <f>Data!A85</f>
        <v>45158</v>
      </c>
      <c r="C27" s="63">
        <f>Data!B85</f>
        <v>773.15</v>
      </c>
      <c r="D27" s="53">
        <f t="shared" si="0"/>
        <v>-1.7723288019311445E-2</v>
      </c>
      <c r="F27" s="62">
        <f>Data!I85</f>
        <v>45158</v>
      </c>
      <c r="G27" s="63">
        <f>Data!J85</f>
        <v>19265.8</v>
      </c>
      <c r="H27" s="53">
        <f t="shared" si="1"/>
        <v>-2.2967196008317758E-3</v>
      </c>
      <c r="K27" s="68"/>
      <c r="L27" s="68" t="s">
        <v>191</v>
      </c>
      <c r="M27" s="68" t="s">
        <v>180</v>
      </c>
      <c r="N27" s="68" t="s">
        <v>192</v>
      </c>
      <c r="O27" s="68" t="s">
        <v>193</v>
      </c>
      <c r="P27" s="68" t="s">
        <v>194</v>
      </c>
      <c r="Q27" s="68" t="s">
        <v>195</v>
      </c>
      <c r="R27" s="68" t="s">
        <v>196</v>
      </c>
      <c r="S27" s="68" t="s">
        <v>197</v>
      </c>
    </row>
    <row r="28" spans="2:19" x14ac:dyDescent="0.25">
      <c r="B28" s="64">
        <f>Data!A84</f>
        <v>45165</v>
      </c>
      <c r="C28" s="63">
        <f>Data!B84</f>
        <v>806.4</v>
      </c>
      <c r="D28" s="53">
        <f t="shared" si="0"/>
        <v>4.3005885015844347E-2</v>
      </c>
      <c r="F28" s="62">
        <f>Data!I84</f>
        <v>45165</v>
      </c>
      <c r="G28" s="63">
        <f>Data!J84</f>
        <v>19435.3</v>
      </c>
      <c r="H28" s="53">
        <f t="shared" si="1"/>
        <v>8.7979736112697715E-3</v>
      </c>
      <c r="K28" t="s">
        <v>185</v>
      </c>
      <c r="L28">
        <v>5.084256488680427E-4</v>
      </c>
      <c r="M28">
        <v>2.3208487341257853E-3</v>
      </c>
      <c r="N28">
        <v>0.21906884382086017</v>
      </c>
      <c r="O28">
        <v>0.82703851208806167</v>
      </c>
      <c r="P28">
        <v>-4.095513938187547E-3</v>
      </c>
      <c r="Q28">
        <v>5.112365235923632E-3</v>
      </c>
      <c r="R28">
        <v>-4.095513938187547E-3</v>
      </c>
      <c r="S28">
        <v>5.112365235923632E-3</v>
      </c>
    </row>
    <row r="29" spans="2:19" ht="15.75" thickBot="1" x14ac:dyDescent="0.3">
      <c r="B29" s="64">
        <f>Data!A83</f>
        <v>45172</v>
      </c>
      <c r="C29" s="63">
        <f>Data!B83</f>
        <v>815.75</v>
      </c>
      <c r="D29" s="53">
        <f t="shared" si="0"/>
        <v>1.1594742063492092E-2</v>
      </c>
      <c r="F29" s="62">
        <f>Data!I83</f>
        <v>45172</v>
      </c>
      <c r="G29" s="63">
        <f>Data!J83</f>
        <v>19819.95</v>
      </c>
      <c r="H29" s="53">
        <f t="shared" si="1"/>
        <v>1.9791307569216876E-2</v>
      </c>
      <c r="K29" s="67" t="s">
        <v>198</v>
      </c>
      <c r="L29" s="67">
        <v>1.2946664379956854</v>
      </c>
      <c r="M29" s="67">
        <v>7.8876130557542459E-2</v>
      </c>
      <c r="N29" s="67">
        <v>16.41391925344497</v>
      </c>
      <c r="O29" s="67">
        <v>2.9216222089617977E-30</v>
      </c>
      <c r="P29" s="67">
        <v>1.1381974124155145</v>
      </c>
      <c r="Q29" s="67">
        <v>1.4511354635758562</v>
      </c>
      <c r="R29" s="67">
        <v>1.1381974124155145</v>
      </c>
      <c r="S29" s="67">
        <v>1.4511354635758562</v>
      </c>
    </row>
    <row r="30" spans="2:19" x14ac:dyDescent="0.25">
      <c r="B30" s="64">
        <f>Data!A82</f>
        <v>45179</v>
      </c>
      <c r="C30" s="63">
        <f>Data!B82</f>
        <v>812.85</v>
      </c>
      <c r="D30" s="53">
        <f t="shared" si="0"/>
        <v>-3.5550107263254693E-3</v>
      </c>
      <c r="F30" s="62">
        <f>Data!I82</f>
        <v>45179</v>
      </c>
      <c r="G30" s="63">
        <f>Data!J82</f>
        <v>20192.349999999999</v>
      </c>
      <c r="H30" s="53">
        <f t="shared" si="1"/>
        <v>1.8789149316723597E-2</v>
      </c>
    </row>
    <row r="31" spans="2:19" x14ac:dyDescent="0.25">
      <c r="B31" s="64">
        <f>Data!A81</f>
        <v>45186</v>
      </c>
      <c r="C31" s="63">
        <f>Data!B81</f>
        <v>774.05</v>
      </c>
      <c r="D31" s="53">
        <f t="shared" si="0"/>
        <v>-4.773328412376221E-2</v>
      </c>
      <c r="F31" s="62">
        <f>Data!I81</f>
        <v>45186</v>
      </c>
      <c r="G31" s="63">
        <f>Data!J81</f>
        <v>19674.25</v>
      </c>
      <c r="H31" s="53">
        <f t="shared" si="1"/>
        <v>-2.5658231954180599E-2</v>
      </c>
    </row>
    <row r="32" spans="2:19" x14ac:dyDescent="0.25">
      <c r="B32" s="64">
        <f>Data!A80</f>
        <v>45193</v>
      </c>
      <c r="C32" s="63">
        <f>Data!B80</f>
        <v>779.6</v>
      </c>
      <c r="D32" s="53">
        <f t="shared" si="0"/>
        <v>7.1700794522318034E-3</v>
      </c>
      <c r="F32" s="62">
        <f>Data!I80</f>
        <v>45193</v>
      </c>
      <c r="G32" s="63">
        <f>Data!J80</f>
        <v>19638.3</v>
      </c>
      <c r="H32" s="53">
        <f t="shared" si="1"/>
        <v>-1.8272615220402688E-3</v>
      </c>
    </row>
    <row r="33" spans="2:8" x14ac:dyDescent="0.25">
      <c r="B33" s="64">
        <f>Data!A79</f>
        <v>45200</v>
      </c>
      <c r="C33" s="63">
        <f>Data!B79</f>
        <v>765.2</v>
      </c>
      <c r="D33" s="53">
        <f t="shared" si="0"/>
        <v>-1.8471010774756214E-2</v>
      </c>
      <c r="F33" s="62">
        <f>Data!I79</f>
        <v>45200</v>
      </c>
      <c r="G33" s="63">
        <f>Data!J79</f>
        <v>19653.5</v>
      </c>
      <c r="H33" s="53">
        <f t="shared" si="1"/>
        <v>7.7399774929598486E-4</v>
      </c>
    </row>
    <row r="34" spans="2:8" x14ac:dyDescent="0.25">
      <c r="B34" s="64">
        <f>Data!A78</f>
        <v>45207</v>
      </c>
      <c r="C34" s="63">
        <f>Data!B78</f>
        <v>777.25</v>
      </c>
      <c r="D34" s="53">
        <f t="shared" si="0"/>
        <v>1.5747516989022436E-2</v>
      </c>
      <c r="F34" s="62">
        <f>Data!I78</f>
        <v>45207</v>
      </c>
      <c r="G34" s="63">
        <f>Data!J78</f>
        <v>19751.05</v>
      </c>
      <c r="H34" s="53">
        <f t="shared" si="1"/>
        <v>4.9634925076957881E-3</v>
      </c>
    </row>
    <row r="35" spans="2:8" x14ac:dyDescent="0.25">
      <c r="B35" s="64">
        <f>Data!A77</f>
        <v>45214</v>
      </c>
      <c r="C35" s="63">
        <f>Data!B77</f>
        <v>769.4</v>
      </c>
      <c r="D35" s="53">
        <f t="shared" si="0"/>
        <v>-1.0099710517851412E-2</v>
      </c>
      <c r="F35" s="62">
        <f>Data!I77</f>
        <v>45214</v>
      </c>
      <c r="G35" s="63">
        <f>Data!J77</f>
        <v>19542.650000000001</v>
      </c>
      <c r="H35" s="53">
        <f t="shared" si="1"/>
        <v>-1.0551337776978809E-2</v>
      </c>
    </row>
    <row r="36" spans="2:8" x14ac:dyDescent="0.25">
      <c r="B36" s="64">
        <f>Data!A76</f>
        <v>45221</v>
      </c>
      <c r="C36" s="63">
        <f>Data!B76</f>
        <v>732</v>
      </c>
      <c r="D36" s="53">
        <f t="shared" si="0"/>
        <v>-4.8609305952690418E-2</v>
      </c>
      <c r="F36" s="62">
        <f>Data!I76</f>
        <v>45221</v>
      </c>
      <c r="G36" s="63">
        <f>Data!J76</f>
        <v>19047.25</v>
      </c>
      <c r="H36" s="53">
        <f t="shared" si="1"/>
        <v>-2.5349683896503383E-2</v>
      </c>
    </row>
    <row r="37" spans="2:8" x14ac:dyDescent="0.25">
      <c r="B37" s="64">
        <f>Data!A75</f>
        <v>45228</v>
      </c>
      <c r="C37" s="63">
        <f>Data!B75</f>
        <v>746.05</v>
      </c>
      <c r="D37" s="53">
        <f t="shared" si="0"/>
        <v>1.9193989071038198E-2</v>
      </c>
      <c r="F37" s="62">
        <f>Data!I75</f>
        <v>45228</v>
      </c>
      <c r="G37" s="63">
        <f>Data!J75</f>
        <v>19230.599999999999</v>
      </c>
      <c r="H37" s="53">
        <f t="shared" si="1"/>
        <v>9.6260615049414966E-3</v>
      </c>
    </row>
    <row r="38" spans="2:8" x14ac:dyDescent="0.25">
      <c r="B38" s="64">
        <f>Data!A74</f>
        <v>45235</v>
      </c>
      <c r="C38" s="63">
        <f>Data!B74</f>
        <v>754.75</v>
      </c>
      <c r="D38" s="53">
        <f t="shared" si="0"/>
        <v>1.1661416795121005E-2</v>
      </c>
      <c r="F38" s="62">
        <f>Data!I74</f>
        <v>45235</v>
      </c>
      <c r="G38" s="63">
        <f>Data!J74</f>
        <v>19425.349999999999</v>
      </c>
      <c r="H38" s="53">
        <f t="shared" si="1"/>
        <v>1.0127089118384225E-2</v>
      </c>
    </row>
    <row r="39" spans="2:8" x14ac:dyDescent="0.25">
      <c r="B39" s="64">
        <f>Data!A73</f>
        <v>45242</v>
      </c>
      <c r="C39" s="63">
        <f>Data!B73</f>
        <v>768.8</v>
      </c>
      <c r="D39" s="53">
        <f t="shared" si="0"/>
        <v>1.8615435574693473E-2</v>
      </c>
      <c r="F39" s="62">
        <f>Data!I73</f>
        <v>45242</v>
      </c>
      <c r="G39" s="63">
        <f>Data!J73</f>
        <v>19731.8</v>
      </c>
      <c r="H39" s="53">
        <f t="shared" si="1"/>
        <v>1.5775777527818002E-2</v>
      </c>
    </row>
    <row r="40" spans="2:8" x14ac:dyDescent="0.25">
      <c r="B40" s="64">
        <f>Data!A72</f>
        <v>45249</v>
      </c>
      <c r="C40" s="63">
        <f>Data!B72</f>
        <v>782.05</v>
      </c>
      <c r="D40" s="53">
        <f t="shared" si="0"/>
        <v>1.7234651404786749E-2</v>
      </c>
      <c r="F40" s="62">
        <f>Data!I72</f>
        <v>45249</v>
      </c>
      <c r="G40" s="63">
        <f>Data!J72</f>
        <v>19794.7</v>
      </c>
      <c r="H40" s="53">
        <f t="shared" si="1"/>
        <v>3.1877476966115648E-3</v>
      </c>
    </row>
    <row r="41" spans="2:8" x14ac:dyDescent="0.25">
      <c r="B41" s="64">
        <f>Data!A71</f>
        <v>45256</v>
      </c>
      <c r="C41" s="63">
        <f>Data!B71</f>
        <v>810.8</v>
      </c>
      <c r="D41" s="53">
        <f t="shared" si="0"/>
        <v>3.6762355348123554E-2</v>
      </c>
      <c r="F41" s="62">
        <f>Data!I71</f>
        <v>45256</v>
      </c>
      <c r="G41" s="63">
        <f>Data!J71</f>
        <v>20267.900000000001</v>
      </c>
      <c r="H41" s="53">
        <f t="shared" si="1"/>
        <v>2.3905388816198414E-2</v>
      </c>
    </row>
    <row r="42" spans="2:8" x14ac:dyDescent="0.25">
      <c r="B42" s="64">
        <f>Data!A70</f>
        <v>45263</v>
      </c>
      <c r="C42" s="63">
        <f>Data!B70</f>
        <v>839.35</v>
      </c>
      <c r="D42" s="53">
        <f t="shared" si="0"/>
        <v>3.5212136161815621E-2</v>
      </c>
      <c r="F42" s="62">
        <f>Data!I70</f>
        <v>45263</v>
      </c>
      <c r="G42" s="63">
        <f>Data!J70</f>
        <v>20969.400000000001</v>
      </c>
      <c r="H42" s="53">
        <f t="shared" si="1"/>
        <v>3.4611380557433069E-2</v>
      </c>
    </row>
    <row r="43" spans="2:8" x14ac:dyDescent="0.25">
      <c r="B43" s="64">
        <f>Data!A69</f>
        <v>45270</v>
      </c>
      <c r="C43" s="63">
        <f>Data!B69</f>
        <v>867.2</v>
      </c>
      <c r="D43" s="53">
        <f t="shared" si="0"/>
        <v>3.3180437243104821E-2</v>
      </c>
      <c r="F43" s="62">
        <f>Data!I69</f>
        <v>45270</v>
      </c>
      <c r="G43" s="63">
        <f>Data!J69</f>
        <v>21456.65</v>
      </c>
      <c r="H43" s="53">
        <f t="shared" si="1"/>
        <v>2.3236239472755438E-2</v>
      </c>
    </row>
    <row r="44" spans="2:8" x14ac:dyDescent="0.25">
      <c r="B44" s="64">
        <f>Data!A68</f>
        <v>45277</v>
      </c>
      <c r="C44" s="63">
        <f>Data!B68</f>
        <v>855.3</v>
      </c>
      <c r="D44" s="53">
        <f t="shared" si="0"/>
        <v>-1.3722324723247303E-2</v>
      </c>
      <c r="F44" s="62">
        <f>Data!I68</f>
        <v>45277</v>
      </c>
      <c r="G44" s="63">
        <f>Data!J68</f>
        <v>21349.4</v>
      </c>
      <c r="H44" s="53">
        <f t="shared" si="1"/>
        <v>-4.9984503638732525E-3</v>
      </c>
    </row>
    <row r="45" spans="2:8" x14ac:dyDescent="0.25">
      <c r="B45" s="64">
        <f>Data!A67</f>
        <v>45284</v>
      </c>
      <c r="C45" s="63">
        <f>Data!B67</f>
        <v>880.25</v>
      </c>
      <c r="D45" s="53">
        <f t="shared" si="0"/>
        <v>2.9171051093183742E-2</v>
      </c>
      <c r="F45" s="62">
        <f>Data!I67</f>
        <v>45284</v>
      </c>
      <c r="G45" s="63">
        <f>Data!J67</f>
        <v>21731.4</v>
      </c>
      <c r="H45" s="53">
        <f t="shared" si="1"/>
        <v>1.7892774504201459E-2</v>
      </c>
    </row>
    <row r="46" spans="2:8" x14ac:dyDescent="0.25">
      <c r="B46" s="64">
        <f>Data!A66</f>
        <v>45291</v>
      </c>
      <c r="C46" s="63">
        <f>Data!B66</f>
        <v>829.4</v>
      </c>
      <c r="D46" s="53">
        <f t="shared" si="0"/>
        <v>-5.7767679636466895E-2</v>
      </c>
      <c r="F46" s="62">
        <f>Data!I66</f>
        <v>45291</v>
      </c>
      <c r="G46" s="63">
        <f>Data!J66</f>
        <v>21710.799999999999</v>
      </c>
      <c r="H46" s="53">
        <f t="shared" si="1"/>
        <v>-9.479370864280412E-4</v>
      </c>
    </row>
    <row r="47" spans="2:8" x14ac:dyDescent="0.25">
      <c r="B47" s="64">
        <f>Data!A65</f>
        <v>45298</v>
      </c>
      <c r="C47" s="63">
        <f>Data!B65</f>
        <v>825.8</v>
      </c>
      <c r="D47" s="53">
        <f t="shared" si="0"/>
        <v>-4.340487099107837E-3</v>
      </c>
      <c r="F47" s="62">
        <f>Data!I65</f>
        <v>45298</v>
      </c>
      <c r="G47" s="63">
        <f>Data!J65</f>
        <v>21894.55</v>
      </c>
      <c r="H47" s="53">
        <f t="shared" si="1"/>
        <v>8.4635296718684749E-3</v>
      </c>
    </row>
    <row r="48" spans="2:8" x14ac:dyDescent="0.25">
      <c r="B48" s="64">
        <f>Data!A64</f>
        <v>45305</v>
      </c>
      <c r="C48" s="63">
        <f>Data!B64</f>
        <v>816.65</v>
      </c>
      <c r="D48" s="53">
        <f t="shared" si="0"/>
        <v>-1.1080164688786587E-2</v>
      </c>
      <c r="F48" s="62">
        <f>Data!I64</f>
        <v>45305</v>
      </c>
      <c r="G48" s="63">
        <f>Data!J64</f>
        <v>21622.400000000001</v>
      </c>
      <c r="H48" s="53">
        <f t="shared" si="1"/>
        <v>-1.2430033958222397E-2</v>
      </c>
    </row>
    <row r="49" spans="2:8" x14ac:dyDescent="0.25">
      <c r="B49" s="64">
        <f>Data!A63</f>
        <v>45312</v>
      </c>
      <c r="C49" s="63">
        <f>Data!B63</f>
        <v>815.7</v>
      </c>
      <c r="D49" s="53">
        <f t="shared" si="0"/>
        <v>-1.1632890467151435E-3</v>
      </c>
      <c r="F49" s="62">
        <f>Data!I63</f>
        <v>45312</v>
      </c>
      <c r="G49" s="63">
        <f>Data!J63</f>
        <v>21352.6</v>
      </c>
      <c r="H49" s="53">
        <f t="shared" si="1"/>
        <v>-1.2477800799171379E-2</v>
      </c>
    </row>
    <row r="50" spans="2:8" x14ac:dyDescent="0.25">
      <c r="B50" s="64">
        <f>Data!A62</f>
        <v>45319</v>
      </c>
      <c r="C50" s="63">
        <f>Data!B62</f>
        <v>823.55</v>
      </c>
      <c r="D50" s="53">
        <f t="shared" si="0"/>
        <v>9.6236361407378013E-3</v>
      </c>
      <c r="F50" s="62">
        <f>Data!I62</f>
        <v>45319</v>
      </c>
      <c r="G50" s="63">
        <f>Data!J62</f>
        <v>21853.8</v>
      </c>
      <c r="H50" s="53">
        <f t="shared" si="1"/>
        <v>2.3472551352060167E-2</v>
      </c>
    </row>
    <row r="51" spans="2:8" x14ac:dyDescent="0.25">
      <c r="B51" s="64">
        <f>Data!A61</f>
        <v>45326</v>
      </c>
      <c r="C51" s="63">
        <f>Data!B61</f>
        <v>811.75</v>
      </c>
      <c r="D51" s="53">
        <f t="shared" si="0"/>
        <v>-1.4328213223240738E-2</v>
      </c>
      <c r="F51" s="62">
        <f>Data!I61</f>
        <v>45326</v>
      </c>
      <c r="G51" s="63">
        <f>Data!J61</f>
        <v>21782.5</v>
      </c>
      <c r="H51" s="53">
        <f t="shared" si="1"/>
        <v>-3.2625904876955047E-3</v>
      </c>
    </row>
    <row r="52" spans="2:8" x14ac:dyDescent="0.25">
      <c r="B52" s="64">
        <f>Data!A60</f>
        <v>45333</v>
      </c>
      <c r="C52" s="63">
        <f>Data!B60</f>
        <v>819.95</v>
      </c>
      <c r="D52" s="53">
        <f t="shared" si="0"/>
        <v>1.010163227594707E-2</v>
      </c>
      <c r="F52" s="62">
        <f>Data!I60</f>
        <v>45333</v>
      </c>
      <c r="G52" s="63">
        <f>Data!J60</f>
        <v>22040.7</v>
      </c>
      <c r="H52" s="53">
        <f t="shared" si="1"/>
        <v>1.1853552163433978E-2</v>
      </c>
    </row>
    <row r="53" spans="2:8" x14ac:dyDescent="0.25">
      <c r="B53" s="64">
        <f>Data!A59</f>
        <v>45340</v>
      </c>
      <c r="C53" s="63">
        <f>Data!B59</f>
        <v>821</v>
      </c>
      <c r="D53" s="53">
        <f t="shared" si="0"/>
        <v>1.2805658881638315E-3</v>
      </c>
      <c r="F53" s="62">
        <f>Data!I59</f>
        <v>45340</v>
      </c>
      <c r="G53" s="63">
        <f>Data!J59</f>
        <v>22212.7</v>
      </c>
      <c r="H53" s="53">
        <f t="shared" si="1"/>
        <v>7.8037448901351336E-3</v>
      </c>
    </row>
    <row r="54" spans="2:8" x14ac:dyDescent="0.25">
      <c r="B54" s="64">
        <f>Data!A58</f>
        <v>45347</v>
      </c>
      <c r="C54" s="63">
        <f>Data!B58</f>
        <v>836.2</v>
      </c>
      <c r="D54" s="53">
        <f t="shared" si="0"/>
        <v>1.8514007308160885E-2</v>
      </c>
      <c r="F54" s="62">
        <f>Data!I58</f>
        <v>45347</v>
      </c>
      <c r="G54" s="63">
        <f>Data!J58</f>
        <v>22338.75</v>
      </c>
      <c r="H54" s="53">
        <f t="shared" si="1"/>
        <v>5.6746816010659895E-3</v>
      </c>
    </row>
    <row r="55" spans="2:8" x14ac:dyDescent="0.25">
      <c r="B55" s="64">
        <f>Data!A57</f>
        <v>45354</v>
      </c>
      <c r="C55" s="63">
        <f>Data!B57</f>
        <v>830</v>
      </c>
      <c r="D55" s="53">
        <f t="shared" si="0"/>
        <v>-7.4144941401579345E-3</v>
      </c>
      <c r="F55" s="62">
        <f>Data!I57</f>
        <v>45354</v>
      </c>
      <c r="G55" s="63">
        <f>Data!J57</f>
        <v>22493.55</v>
      </c>
      <c r="H55" s="53">
        <f t="shared" si="1"/>
        <v>6.929662581836471E-3</v>
      </c>
    </row>
    <row r="56" spans="2:8" x14ac:dyDescent="0.25">
      <c r="B56" s="64">
        <f>Data!A56</f>
        <v>45361</v>
      </c>
      <c r="C56" s="63">
        <f>Data!B56</f>
        <v>780.65</v>
      </c>
      <c r="D56" s="53">
        <f t="shared" si="0"/>
        <v>-5.9457831325301247E-2</v>
      </c>
      <c r="F56" s="62">
        <f>Data!I56</f>
        <v>45361</v>
      </c>
      <c r="G56" s="63">
        <f>Data!J56</f>
        <v>22023.35</v>
      </c>
      <c r="H56" s="53">
        <f t="shared" si="1"/>
        <v>-2.0903770191899484E-2</v>
      </c>
    </row>
    <row r="57" spans="2:8" x14ac:dyDescent="0.25">
      <c r="B57" s="64">
        <f>Data!A55</f>
        <v>45368</v>
      </c>
      <c r="C57" s="63">
        <f>Data!B55</f>
        <v>824.8</v>
      </c>
      <c r="D57" s="53">
        <f t="shared" si="0"/>
        <v>5.6555434573752672E-2</v>
      </c>
      <c r="F57" s="62">
        <f>Data!I55</f>
        <v>45368</v>
      </c>
      <c r="G57" s="63">
        <f>Data!J55</f>
        <v>22096.75</v>
      </c>
      <c r="H57" s="53">
        <f t="shared" si="1"/>
        <v>3.3328262957270649E-3</v>
      </c>
    </row>
    <row r="58" spans="2:8" x14ac:dyDescent="0.25">
      <c r="B58" s="64">
        <f>Data!A54</f>
        <v>45375</v>
      </c>
      <c r="C58" s="63">
        <f>Data!B54</f>
        <v>830.2</v>
      </c>
      <c r="D58" s="53">
        <f t="shared" si="0"/>
        <v>6.5470417070805365E-3</v>
      </c>
      <c r="F58" s="62">
        <f>Data!I54</f>
        <v>45375</v>
      </c>
      <c r="G58" s="63">
        <f>Data!J54</f>
        <v>22326.9</v>
      </c>
      <c r="H58" s="53">
        <f t="shared" si="1"/>
        <v>1.0415558849152129E-2</v>
      </c>
    </row>
    <row r="59" spans="2:8" x14ac:dyDescent="0.25">
      <c r="B59" s="64">
        <f>Data!A53</f>
        <v>45382</v>
      </c>
      <c r="C59" s="63">
        <f>Data!B53</f>
        <v>857.1</v>
      </c>
      <c r="D59" s="53">
        <f t="shared" si="0"/>
        <v>3.2401830884124294E-2</v>
      </c>
      <c r="F59" s="62">
        <f>Data!I53</f>
        <v>45382</v>
      </c>
      <c r="G59" s="63">
        <f>Data!J53</f>
        <v>22513.7</v>
      </c>
      <c r="H59" s="53">
        <f t="shared" si="1"/>
        <v>8.3665891816597782E-3</v>
      </c>
    </row>
    <row r="60" spans="2:8" x14ac:dyDescent="0.25">
      <c r="B60" s="64">
        <f>Data!A52</f>
        <v>45389</v>
      </c>
      <c r="C60" s="63">
        <f>Data!B52</f>
        <v>866.45</v>
      </c>
      <c r="D60" s="53">
        <f t="shared" si="0"/>
        <v>1.0908878777272202E-2</v>
      </c>
      <c r="F60" s="62">
        <f>Data!I52</f>
        <v>45389</v>
      </c>
      <c r="G60" s="63">
        <f>Data!J52</f>
        <v>22519.4</v>
      </c>
      <c r="H60" s="53">
        <f t="shared" si="1"/>
        <v>2.5317917534661838E-4</v>
      </c>
    </row>
    <row r="61" spans="2:8" x14ac:dyDescent="0.25">
      <c r="B61" s="64">
        <f>Data!A51</f>
        <v>45396</v>
      </c>
      <c r="C61" s="63">
        <f>Data!B51</f>
        <v>864.8</v>
      </c>
      <c r="D61" s="53">
        <f t="shared" si="0"/>
        <v>-1.9043222344048427E-3</v>
      </c>
      <c r="F61" s="62">
        <f>Data!I51</f>
        <v>45396</v>
      </c>
      <c r="G61" s="63">
        <f>Data!J51</f>
        <v>22147</v>
      </c>
      <c r="H61" s="53">
        <f t="shared" si="1"/>
        <v>-1.6536852669254087E-2</v>
      </c>
    </row>
    <row r="62" spans="2:8" x14ac:dyDescent="0.25">
      <c r="B62" s="64">
        <f>Data!A50</f>
        <v>45403</v>
      </c>
      <c r="C62" s="63">
        <f>Data!B50</f>
        <v>887.25</v>
      </c>
      <c r="D62" s="53">
        <f t="shared" si="0"/>
        <v>2.5959759481961164E-2</v>
      </c>
      <c r="F62" s="62">
        <f>Data!I50</f>
        <v>45403</v>
      </c>
      <c r="G62" s="63">
        <f>Data!J50</f>
        <v>22419.95</v>
      </c>
      <c r="H62" s="53">
        <f t="shared" si="1"/>
        <v>1.2324468325281002E-2</v>
      </c>
    </row>
    <row r="63" spans="2:8" x14ac:dyDescent="0.25">
      <c r="B63" s="64">
        <f>Data!A49</f>
        <v>45410</v>
      </c>
      <c r="C63" s="63">
        <f>Data!B49</f>
        <v>874.2</v>
      </c>
      <c r="D63" s="53">
        <f t="shared" si="0"/>
        <v>-1.47083685545224E-2</v>
      </c>
      <c r="F63" s="62">
        <f>Data!I49</f>
        <v>45410</v>
      </c>
      <c r="G63" s="63">
        <f>Data!J49</f>
        <v>22475.85</v>
      </c>
      <c r="H63" s="53">
        <f t="shared" si="1"/>
        <v>2.4933151055197555E-3</v>
      </c>
    </row>
    <row r="64" spans="2:8" x14ac:dyDescent="0.25">
      <c r="B64" s="64">
        <f>Data!A48</f>
        <v>45417</v>
      </c>
      <c r="C64" s="63">
        <f>Data!B48</f>
        <v>853.6</v>
      </c>
      <c r="D64" s="53">
        <f t="shared" si="0"/>
        <v>-2.3564401738732532E-2</v>
      </c>
      <c r="F64" s="62">
        <f>Data!I48</f>
        <v>45417</v>
      </c>
      <c r="G64" s="63">
        <f>Data!J48</f>
        <v>22055.200000000001</v>
      </c>
      <c r="H64" s="53">
        <f t="shared" si="1"/>
        <v>-1.8715643679771743E-2</v>
      </c>
    </row>
    <row r="65" spans="2:8" x14ac:dyDescent="0.25">
      <c r="B65" s="64">
        <f>Data!A47</f>
        <v>45424</v>
      </c>
      <c r="C65" s="63">
        <f>Data!B47</f>
        <v>907.45</v>
      </c>
      <c r="D65" s="53">
        <f t="shared" si="0"/>
        <v>6.3085754451733811E-2</v>
      </c>
      <c r="F65" s="62">
        <f>Data!I47</f>
        <v>45424</v>
      </c>
      <c r="G65" s="63">
        <f>Data!J47</f>
        <v>22466.1</v>
      </c>
      <c r="H65" s="53">
        <f t="shared" si="1"/>
        <v>1.8630527041241907E-2</v>
      </c>
    </row>
    <row r="66" spans="2:8" x14ac:dyDescent="0.25">
      <c r="B66" s="64">
        <f>Data!A46</f>
        <v>45431</v>
      </c>
      <c r="C66" s="63">
        <f>Data!B46</f>
        <v>908.65</v>
      </c>
      <c r="D66" s="53">
        <f t="shared" si="0"/>
        <v>1.3223869083696105E-3</v>
      </c>
      <c r="F66" s="62">
        <f>Data!I46</f>
        <v>45431</v>
      </c>
      <c r="G66" s="63">
        <f>Data!J46</f>
        <v>22957.1</v>
      </c>
      <c r="H66" s="53">
        <f t="shared" si="1"/>
        <v>2.1855150649200406E-2</v>
      </c>
    </row>
    <row r="67" spans="2:8" x14ac:dyDescent="0.25">
      <c r="B67" s="64">
        <f>Data!A45</f>
        <v>45438</v>
      </c>
      <c r="C67" s="63">
        <f>Data!B45</f>
        <v>880.55</v>
      </c>
      <c r="D67" s="53">
        <f t="shared" si="0"/>
        <v>-3.0924998624332845E-2</v>
      </c>
      <c r="F67" s="62">
        <f>Data!I45</f>
        <v>45438</v>
      </c>
      <c r="G67" s="63">
        <f>Data!J45</f>
        <v>22530.7</v>
      </c>
      <c r="H67" s="53">
        <f t="shared" si="1"/>
        <v>-1.8573774562117951E-2</v>
      </c>
    </row>
    <row r="68" spans="2:8" x14ac:dyDescent="0.25">
      <c r="B68" s="64">
        <f>Data!A44</f>
        <v>45445</v>
      </c>
      <c r="C68" s="63">
        <f>Data!B44</f>
        <v>912.15</v>
      </c>
      <c r="D68" s="53">
        <f t="shared" si="0"/>
        <v>3.5886661745500037E-2</v>
      </c>
      <c r="F68" s="62">
        <f>Data!I44</f>
        <v>45445</v>
      </c>
      <c r="G68" s="63">
        <f>Data!J44</f>
        <v>23290.15</v>
      </c>
      <c r="H68" s="53">
        <f t="shared" si="1"/>
        <v>3.3707341538434354E-2</v>
      </c>
    </row>
    <row r="69" spans="2:8" x14ac:dyDescent="0.25">
      <c r="B69" s="64">
        <f>Data!A43</f>
        <v>45452</v>
      </c>
      <c r="C69" s="63">
        <f>Data!B43</f>
        <v>921.15</v>
      </c>
      <c r="D69" s="53">
        <f t="shared" si="0"/>
        <v>9.8667982239764029E-3</v>
      </c>
      <c r="F69" s="62">
        <f>Data!I43</f>
        <v>45452</v>
      </c>
      <c r="G69" s="63">
        <f>Data!J43</f>
        <v>23465.599999999999</v>
      </c>
      <c r="H69" s="53">
        <f t="shared" si="1"/>
        <v>7.5332275661599279E-3</v>
      </c>
    </row>
    <row r="70" spans="2:8" x14ac:dyDescent="0.25">
      <c r="B70" s="64">
        <f>Data!A42</f>
        <v>45459</v>
      </c>
      <c r="C70" s="63">
        <f>Data!B42</f>
        <v>936.9</v>
      </c>
      <c r="D70" s="53">
        <f t="shared" si="0"/>
        <v>1.7098192476795226E-2</v>
      </c>
      <c r="F70" s="62">
        <f>Data!I42</f>
        <v>45459</v>
      </c>
      <c r="G70" s="63">
        <f>Data!J42</f>
        <v>23501.1</v>
      </c>
      <c r="H70" s="53">
        <f t="shared" si="1"/>
        <v>1.5128528569481325E-3</v>
      </c>
    </row>
    <row r="71" spans="2:8" x14ac:dyDescent="0.25">
      <c r="B71" s="64">
        <f>Data!A41</f>
        <v>45466</v>
      </c>
      <c r="C71" s="63">
        <f>Data!B41</f>
        <v>931.5</v>
      </c>
      <c r="D71" s="53">
        <f t="shared" ref="D71:D108" si="2">C71/C70-1</f>
        <v>-5.7636887608069065E-3</v>
      </c>
      <c r="F71" s="62">
        <f>Data!I41</f>
        <v>45466</v>
      </c>
      <c r="G71" s="63">
        <f>Data!J41</f>
        <v>24010.6</v>
      </c>
      <c r="H71" s="53">
        <f t="shared" ref="H71:H108" si="3">G71/G70-1</f>
        <v>2.1679836262983532E-2</v>
      </c>
    </row>
    <row r="72" spans="2:8" x14ac:dyDescent="0.25">
      <c r="B72" s="64">
        <f>Data!A40</f>
        <v>45473</v>
      </c>
      <c r="C72" s="63">
        <f>Data!B40</f>
        <v>954.05</v>
      </c>
      <c r="D72" s="53">
        <f t="shared" si="2"/>
        <v>2.4208266237251586E-2</v>
      </c>
      <c r="F72" s="62">
        <f>Data!I40</f>
        <v>45473</v>
      </c>
      <c r="G72" s="63">
        <f>Data!J40</f>
        <v>24323.85</v>
      </c>
      <c r="H72" s="53">
        <f t="shared" si="3"/>
        <v>1.3046321208133094E-2</v>
      </c>
    </row>
    <row r="73" spans="2:8" x14ac:dyDescent="0.25">
      <c r="B73" s="64">
        <f>Data!A39</f>
        <v>45480</v>
      </c>
      <c r="C73" s="63">
        <f>Data!B39</f>
        <v>934.4</v>
      </c>
      <c r="D73" s="53">
        <f t="shared" si="2"/>
        <v>-2.0596404800586998E-2</v>
      </c>
      <c r="F73" s="62">
        <f>Data!I39</f>
        <v>45480</v>
      </c>
      <c r="G73" s="63">
        <f>Data!J39</f>
        <v>24502.15</v>
      </c>
      <c r="H73" s="53">
        <f t="shared" si="3"/>
        <v>7.3302540510651326E-3</v>
      </c>
    </row>
    <row r="74" spans="2:8" x14ac:dyDescent="0.25">
      <c r="B74" s="64">
        <f>Data!A38</f>
        <v>45487</v>
      </c>
      <c r="C74" s="63">
        <f>Data!B38</f>
        <v>889.45</v>
      </c>
      <c r="D74" s="53">
        <f t="shared" si="2"/>
        <v>-4.8105736301369828E-2</v>
      </c>
      <c r="F74" s="62">
        <f>Data!I38</f>
        <v>45487</v>
      </c>
      <c r="G74" s="63">
        <f>Data!J38</f>
        <v>24530.9</v>
      </c>
      <c r="H74" s="53">
        <f t="shared" si="3"/>
        <v>1.1733664188653403E-3</v>
      </c>
    </row>
    <row r="75" spans="2:8" x14ac:dyDescent="0.25">
      <c r="B75" s="64">
        <f>Data!A37</f>
        <v>45494</v>
      </c>
      <c r="C75" s="63">
        <f>Data!B37</f>
        <v>900.55</v>
      </c>
      <c r="D75" s="53">
        <f t="shared" si="2"/>
        <v>1.2479622238461774E-2</v>
      </c>
      <c r="F75" s="62">
        <f>Data!I37</f>
        <v>45494</v>
      </c>
      <c r="G75" s="63">
        <f>Data!J37</f>
        <v>24834.85</v>
      </c>
      <c r="H75" s="53">
        <f t="shared" si="3"/>
        <v>1.2390495252925682E-2</v>
      </c>
    </row>
    <row r="76" spans="2:8" x14ac:dyDescent="0.25">
      <c r="B76" s="64">
        <f>Data!A36</f>
        <v>45501</v>
      </c>
      <c r="C76" s="63">
        <f>Data!B36</f>
        <v>899.55</v>
      </c>
      <c r="D76" s="53">
        <f t="shared" si="2"/>
        <v>-1.1104325134639881E-3</v>
      </c>
      <c r="F76" s="62">
        <f>Data!I36</f>
        <v>45501</v>
      </c>
      <c r="G76" s="63">
        <f>Data!J36</f>
        <v>24717.7</v>
      </c>
      <c r="H76" s="53">
        <f t="shared" si="3"/>
        <v>-4.7171615693268887E-3</v>
      </c>
    </row>
    <row r="77" spans="2:8" x14ac:dyDescent="0.25">
      <c r="B77" s="64">
        <f>Data!A35</f>
        <v>45508</v>
      </c>
      <c r="C77" s="63">
        <f>Data!B35</f>
        <v>905.1</v>
      </c>
      <c r="D77" s="53">
        <f t="shared" si="2"/>
        <v>6.169751542437929E-3</v>
      </c>
      <c r="F77" s="62">
        <f>Data!I35</f>
        <v>45508</v>
      </c>
      <c r="G77" s="63">
        <f>Data!J35</f>
        <v>24367.5</v>
      </c>
      <c r="H77" s="53">
        <f t="shared" si="3"/>
        <v>-1.4167984885325113E-2</v>
      </c>
    </row>
    <row r="78" spans="2:8" x14ac:dyDescent="0.25">
      <c r="B78" s="64">
        <f>Data!A34</f>
        <v>45515</v>
      </c>
      <c r="C78" s="63">
        <f>Data!B34</f>
        <v>908.45</v>
      </c>
      <c r="D78" s="53">
        <f t="shared" si="2"/>
        <v>3.7012484808309765E-3</v>
      </c>
      <c r="F78" s="62">
        <f>Data!I34</f>
        <v>45515</v>
      </c>
      <c r="G78" s="63">
        <f>Data!J34</f>
        <v>24541.15</v>
      </c>
      <c r="H78" s="53">
        <f t="shared" si="3"/>
        <v>7.1262952703396998E-3</v>
      </c>
    </row>
    <row r="79" spans="2:8" x14ac:dyDescent="0.25">
      <c r="B79" s="64">
        <f>Data!A33</f>
        <v>45522</v>
      </c>
      <c r="C79" s="63">
        <f>Data!B33</f>
        <v>941.05</v>
      </c>
      <c r="D79" s="53">
        <f t="shared" si="2"/>
        <v>3.5885299135890669E-2</v>
      </c>
      <c r="F79" s="62">
        <f>Data!I33</f>
        <v>45522</v>
      </c>
      <c r="G79" s="63">
        <f>Data!J33</f>
        <v>24823.15</v>
      </c>
      <c r="H79" s="53">
        <f t="shared" si="3"/>
        <v>1.1490904052988471E-2</v>
      </c>
    </row>
    <row r="80" spans="2:8" x14ac:dyDescent="0.25">
      <c r="B80" s="64">
        <f>Data!A32</f>
        <v>45529</v>
      </c>
      <c r="C80" s="63">
        <f>Data!B32</f>
        <v>941.1</v>
      </c>
      <c r="D80" s="53">
        <f t="shared" si="2"/>
        <v>5.3132139631317798E-5</v>
      </c>
      <c r="F80" s="62">
        <f>Data!I32</f>
        <v>45529</v>
      </c>
      <c r="G80" s="63">
        <f>Data!J32</f>
        <v>25235.9</v>
      </c>
      <c r="H80" s="53">
        <f t="shared" si="3"/>
        <v>1.6627623810837822E-2</v>
      </c>
    </row>
    <row r="81" spans="2:8" x14ac:dyDescent="0.25">
      <c r="B81" s="64">
        <f>Data!A31</f>
        <v>45536</v>
      </c>
      <c r="C81" s="63">
        <f>Data!B31</f>
        <v>932.8</v>
      </c>
      <c r="D81" s="53">
        <f t="shared" si="2"/>
        <v>-8.819466581659885E-3</v>
      </c>
      <c r="F81" s="62">
        <f>Data!I31</f>
        <v>45536</v>
      </c>
      <c r="G81" s="63">
        <f>Data!J31</f>
        <v>24852.15</v>
      </c>
      <c r="H81" s="53">
        <f t="shared" si="3"/>
        <v>-1.5206511358818231E-2</v>
      </c>
    </row>
    <row r="82" spans="2:8" x14ac:dyDescent="0.25">
      <c r="B82" s="64">
        <f>Data!A30</f>
        <v>45543</v>
      </c>
      <c r="C82" s="63">
        <f>Data!B30</f>
        <v>954.55</v>
      </c>
      <c r="D82" s="53">
        <f t="shared" si="2"/>
        <v>2.331689536878212E-2</v>
      </c>
      <c r="F82" s="62">
        <f>Data!I30</f>
        <v>45543</v>
      </c>
      <c r="G82" s="63">
        <f>Data!J30</f>
        <v>25356.5</v>
      </c>
      <c r="H82" s="53">
        <f t="shared" si="3"/>
        <v>2.0294018827344829E-2</v>
      </c>
    </row>
    <row r="83" spans="2:8" x14ac:dyDescent="0.25">
      <c r="B83" s="64">
        <f>Data!A29</f>
        <v>45550</v>
      </c>
      <c r="C83" s="63">
        <f>Data!B29</f>
        <v>981.55</v>
      </c>
      <c r="D83" s="53">
        <f t="shared" si="2"/>
        <v>2.8285579592478127E-2</v>
      </c>
      <c r="F83" s="62">
        <f>Data!I29</f>
        <v>45550</v>
      </c>
      <c r="G83" s="63">
        <f>Data!J29</f>
        <v>25790.95</v>
      </c>
      <c r="H83" s="53">
        <f t="shared" si="3"/>
        <v>1.7133673811448702E-2</v>
      </c>
    </row>
    <row r="84" spans="2:8" x14ac:dyDescent="0.25">
      <c r="B84" s="64">
        <f>Data!A28</f>
        <v>45557</v>
      </c>
      <c r="C84" s="63">
        <f>Data!B28</f>
        <v>1001.55</v>
      </c>
      <c r="D84" s="53">
        <f t="shared" si="2"/>
        <v>2.0375936019561003E-2</v>
      </c>
      <c r="F84" s="62">
        <f>Data!I28</f>
        <v>45557</v>
      </c>
      <c r="G84" s="63">
        <f>Data!J28</f>
        <v>26178.95</v>
      </c>
      <c r="H84" s="53">
        <f t="shared" si="3"/>
        <v>1.5044036764834123E-2</v>
      </c>
    </row>
    <row r="85" spans="2:8" x14ac:dyDescent="0.25">
      <c r="B85" s="64">
        <f>Data!A27</f>
        <v>45564</v>
      </c>
      <c r="C85" s="63">
        <f>Data!B27</f>
        <v>1033.75</v>
      </c>
      <c r="D85" s="53">
        <f t="shared" si="2"/>
        <v>3.2150167240776906E-2</v>
      </c>
      <c r="F85" s="62">
        <f>Data!I27</f>
        <v>45564</v>
      </c>
      <c r="G85" s="63">
        <f>Data!J27</f>
        <v>25014.6</v>
      </c>
      <c r="H85" s="53">
        <f t="shared" si="3"/>
        <v>-4.4476573735768743E-2</v>
      </c>
    </row>
    <row r="86" spans="2:8" x14ac:dyDescent="0.25">
      <c r="B86" s="64">
        <f>Data!A26</f>
        <v>45571</v>
      </c>
      <c r="C86" s="63">
        <f>Data!B26</f>
        <v>1012.05</v>
      </c>
      <c r="D86" s="53">
        <f t="shared" si="2"/>
        <v>-2.0991535671100459E-2</v>
      </c>
      <c r="F86" s="62">
        <f>Data!I26</f>
        <v>45571</v>
      </c>
      <c r="G86" s="63">
        <f>Data!J26</f>
        <v>24964.25</v>
      </c>
      <c r="H86" s="53">
        <f t="shared" si="3"/>
        <v>-2.0128245104857889E-3</v>
      </c>
    </row>
    <row r="87" spans="2:8" x14ac:dyDescent="0.25">
      <c r="B87" s="64">
        <f>Data!A25</f>
        <v>45578</v>
      </c>
      <c r="C87" s="63">
        <f>Data!B25</f>
        <v>992.6</v>
      </c>
      <c r="D87" s="53">
        <f t="shared" si="2"/>
        <v>-1.9218418062348586E-2</v>
      </c>
      <c r="F87" s="62">
        <f>Data!I25</f>
        <v>45578</v>
      </c>
      <c r="G87" s="63">
        <f>Data!J25</f>
        <v>24854.05</v>
      </c>
      <c r="H87" s="53">
        <f t="shared" si="3"/>
        <v>-4.4143124668275524E-3</v>
      </c>
    </row>
    <row r="88" spans="2:8" x14ac:dyDescent="0.25">
      <c r="B88" s="64">
        <f>Data!A24</f>
        <v>45585</v>
      </c>
      <c r="C88" s="63">
        <f>Data!B24</f>
        <v>943.85</v>
      </c>
      <c r="D88" s="53">
        <f t="shared" si="2"/>
        <v>-4.9113439451944352E-2</v>
      </c>
      <c r="F88" s="62">
        <f>Data!I24</f>
        <v>45585</v>
      </c>
      <c r="G88" s="63">
        <f>Data!J24</f>
        <v>24180.799999999999</v>
      </c>
      <c r="H88" s="53">
        <f t="shared" si="3"/>
        <v>-2.7088140564616281E-2</v>
      </c>
    </row>
    <row r="89" spans="2:8" x14ac:dyDescent="0.25">
      <c r="B89" s="64">
        <f>Data!A23</f>
        <v>45592</v>
      </c>
      <c r="C89" s="63">
        <f>Data!B23</f>
        <v>968.3</v>
      </c>
      <c r="D89" s="53">
        <f t="shared" si="2"/>
        <v>2.5904539916300262E-2</v>
      </c>
      <c r="F89" s="62">
        <f>Data!I23</f>
        <v>45592</v>
      </c>
      <c r="G89" s="63">
        <f>Data!J23</f>
        <v>24304.35</v>
      </c>
      <c r="H89" s="53">
        <f t="shared" si="3"/>
        <v>5.1094256600276999E-3</v>
      </c>
    </row>
    <row r="90" spans="2:8" x14ac:dyDescent="0.25">
      <c r="B90" s="64">
        <f>Data!A22</f>
        <v>45599</v>
      </c>
      <c r="C90" s="63">
        <f>Data!B22</f>
        <v>996.4</v>
      </c>
      <c r="D90" s="53">
        <f t="shared" si="2"/>
        <v>2.9019931839306068E-2</v>
      </c>
      <c r="F90" s="62">
        <f>Data!I22</f>
        <v>45599</v>
      </c>
      <c r="G90" s="63">
        <f>Data!J22</f>
        <v>24148.2</v>
      </c>
      <c r="H90" s="53">
        <f t="shared" si="3"/>
        <v>-6.4247758117372822E-3</v>
      </c>
    </row>
    <row r="91" spans="2:8" x14ac:dyDescent="0.25">
      <c r="B91" s="64">
        <f>Data!A21</f>
        <v>45606</v>
      </c>
      <c r="C91" s="63">
        <f>Data!B21</f>
        <v>939.05</v>
      </c>
      <c r="D91" s="53">
        <f t="shared" si="2"/>
        <v>-5.7557205941389022E-2</v>
      </c>
      <c r="F91" s="62">
        <f>Data!I21</f>
        <v>45606</v>
      </c>
      <c r="G91" s="63">
        <f>Data!J21</f>
        <v>23532.7</v>
      </c>
      <c r="H91" s="53">
        <f t="shared" si="3"/>
        <v>-2.5488442202731498E-2</v>
      </c>
    </row>
    <row r="92" spans="2:8" x14ac:dyDescent="0.25">
      <c r="B92" s="64">
        <f>Data!A20</f>
        <v>45613</v>
      </c>
      <c r="C92" s="63">
        <f>Data!B20</f>
        <v>977.35</v>
      </c>
      <c r="D92" s="53">
        <f t="shared" si="2"/>
        <v>4.0785900644268125E-2</v>
      </c>
      <c r="F92" s="62">
        <f>Data!I20</f>
        <v>45613</v>
      </c>
      <c r="G92" s="63">
        <f>Data!J20</f>
        <v>23907.25</v>
      </c>
      <c r="H92" s="53">
        <f t="shared" si="3"/>
        <v>1.5916150717937061E-2</v>
      </c>
    </row>
    <row r="93" spans="2:8" x14ac:dyDescent="0.25">
      <c r="B93" s="64">
        <f>Data!A19</f>
        <v>45620</v>
      </c>
      <c r="C93" s="63">
        <f>Data!B19</f>
        <v>966</v>
      </c>
      <c r="D93" s="53">
        <f t="shared" si="2"/>
        <v>-1.1613035248375758E-2</v>
      </c>
      <c r="F93" s="62">
        <f>Data!I19</f>
        <v>45620</v>
      </c>
      <c r="G93" s="63">
        <f>Data!J19</f>
        <v>24131.1</v>
      </c>
      <c r="H93" s="53">
        <f t="shared" si="3"/>
        <v>9.3632684645870157E-3</v>
      </c>
    </row>
    <row r="94" spans="2:8" x14ac:dyDescent="0.25">
      <c r="B94" s="64">
        <f>Data!A18</f>
        <v>45627</v>
      </c>
      <c r="C94" s="63">
        <f>Data!B18</f>
        <v>1003.8</v>
      </c>
      <c r="D94" s="53">
        <f t="shared" si="2"/>
        <v>3.9130434782608692E-2</v>
      </c>
      <c r="F94" s="62">
        <f>Data!I18</f>
        <v>45627</v>
      </c>
      <c r="G94" s="63">
        <f>Data!J18</f>
        <v>24677.8</v>
      </c>
      <c r="H94" s="53">
        <f t="shared" si="3"/>
        <v>2.2655411481449228E-2</v>
      </c>
    </row>
    <row r="95" spans="2:8" x14ac:dyDescent="0.25">
      <c r="B95" s="64">
        <f>Data!A17</f>
        <v>45634</v>
      </c>
      <c r="C95" s="63">
        <f>Data!B17</f>
        <v>999.85</v>
      </c>
      <c r="D95" s="53">
        <f t="shared" si="2"/>
        <v>-3.935046822076016E-3</v>
      </c>
      <c r="F95" s="62">
        <f>Data!I17</f>
        <v>45634</v>
      </c>
      <c r="G95" s="63">
        <f>Data!J17</f>
        <v>24768.3</v>
      </c>
      <c r="H95" s="53">
        <f t="shared" si="3"/>
        <v>3.6672636944945491E-3</v>
      </c>
    </row>
    <row r="96" spans="2:8" x14ac:dyDescent="0.25">
      <c r="B96" s="64">
        <f>Data!A16</f>
        <v>45641</v>
      </c>
      <c r="C96" s="63">
        <f>Data!B16</f>
        <v>917.35</v>
      </c>
      <c r="D96" s="53">
        <f t="shared" si="2"/>
        <v>-8.2512376856528458E-2</v>
      </c>
      <c r="F96" s="62">
        <f>Data!I16</f>
        <v>45641</v>
      </c>
      <c r="G96" s="63">
        <f>Data!J16</f>
        <v>23587.5</v>
      </c>
      <c r="H96" s="53">
        <f t="shared" si="3"/>
        <v>-4.7673841159869612E-2</v>
      </c>
    </row>
    <row r="97" spans="2:8" x14ac:dyDescent="0.25">
      <c r="B97" s="64">
        <f>Data!A15</f>
        <v>45648</v>
      </c>
      <c r="C97" s="63">
        <f>Data!B15</f>
        <v>913.3</v>
      </c>
      <c r="D97" s="53">
        <f t="shared" si="2"/>
        <v>-4.4148907178286345E-3</v>
      </c>
      <c r="F97" s="62">
        <f>Data!I15</f>
        <v>45648</v>
      </c>
      <c r="G97" s="63">
        <f>Data!J15</f>
        <v>23813.4</v>
      </c>
      <c r="H97" s="53">
        <f t="shared" si="3"/>
        <v>9.5771065182830295E-3</v>
      </c>
    </row>
    <row r="98" spans="2:8" x14ac:dyDescent="0.25">
      <c r="B98" s="64">
        <f>Data!A14</f>
        <v>45655</v>
      </c>
      <c r="C98" s="63">
        <f>Data!B14</f>
        <v>915.05</v>
      </c>
      <c r="D98" s="53">
        <f t="shared" si="2"/>
        <v>1.9161283258513073E-3</v>
      </c>
      <c r="F98" s="62">
        <f>Data!I14</f>
        <v>45655</v>
      </c>
      <c r="G98" s="63">
        <f>Data!J14</f>
        <v>24004.75</v>
      </c>
      <c r="H98" s="53">
        <f t="shared" si="3"/>
        <v>8.035391838208783E-3</v>
      </c>
    </row>
    <row r="99" spans="2:8" x14ac:dyDescent="0.25">
      <c r="B99" s="64">
        <f>Data!A13</f>
        <v>45662</v>
      </c>
      <c r="C99" s="63">
        <f>Data!B13</f>
        <v>900.1</v>
      </c>
      <c r="D99" s="53">
        <f t="shared" si="2"/>
        <v>-1.6337905032511757E-2</v>
      </c>
      <c r="F99" s="62">
        <f>Data!I13</f>
        <v>45662</v>
      </c>
      <c r="G99" s="63">
        <f>Data!J13</f>
        <v>23431.5</v>
      </c>
      <c r="H99" s="53">
        <f t="shared" si="3"/>
        <v>-2.3880690280048689E-2</v>
      </c>
    </row>
    <row r="100" spans="2:8" x14ac:dyDescent="0.25">
      <c r="B100" s="64">
        <f>Data!A12</f>
        <v>45669</v>
      </c>
      <c r="C100" s="63">
        <f>Data!B12</f>
        <v>908.6</v>
      </c>
      <c r="D100" s="53">
        <f t="shared" si="2"/>
        <v>9.4433951783134962E-3</v>
      </c>
      <c r="F100" s="62">
        <f>Data!I12</f>
        <v>45669</v>
      </c>
      <c r="G100" s="63">
        <f>Data!J12</f>
        <v>23203.200000000001</v>
      </c>
      <c r="H100" s="53">
        <f t="shared" si="3"/>
        <v>-9.7432942833365344E-3</v>
      </c>
    </row>
    <row r="101" spans="2:8" x14ac:dyDescent="0.25">
      <c r="B101" s="64">
        <f>Data!A11</f>
        <v>45676</v>
      </c>
      <c r="C101" s="63">
        <f>Data!B11</f>
        <v>932.45</v>
      </c>
      <c r="D101" s="53">
        <f t="shared" si="2"/>
        <v>2.6249174554259236E-2</v>
      </c>
      <c r="F101" s="62">
        <f>Data!I11</f>
        <v>45676</v>
      </c>
      <c r="G101" s="63">
        <f>Data!J11</f>
        <v>23092.2</v>
      </c>
      <c r="H101" s="53">
        <f t="shared" si="3"/>
        <v>-4.7838229209764549E-3</v>
      </c>
    </row>
    <row r="102" spans="2:8" x14ac:dyDescent="0.25">
      <c r="B102" s="64">
        <f>Data!A10</f>
        <v>45683</v>
      </c>
      <c r="C102" s="63">
        <f>Data!B10</f>
        <v>945</v>
      </c>
      <c r="D102" s="53">
        <f t="shared" si="2"/>
        <v>1.3459166711351722E-2</v>
      </c>
      <c r="F102" s="62">
        <f>Data!I10</f>
        <v>45683</v>
      </c>
      <c r="G102" s="63">
        <f>Data!J10</f>
        <v>23508.400000000001</v>
      </c>
      <c r="H102" s="53">
        <f t="shared" si="3"/>
        <v>1.8023401841314346E-2</v>
      </c>
    </row>
    <row r="103" spans="2:8" x14ac:dyDescent="0.25">
      <c r="B103" s="64">
        <f>Data!A9</f>
        <v>45690</v>
      </c>
      <c r="C103" s="63">
        <f>Data!B9</f>
        <v>980.75</v>
      </c>
      <c r="D103" s="53">
        <f t="shared" si="2"/>
        <v>3.783068783068777E-2</v>
      </c>
      <c r="F103" s="62">
        <f>Data!I9</f>
        <v>45690</v>
      </c>
      <c r="G103" s="63">
        <f>Data!J9</f>
        <v>23559.95</v>
      </c>
      <c r="H103" s="53">
        <f t="shared" si="3"/>
        <v>2.1928332000475947E-3</v>
      </c>
    </row>
    <row r="104" spans="2:8" x14ac:dyDescent="0.25">
      <c r="B104" s="64">
        <f>Data!A8</f>
        <v>45697</v>
      </c>
      <c r="C104" s="63">
        <f>Data!B8</f>
        <v>964.6</v>
      </c>
      <c r="D104" s="53">
        <f t="shared" si="2"/>
        <v>-1.6466989548814648E-2</v>
      </c>
      <c r="F104" s="62">
        <f>Data!I8</f>
        <v>45697</v>
      </c>
      <c r="G104" s="63">
        <f>Data!J8</f>
        <v>22929.25</v>
      </c>
      <c r="H104" s="53">
        <f t="shared" si="3"/>
        <v>-2.6770005878620329E-2</v>
      </c>
    </row>
    <row r="105" spans="2:8" x14ac:dyDescent="0.25">
      <c r="B105" s="64">
        <f>Data!A7</f>
        <v>45704</v>
      </c>
      <c r="C105" s="63">
        <f>Data!B7</f>
        <v>981.9</v>
      </c>
      <c r="D105" s="53">
        <f t="shared" si="2"/>
        <v>1.7934895293385766E-2</v>
      </c>
      <c r="F105" s="62">
        <f>Data!I7</f>
        <v>45704</v>
      </c>
      <c r="G105" s="63">
        <f>Data!J7</f>
        <v>22795.9</v>
      </c>
      <c r="H105" s="53">
        <f t="shared" si="3"/>
        <v>-5.8157157342695331E-3</v>
      </c>
    </row>
    <row r="106" spans="2:8" x14ac:dyDescent="0.25">
      <c r="B106" s="64">
        <f>Data!A6</f>
        <v>45711</v>
      </c>
      <c r="C106" s="63">
        <f>Data!B6</f>
        <v>950.7</v>
      </c>
      <c r="D106" s="53">
        <f t="shared" si="2"/>
        <v>-3.1775129850290185E-2</v>
      </c>
      <c r="F106" s="62">
        <f>Data!I6</f>
        <v>45711</v>
      </c>
      <c r="G106" s="63">
        <f>Data!J6</f>
        <v>22124.7</v>
      </c>
      <c r="H106" s="53">
        <f t="shared" si="3"/>
        <v>-2.9443891226053842E-2</v>
      </c>
    </row>
    <row r="107" spans="2:8" x14ac:dyDescent="0.25">
      <c r="B107" s="64">
        <f>Data!A5</f>
        <v>45718</v>
      </c>
      <c r="C107" s="63">
        <f>Data!B5</f>
        <v>1011.15</v>
      </c>
      <c r="D107" s="53">
        <f t="shared" si="2"/>
        <v>6.3584727043231259E-2</v>
      </c>
      <c r="F107" s="62">
        <f>Data!I5</f>
        <v>45718</v>
      </c>
      <c r="G107" s="63">
        <f>Data!J5</f>
        <v>22552.5</v>
      </c>
      <c r="H107" s="53">
        <f t="shared" si="3"/>
        <v>1.9335855401429125E-2</v>
      </c>
    </row>
    <row r="108" spans="2:8" x14ac:dyDescent="0.25">
      <c r="B108" s="64">
        <f>Data!A4</f>
        <v>45725</v>
      </c>
      <c r="C108" s="63">
        <f>Data!B4</f>
        <v>1001.2</v>
      </c>
      <c r="D108" s="53">
        <f t="shared" si="2"/>
        <v>-9.8402808683182297E-3</v>
      </c>
      <c r="F108" s="62">
        <f>Data!I4</f>
        <v>45725</v>
      </c>
      <c r="G108" s="63">
        <f>Data!J4</f>
        <v>22397.200000000001</v>
      </c>
      <c r="H108" s="53">
        <f t="shared" si="3"/>
        <v>-6.8861545283227521E-3</v>
      </c>
    </row>
    <row r="109" spans="2:8" x14ac:dyDescent="0.25">
      <c r="B109" s="62"/>
    </row>
    <row r="110" spans="2:8" x14ac:dyDescent="0.25">
      <c r="B110" s="62"/>
    </row>
    <row r="111" spans="2:8" x14ac:dyDescent="0.25">
      <c r="B111" s="62"/>
    </row>
    <row r="112" spans="2:8" x14ac:dyDescent="0.25">
      <c r="B112" s="62"/>
    </row>
    <row r="113" spans="2:2" x14ac:dyDescent="0.25">
      <c r="B113" s="62"/>
    </row>
    <row r="114" spans="2:2" x14ac:dyDescent="0.25">
      <c r="B114" s="62"/>
    </row>
    <row r="115" spans="2:2" x14ac:dyDescent="0.25">
      <c r="B115" s="62"/>
    </row>
    <row r="116" spans="2:2" x14ac:dyDescent="0.25">
      <c r="B116" s="62"/>
    </row>
    <row r="117" spans="2:2" x14ac:dyDescent="0.25">
      <c r="B117" s="62"/>
    </row>
    <row r="118" spans="2:2" x14ac:dyDescent="0.25">
      <c r="B118" s="62"/>
    </row>
    <row r="119" spans="2:2" x14ac:dyDescent="0.25">
      <c r="B119" s="62"/>
    </row>
    <row r="120" spans="2:2" x14ac:dyDescent="0.25">
      <c r="B120" s="62"/>
    </row>
    <row r="121" spans="2:2" x14ac:dyDescent="0.25">
      <c r="B121" s="62"/>
    </row>
    <row r="122" spans="2:2" x14ac:dyDescent="0.25">
      <c r="B122" s="62"/>
    </row>
    <row r="123" spans="2:2" x14ac:dyDescent="0.25">
      <c r="B123" s="62"/>
    </row>
    <row r="124" spans="2:2" x14ac:dyDescent="0.25">
      <c r="B124" s="62"/>
    </row>
    <row r="125" spans="2:2" x14ac:dyDescent="0.25">
      <c r="B125" s="62"/>
    </row>
    <row r="126" spans="2:2" x14ac:dyDescent="0.25">
      <c r="B126" s="62"/>
    </row>
    <row r="127" spans="2:2" x14ac:dyDescent="0.25">
      <c r="B127" s="62"/>
    </row>
    <row r="128" spans="2:2" x14ac:dyDescent="0.25">
      <c r="B128" s="62"/>
    </row>
    <row r="129" spans="2:2" x14ac:dyDescent="0.25">
      <c r="B129" s="62"/>
    </row>
    <row r="130" spans="2:2" x14ac:dyDescent="0.25">
      <c r="B130" s="62"/>
    </row>
    <row r="131" spans="2:2" x14ac:dyDescent="0.25">
      <c r="B131" s="62"/>
    </row>
    <row r="132" spans="2:2" x14ac:dyDescent="0.25">
      <c r="B132" s="62"/>
    </row>
    <row r="133" spans="2:2" x14ac:dyDescent="0.25">
      <c r="B133" s="62"/>
    </row>
    <row r="134" spans="2:2" x14ac:dyDescent="0.25">
      <c r="B134" s="62"/>
    </row>
    <row r="135" spans="2:2" x14ac:dyDescent="0.25">
      <c r="B135" s="62"/>
    </row>
    <row r="136" spans="2:2" x14ac:dyDescent="0.25">
      <c r="B136" s="62"/>
    </row>
    <row r="137" spans="2:2" x14ac:dyDescent="0.25">
      <c r="B137" s="62"/>
    </row>
    <row r="138" spans="2:2" x14ac:dyDescent="0.25">
      <c r="B138" s="62"/>
    </row>
    <row r="139" spans="2:2" x14ac:dyDescent="0.25">
      <c r="B139" s="62"/>
    </row>
    <row r="140" spans="2:2" x14ac:dyDescent="0.25">
      <c r="B140" s="62"/>
    </row>
    <row r="141" spans="2:2" x14ac:dyDescent="0.25">
      <c r="B141" s="62"/>
    </row>
    <row r="142" spans="2:2" x14ac:dyDescent="0.25">
      <c r="B142" s="62"/>
    </row>
    <row r="143" spans="2:2" x14ac:dyDescent="0.25">
      <c r="B143" s="62"/>
    </row>
    <row r="144" spans="2:2" x14ac:dyDescent="0.25">
      <c r="B144" s="62"/>
    </row>
    <row r="145" spans="2:2" x14ac:dyDescent="0.25">
      <c r="B145" s="62"/>
    </row>
    <row r="146" spans="2:2" x14ac:dyDescent="0.25">
      <c r="B146" s="62"/>
    </row>
    <row r="147" spans="2:2" x14ac:dyDescent="0.25">
      <c r="B147" s="62"/>
    </row>
    <row r="148" spans="2:2" x14ac:dyDescent="0.25">
      <c r="B148" s="62"/>
    </row>
    <row r="149" spans="2:2" x14ac:dyDescent="0.25">
      <c r="B149" s="62"/>
    </row>
    <row r="150" spans="2:2" x14ac:dyDescent="0.25">
      <c r="B150" s="62"/>
    </row>
    <row r="151" spans="2:2" x14ac:dyDescent="0.25">
      <c r="B151" s="62"/>
    </row>
    <row r="152" spans="2:2" x14ac:dyDescent="0.25">
      <c r="B152" s="62"/>
    </row>
  </sheetData>
  <mergeCells count="2">
    <mergeCell ref="B2:D2"/>
    <mergeCell ref="F2:H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78"/>
  <sheetViews>
    <sheetView showGridLines="0" workbookViewId="0">
      <selection activeCell="G14" sqref="G14"/>
    </sheetView>
  </sheetViews>
  <sheetFormatPr defaultRowHeight="15" x14ac:dyDescent="0.25"/>
  <cols>
    <col min="1" max="1" width="1.85546875" customWidth="1"/>
    <col min="2" max="2" width="7.85546875" customWidth="1"/>
    <col min="3" max="3" width="10.28515625" customWidth="1"/>
  </cols>
  <sheetData>
    <row r="2" spans="2:8" x14ac:dyDescent="0.25">
      <c r="B2" s="8" t="s">
        <v>203</v>
      </c>
      <c r="C2" s="35"/>
      <c r="D2" s="35"/>
      <c r="E2" s="35"/>
      <c r="F2" s="35"/>
      <c r="G2" s="35"/>
      <c r="H2" s="35"/>
    </row>
    <row r="4" spans="2:8" x14ac:dyDescent="0.25">
      <c r="B4" s="88" t="s">
        <v>160</v>
      </c>
      <c r="C4" s="93" t="s">
        <v>169</v>
      </c>
      <c r="E4" t="s">
        <v>204</v>
      </c>
      <c r="G4" s="33">
        <f>AVERAGE(C5:C29)</f>
        <v>0.15334799999999998</v>
      </c>
    </row>
    <row r="5" spans="2:8" x14ac:dyDescent="0.25">
      <c r="B5" s="56">
        <f t="array" ref="B5">Data!T5</f>
        <v>2000</v>
      </c>
      <c r="C5" s="33">
        <f>Data!U5/$E$9</f>
        <v>-0.14649999999999999</v>
      </c>
      <c r="E5" t="s">
        <v>205</v>
      </c>
      <c r="G5" s="33">
        <f>1.45%</f>
        <v>1.4499999999999999E-2</v>
      </c>
    </row>
    <row r="6" spans="2:8" x14ac:dyDescent="0.25">
      <c r="B6" s="56">
        <f t="array" ref="B6">Data!T6</f>
        <v>2001</v>
      </c>
      <c r="C6" s="33">
        <f>Data!U6/$E$9</f>
        <v>-0.1618</v>
      </c>
      <c r="E6" s="94" t="s">
        <v>206</v>
      </c>
      <c r="F6" s="94"/>
      <c r="G6" s="95">
        <f>SUM(G4:G5)</f>
        <v>0.167848</v>
      </c>
    </row>
    <row r="7" spans="2:8" x14ac:dyDescent="0.25">
      <c r="B7" s="56">
        <f t="array" ref="B7">Data!T7</f>
        <v>2002</v>
      </c>
      <c r="C7" s="33">
        <f>Data!U7/$E$9</f>
        <v>3.2500000000000001E-2</v>
      </c>
    </row>
    <row r="8" spans="2:8" x14ac:dyDescent="0.25">
      <c r="B8" s="56">
        <f t="array" ref="B8">Data!T8</f>
        <v>2003</v>
      </c>
      <c r="C8" s="33">
        <f>Data!U8/$E$9</f>
        <v>0.71900000000000008</v>
      </c>
    </row>
    <row r="9" spans="2:8" x14ac:dyDescent="0.25">
      <c r="B9" s="56">
        <f t="array" ref="B9">Data!T9</f>
        <v>2004</v>
      </c>
      <c r="C9" s="33">
        <f>Data!U9/$E$9</f>
        <v>0.10679999999999999</v>
      </c>
      <c r="E9">
        <f>100</f>
        <v>100</v>
      </c>
    </row>
    <row r="10" spans="2:8" x14ac:dyDescent="0.25">
      <c r="B10" s="56">
        <f t="array" ref="B10">Data!T10</f>
        <v>2005</v>
      </c>
      <c r="C10" s="33">
        <f>Data!U10/$E$9</f>
        <v>0.36340000000000006</v>
      </c>
    </row>
    <row r="11" spans="2:8" x14ac:dyDescent="0.25">
      <c r="B11" s="56">
        <f t="array" ref="B11">Data!T11</f>
        <v>2006</v>
      </c>
      <c r="C11" s="33">
        <f>Data!U11/$E$9</f>
        <v>0.39829999999999999</v>
      </c>
    </row>
    <row r="12" spans="2:8" x14ac:dyDescent="0.25">
      <c r="B12" s="56">
        <f t="array" ref="B12">Data!T12</f>
        <v>2007</v>
      </c>
      <c r="C12" s="33">
        <f>Data!U12/$E$9</f>
        <v>0.54770000000000008</v>
      </c>
    </row>
    <row r="13" spans="2:8" x14ac:dyDescent="0.25">
      <c r="B13" s="56">
        <f t="array" ref="B13">Data!T13</f>
        <v>2008</v>
      </c>
      <c r="C13" s="33">
        <f>Data!U13/$E$9</f>
        <v>-0.51790000000000003</v>
      </c>
    </row>
    <row r="14" spans="2:8" x14ac:dyDescent="0.25">
      <c r="B14" s="56">
        <f t="array" ref="B14">Data!T14</f>
        <v>2009</v>
      </c>
      <c r="C14" s="33">
        <f>Data!U14/$E$9</f>
        <v>0.75760000000000005</v>
      </c>
    </row>
    <row r="15" spans="2:8" x14ac:dyDescent="0.25">
      <c r="B15" s="56">
        <f t="array" ref="B15">Data!T15</f>
        <v>2010</v>
      </c>
      <c r="C15" s="33">
        <f>Data!U15/$E$9</f>
        <v>0.17949999999999999</v>
      </c>
    </row>
    <row r="16" spans="2:8" x14ac:dyDescent="0.25">
      <c r="B16" s="56">
        <f t="array" ref="B16">Data!T16</f>
        <v>2011</v>
      </c>
      <c r="C16" s="33">
        <f>Data!U16/$E$9</f>
        <v>-0.2462</v>
      </c>
    </row>
    <row r="17" spans="2:3" x14ac:dyDescent="0.25">
      <c r="B17" s="56">
        <f t="array" ref="B17">Data!T17</f>
        <v>2012</v>
      </c>
      <c r="C17" s="33">
        <f>Data!U17/$E$9</f>
        <v>0.27699999999999997</v>
      </c>
    </row>
    <row r="18" spans="2:3" x14ac:dyDescent="0.25">
      <c r="B18" s="56">
        <f t="array" ref="B18">Data!T18</f>
        <v>2013</v>
      </c>
      <c r="C18" s="33">
        <f>Data!U18/$E$9</f>
        <v>6.7599999999999993E-2</v>
      </c>
    </row>
    <row r="19" spans="2:3" x14ac:dyDescent="0.25">
      <c r="B19" s="56">
        <f t="array" ref="B19">Data!T19</f>
        <v>2014</v>
      </c>
      <c r="C19" s="33">
        <f>Data!U19/$E$9</f>
        <v>0.31390000000000001</v>
      </c>
    </row>
    <row r="20" spans="2:3" x14ac:dyDescent="0.25">
      <c r="B20" s="56">
        <f t="array" ref="B20">Data!T20</f>
        <v>2015</v>
      </c>
      <c r="C20" s="33">
        <f>Data!U20/$E$9</f>
        <v>-4.0599999999999997E-2</v>
      </c>
    </row>
    <row r="21" spans="2:3" x14ac:dyDescent="0.25">
      <c r="B21" s="56">
        <f t="array" ref="B21">Data!T21</f>
        <v>2016</v>
      </c>
      <c r="C21" s="33">
        <f>Data!U21/$E$9</f>
        <v>3.0099999999999998E-2</v>
      </c>
    </row>
    <row r="22" spans="2:3" x14ac:dyDescent="0.25">
      <c r="B22" s="56">
        <f t="array" ref="B22">Data!T22</f>
        <v>2017</v>
      </c>
      <c r="C22" s="33">
        <f>Data!U22/$E$9</f>
        <v>0.28649999999999998</v>
      </c>
    </row>
    <row r="23" spans="2:3" x14ac:dyDescent="0.25">
      <c r="B23" s="56">
        <f t="array" ref="B23">Data!T23</f>
        <v>2018</v>
      </c>
      <c r="C23" s="33">
        <f>Data!U23/$E$9</f>
        <v>3.15E-2</v>
      </c>
    </row>
    <row r="24" spans="2:3" x14ac:dyDescent="0.25">
      <c r="B24" s="56">
        <f t="array" ref="B24">Data!T24</f>
        <v>2019</v>
      </c>
      <c r="C24" s="33">
        <f>Data!U24/$E$9</f>
        <v>0.1202</v>
      </c>
    </row>
    <row r="25" spans="2:3" x14ac:dyDescent="0.25">
      <c r="B25" s="56">
        <f t="array" ref="B25">Data!T25</f>
        <v>2020</v>
      </c>
      <c r="C25" s="33">
        <f>Data!U25/$E$9</f>
        <v>0.14899999999999999</v>
      </c>
    </row>
    <row r="26" spans="2:3" x14ac:dyDescent="0.25">
      <c r="B26" s="56">
        <f t="array" ref="B26">Data!T26</f>
        <v>2021</v>
      </c>
      <c r="C26" s="33">
        <f>Data!U26/$E$9</f>
        <v>0.2412</v>
      </c>
    </row>
    <row r="27" spans="2:3" x14ac:dyDescent="0.25">
      <c r="B27" s="56">
        <f t="array" ref="B27">Data!T27</f>
        <v>2022</v>
      </c>
      <c r="C27" s="33">
        <f>Data!U27/$E$9</f>
        <v>4.3200000000000002E-2</v>
      </c>
    </row>
    <row r="28" spans="2:3" x14ac:dyDescent="0.25">
      <c r="B28" s="56">
        <f t="array" ref="B28">Data!T28</f>
        <v>2023</v>
      </c>
      <c r="C28" s="33">
        <f>Data!U28/$E$9</f>
        <v>0.19420000000000001</v>
      </c>
    </row>
    <row r="29" spans="2:3" x14ac:dyDescent="0.25">
      <c r="B29" s="56">
        <f t="array" ref="B29">Data!T29</f>
        <v>2024</v>
      </c>
      <c r="C29" s="33">
        <f>Data!U29/$E$9</f>
        <v>8.7499999999999994E-2</v>
      </c>
    </row>
    <row r="30" spans="2:3" x14ac:dyDescent="0.25">
      <c r="B30" s="56"/>
    </row>
    <row r="31" spans="2:3" x14ac:dyDescent="0.25">
      <c r="B31" s="70"/>
    </row>
    <row r="32" spans="2:3" x14ac:dyDescent="0.25">
      <c r="B32" s="70"/>
    </row>
    <row r="33" spans="2:2" x14ac:dyDescent="0.25">
      <c r="B33" s="70"/>
    </row>
    <row r="34" spans="2:2" x14ac:dyDescent="0.25">
      <c r="B34" s="70"/>
    </row>
    <row r="35" spans="2:2" x14ac:dyDescent="0.25">
      <c r="B35" s="70"/>
    </row>
    <row r="36" spans="2:2" x14ac:dyDescent="0.25">
      <c r="B36" s="70"/>
    </row>
    <row r="37" spans="2:2" x14ac:dyDescent="0.25">
      <c r="B37" s="70"/>
    </row>
    <row r="38" spans="2:2" x14ac:dyDescent="0.25">
      <c r="B38" s="70"/>
    </row>
    <row r="39" spans="2:2" x14ac:dyDescent="0.25">
      <c r="B39" s="70"/>
    </row>
    <row r="40" spans="2:2" x14ac:dyDescent="0.25">
      <c r="B40" s="70"/>
    </row>
    <row r="41" spans="2:2" x14ac:dyDescent="0.25">
      <c r="B41" s="70"/>
    </row>
    <row r="42" spans="2:2" x14ac:dyDescent="0.25">
      <c r="B42" s="70"/>
    </row>
    <row r="43" spans="2:2" x14ac:dyDescent="0.25">
      <c r="B43" s="70"/>
    </row>
    <row r="44" spans="2:2" x14ac:dyDescent="0.25">
      <c r="B44" s="70"/>
    </row>
    <row r="45" spans="2:2" x14ac:dyDescent="0.25">
      <c r="B45" s="70"/>
    </row>
    <row r="46" spans="2:2" x14ac:dyDescent="0.25">
      <c r="B46" s="70"/>
    </row>
    <row r="47" spans="2:2" x14ac:dyDescent="0.25">
      <c r="B47" s="70"/>
    </row>
    <row r="48" spans="2:2" x14ac:dyDescent="0.25">
      <c r="B48" s="70"/>
    </row>
    <row r="49" spans="2:2" x14ac:dyDescent="0.25">
      <c r="B49" s="70"/>
    </row>
    <row r="50" spans="2:2" x14ac:dyDescent="0.25">
      <c r="B50" s="70"/>
    </row>
    <row r="51" spans="2:2" x14ac:dyDescent="0.25">
      <c r="B51" s="70"/>
    </row>
    <row r="52" spans="2:2" x14ac:dyDescent="0.25">
      <c r="B52" s="70"/>
    </row>
    <row r="53" spans="2:2" x14ac:dyDescent="0.25">
      <c r="B53" s="70"/>
    </row>
    <row r="54" spans="2:2" x14ac:dyDescent="0.25">
      <c r="B54" s="70"/>
    </row>
    <row r="55" spans="2:2" x14ac:dyDescent="0.25">
      <c r="B55" s="70"/>
    </row>
    <row r="56" spans="2:2" x14ac:dyDescent="0.25">
      <c r="B56" s="70"/>
    </row>
    <row r="57" spans="2:2" x14ac:dyDescent="0.25">
      <c r="B57" s="70"/>
    </row>
    <row r="58" spans="2:2" x14ac:dyDescent="0.25">
      <c r="B58" s="70"/>
    </row>
    <row r="59" spans="2:2" x14ac:dyDescent="0.25">
      <c r="B59" s="70"/>
    </row>
    <row r="60" spans="2:2" x14ac:dyDescent="0.25">
      <c r="B60" s="70"/>
    </row>
    <row r="61" spans="2:2" x14ac:dyDescent="0.25">
      <c r="B61" s="70"/>
    </row>
    <row r="62" spans="2:2" x14ac:dyDescent="0.25">
      <c r="B62" s="70"/>
    </row>
    <row r="63" spans="2:2" x14ac:dyDescent="0.25">
      <c r="B63" s="70"/>
    </row>
    <row r="64" spans="2:2" x14ac:dyDescent="0.25">
      <c r="B64" s="70"/>
    </row>
    <row r="65" spans="2:2" x14ac:dyDescent="0.25">
      <c r="B65" s="70"/>
    </row>
    <row r="66" spans="2:2" x14ac:dyDescent="0.25">
      <c r="B66" s="70"/>
    </row>
    <row r="67" spans="2:2" x14ac:dyDescent="0.25">
      <c r="B67" s="70"/>
    </row>
    <row r="68" spans="2:2" x14ac:dyDescent="0.25">
      <c r="B68" s="70"/>
    </row>
    <row r="69" spans="2:2" x14ac:dyDescent="0.25">
      <c r="B69" s="70"/>
    </row>
    <row r="70" spans="2:2" x14ac:dyDescent="0.25">
      <c r="B70" s="70"/>
    </row>
    <row r="71" spans="2:2" x14ac:dyDescent="0.25">
      <c r="B71" s="70"/>
    </row>
    <row r="72" spans="2:2" x14ac:dyDescent="0.25">
      <c r="B72" s="70"/>
    </row>
    <row r="73" spans="2:2" x14ac:dyDescent="0.25">
      <c r="B73" s="70"/>
    </row>
    <row r="74" spans="2:2" x14ac:dyDescent="0.25">
      <c r="B74" s="70"/>
    </row>
    <row r="75" spans="2:2" x14ac:dyDescent="0.25">
      <c r="B75" s="70"/>
    </row>
    <row r="76" spans="2:2" x14ac:dyDescent="0.25">
      <c r="B76" s="70"/>
    </row>
    <row r="77" spans="2:2" x14ac:dyDescent="0.25">
      <c r="B77" s="70"/>
    </row>
    <row r="78" spans="2:2" x14ac:dyDescent="0.25">
      <c r="B78" s="70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06"/>
  <sheetViews>
    <sheetView workbookViewId="0">
      <selection activeCell="W12" sqref="W12"/>
    </sheetView>
  </sheetViews>
  <sheetFormatPr defaultRowHeight="15" x14ac:dyDescent="0.25"/>
  <cols>
    <col min="1" max="1" width="10.42578125" bestFit="1" customWidth="1"/>
    <col min="9" max="9" width="10.42578125" bestFit="1" customWidth="1"/>
    <col min="14" max="14" width="8.28515625" bestFit="1" customWidth="1"/>
    <col min="15" max="15" width="9.5703125" bestFit="1" customWidth="1"/>
  </cols>
  <sheetData>
    <row r="1" spans="1:21" x14ac:dyDescent="0.25">
      <c r="A1" t="s">
        <v>171</v>
      </c>
      <c r="I1" t="s">
        <v>172</v>
      </c>
    </row>
    <row r="2" spans="1:21" x14ac:dyDescent="0.25">
      <c r="A2" t="s">
        <v>167</v>
      </c>
      <c r="B2" t="s">
        <v>166</v>
      </c>
      <c r="I2" t="s">
        <v>167</v>
      </c>
      <c r="J2" t="s">
        <v>166</v>
      </c>
      <c r="N2" t="s">
        <v>201</v>
      </c>
      <c r="T2" t="s">
        <v>202</v>
      </c>
    </row>
    <row r="3" spans="1:21" x14ac:dyDescent="0.25">
      <c r="A3" s="62">
        <v>45732</v>
      </c>
      <c r="B3" s="63">
        <v>1050.25</v>
      </c>
      <c r="C3" s="63"/>
      <c r="D3" s="63"/>
      <c r="E3" s="63"/>
      <c r="G3" s="33"/>
      <c r="I3" s="62">
        <v>45732</v>
      </c>
      <c r="J3" s="63">
        <v>23190.65</v>
      </c>
      <c r="K3" s="63"/>
      <c r="L3" s="63"/>
      <c r="M3" s="63"/>
      <c r="N3" s="54" t="s">
        <v>160</v>
      </c>
      <c r="O3" t="s">
        <v>200</v>
      </c>
    </row>
    <row r="4" spans="1:21" x14ac:dyDescent="0.25">
      <c r="A4" s="62">
        <v>45725</v>
      </c>
      <c r="B4" s="63">
        <v>1001.2</v>
      </c>
      <c r="C4" s="63"/>
      <c r="D4" s="63"/>
      <c r="G4" s="33"/>
      <c r="I4" s="62">
        <v>45725</v>
      </c>
      <c r="J4" s="63">
        <v>22397.200000000001</v>
      </c>
      <c r="K4" s="63"/>
      <c r="L4" s="63"/>
      <c r="M4" s="63"/>
      <c r="N4" s="54">
        <v>2000</v>
      </c>
      <c r="O4">
        <v>-14.65</v>
      </c>
      <c r="T4" t="s">
        <v>160</v>
      </c>
      <c r="U4" t="s">
        <v>200</v>
      </c>
    </row>
    <row r="5" spans="1:21" x14ac:dyDescent="0.25">
      <c r="A5" s="62">
        <v>45718</v>
      </c>
      <c r="B5" s="63">
        <v>1011.15</v>
      </c>
      <c r="D5" s="63"/>
      <c r="G5" s="33"/>
      <c r="I5" s="62">
        <v>45718</v>
      </c>
      <c r="J5" s="63">
        <v>22552.5</v>
      </c>
      <c r="K5" s="63"/>
      <c r="L5" s="63"/>
      <c r="M5" s="63"/>
      <c r="N5" s="54">
        <v>2001</v>
      </c>
      <c r="O5">
        <v>-16.18</v>
      </c>
      <c r="T5" s="56">
        <v>2000</v>
      </c>
      <c r="U5">
        <v>-14.65</v>
      </c>
    </row>
    <row r="6" spans="1:21" x14ac:dyDescent="0.25">
      <c r="A6" s="62">
        <v>45711</v>
      </c>
      <c r="B6">
        <v>950.7</v>
      </c>
      <c r="G6" s="33"/>
      <c r="I6" s="62">
        <v>45711</v>
      </c>
      <c r="J6" s="63">
        <v>22124.7</v>
      </c>
      <c r="K6" s="63"/>
      <c r="L6" s="63"/>
      <c r="M6" s="63"/>
      <c r="N6" s="54">
        <v>2002</v>
      </c>
      <c r="O6">
        <v>3.25</v>
      </c>
      <c r="T6" s="56">
        <v>2001</v>
      </c>
      <c r="U6">
        <v>-16.18</v>
      </c>
    </row>
    <row r="7" spans="1:21" x14ac:dyDescent="0.25">
      <c r="A7" s="62">
        <v>45704</v>
      </c>
      <c r="B7">
        <v>981.9</v>
      </c>
      <c r="G7" s="33"/>
      <c r="I7" s="62">
        <v>45704</v>
      </c>
      <c r="J7" s="63">
        <v>22795.9</v>
      </c>
      <c r="K7" s="63"/>
      <c r="L7" s="63"/>
      <c r="M7" s="63"/>
      <c r="N7" s="54">
        <v>2003</v>
      </c>
      <c r="O7">
        <v>71.900000000000006</v>
      </c>
      <c r="T7" s="56">
        <v>2002</v>
      </c>
      <c r="U7">
        <v>3.25</v>
      </c>
    </row>
    <row r="8" spans="1:21" x14ac:dyDescent="0.25">
      <c r="A8" s="62">
        <v>45697</v>
      </c>
      <c r="B8">
        <v>964.6</v>
      </c>
      <c r="G8" s="33"/>
      <c r="I8" s="62">
        <v>45697</v>
      </c>
      <c r="J8" s="63">
        <v>22929.25</v>
      </c>
      <c r="K8" s="63"/>
      <c r="L8" s="63"/>
      <c r="M8" s="63"/>
      <c r="N8" s="54">
        <v>2004</v>
      </c>
      <c r="O8">
        <v>10.68</v>
      </c>
      <c r="T8" s="56">
        <v>2003</v>
      </c>
      <c r="U8">
        <v>71.900000000000006</v>
      </c>
    </row>
    <row r="9" spans="1:21" x14ac:dyDescent="0.25">
      <c r="A9" s="62">
        <v>45690</v>
      </c>
      <c r="B9">
        <v>980.75</v>
      </c>
      <c r="G9" s="33"/>
      <c r="I9" s="62">
        <v>45690</v>
      </c>
      <c r="J9" s="63">
        <v>23559.95</v>
      </c>
      <c r="K9" s="63"/>
      <c r="L9" s="63"/>
      <c r="M9" s="63"/>
      <c r="N9" s="54">
        <v>2005</v>
      </c>
      <c r="O9">
        <v>36.340000000000003</v>
      </c>
      <c r="T9" s="56">
        <v>2004</v>
      </c>
      <c r="U9">
        <v>10.68</v>
      </c>
    </row>
    <row r="10" spans="1:21" x14ac:dyDescent="0.25">
      <c r="A10" s="62">
        <v>45683</v>
      </c>
      <c r="B10">
        <v>945</v>
      </c>
      <c r="G10" s="33"/>
      <c r="I10" s="62">
        <v>45683</v>
      </c>
      <c r="J10" s="63">
        <v>23508.400000000001</v>
      </c>
      <c r="K10" s="63"/>
      <c r="L10" s="63"/>
      <c r="M10" s="63"/>
      <c r="N10" s="54">
        <v>2006</v>
      </c>
      <c r="O10">
        <v>39.83</v>
      </c>
      <c r="T10" s="56">
        <v>2005</v>
      </c>
      <c r="U10">
        <v>36.340000000000003</v>
      </c>
    </row>
    <row r="11" spans="1:21" x14ac:dyDescent="0.25">
      <c r="A11" s="62">
        <v>45676</v>
      </c>
      <c r="B11">
        <v>932.45</v>
      </c>
      <c r="G11" s="33"/>
      <c r="I11" s="62">
        <v>45676</v>
      </c>
      <c r="J11" s="63">
        <v>23092.2</v>
      </c>
      <c r="K11" s="63"/>
      <c r="L11" s="63"/>
      <c r="M11" s="63"/>
      <c r="N11" s="54">
        <v>2007</v>
      </c>
      <c r="O11">
        <v>54.77</v>
      </c>
      <c r="T11" s="56">
        <v>2006</v>
      </c>
      <c r="U11">
        <v>39.83</v>
      </c>
    </row>
    <row r="12" spans="1:21" x14ac:dyDescent="0.25">
      <c r="A12" s="62">
        <v>45669</v>
      </c>
      <c r="B12">
        <v>908.6</v>
      </c>
      <c r="G12" s="33"/>
      <c r="I12" s="62">
        <v>45669</v>
      </c>
      <c r="J12" s="63">
        <v>23203.200000000001</v>
      </c>
      <c r="K12" s="63"/>
      <c r="L12" s="63"/>
      <c r="M12" s="63"/>
      <c r="N12" s="54">
        <v>2008</v>
      </c>
      <c r="O12">
        <v>-51.79</v>
      </c>
      <c r="T12" s="56">
        <v>2007</v>
      </c>
      <c r="U12">
        <v>54.77</v>
      </c>
    </row>
    <row r="13" spans="1:21" x14ac:dyDescent="0.25">
      <c r="A13" s="62">
        <v>45662</v>
      </c>
      <c r="B13">
        <v>900.1</v>
      </c>
      <c r="G13" s="33"/>
      <c r="I13" s="62">
        <v>45662</v>
      </c>
      <c r="J13" s="63">
        <v>23431.5</v>
      </c>
      <c r="K13" s="63"/>
      <c r="L13" s="63"/>
      <c r="M13" s="63"/>
      <c r="N13" s="54">
        <v>2009</v>
      </c>
      <c r="O13">
        <v>75.760000000000005</v>
      </c>
      <c r="T13" s="56">
        <v>2008</v>
      </c>
      <c r="U13">
        <v>-51.79</v>
      </c>
    </row>
    <row r="14" spans="1:21" x14ac:dyDescent="0.25">
      <c r="A14" s="62">
        <v>45655</v>
      </c>
      <c r="B14">
        <v>915.05</v>
      </c>
      <c r="G14" s="33"/>
      <c r="I14" s="62">
        <v>45655</v>
      </c>
      <c r="J14" s="63">
        <v>24004.75</v>
      </c>
      <c r="K14" s="63"/>
      <c r="L14" s="63"/>
      <c r="M14" s="63"/>
      <c r="N14" s="54">
        <v>2010</v>
      </c>
      <c r="O14">
        <v>17.95</v>
      </c>
      <c r="T14" s="56">
        <v>2009</v>
      </c>
      <c r="U14">
        <v>75.760000000000005</v>
      </c>
    </row>
    <row r="15" spans="1:21" x14ac:dyDescent="0.25">
      <c r="A15" s="62">
        <v>45648</v>
      </c>
      <c r="B15">
        <v>913.3</v>
      </c>
      <c r="G15" s="33"/>
      <c r="I15" s="62">
        <v>45648</v>
      </c>
      <c r="J15" s="63">
        <v>23813.4</v>
      </c>
      <c r="K15" s="63"/>
      <c r="L15" s="63"/>
      <c r="M15" s="63"/>
      <c r="N15" s="54">
        <v>2011</v>
      </c>
      <c r="O15">
        <v>-24.62</v>
      </c>
      <c r="T15" s="56">
        <v>2010</v>
      </c>
      <c r="U15">
        <v>17.95</v>
      </c>
    </row>
    <row r="16" spans="1:21" x14ac:dyDescent="0.25">
      <c r="A16" s="62">
        <v>45641</v>
      </c>
      <c r="B16">
        <v>917.35</v>
      </c>
      <c r="C16" s="63"/>
      <c r="D16" s="63"/>
      <c r="G16" s="33"/>
      <c r="I16" s="62">
        <v>45641</v>
      </c>
      <c r="J16" s="63">
        <v>23587.5</v>
      </c>
      <c r="K16" s="63"/>
      <c r="L16" s="63"/>
      <c r="M16" s="63"/>
      <c r="N16" s="54">
        <v>2012</v>
      </c>
      <c r="O16">
        <v>27.7</v>
      </c>
      <c r="T16" s="56">
        <v>2011</v>
      </c>
      <c r="U16">
        <v>-24.62</v>
      </c>
    </row>
    <row r="17" spans="1:21" x14ac:dyDescent="0.25">
      <c r="A17" s="62">
        <v>45634</v>
      </c>
      <c r="B17">
        <v>999.85</v>
      </c>
      <c r="C17" s="63"/>
      <c r="D17" s="63"/>
      <c r="G17" s="33"/>
      <c r="I17" s="62">
        <v>45634</v>
      </c>
      <c r="J17" s="63">
        <v>24768.3</v>
      </c>
      <c r="K17" s="63"/>
      <c r="L17" s="63"/>
      <c r="M17" s="63"/>
      <c r="N17" s="54">
        <v>2013</v>
      </c>
      <c r="O17">
        <v>6.76</v>
      </c>
      <c r="T17" s="56">
        <v>2012</v>
      </c>
      <c r="U17">
        <v>27.7</v>
      </c>
    </row>
    <row r="18" spans="1:21" x14ac:dyDescent="0.25">
      <c r="A18" s="62">
        <v>45627</v>
      </c>
      <c r="B18" s="63">
        <v>1003.8</v>
      </c>
      <c r="D18" s="63"/>
      <c r="G18" s="33"/>
      <c r="I18" s="62">
        <v>45627</v>
      </c>
      <c r="J18" s="63">
        <v>24677.8</v>
      </c>
      <c r="K18" s="63"/>
      <c r="L18" s="63"/>
      <c r="M18" s="63"/>
      <c r="N18" s="54">
        <v>2014</v>
      </c>
      <c r="O18">
        <v>31.39</v>
      </c>
      <c r="T18" s="56">
        <v>2013</v>
      </c>
      <c r="U18">
        <v>6.76</v>
      </c>
    </row>
    <row r="19" spans="1:21" x14ac:dyDescent="0.25">
      <c r="A19" s="62">
        <v>45620</v>
      </c>
      <c r="B19">
        <v>966</v>
      </c>
      <c r="G19" s="33"/>
      <c r="I19" s="62">
        <v>45620</v>
      </c>
      <c r="J19" s="63">
        <v>24131.1</v>
      </c>
      <c r="K19" s="63"/>
      <c r="L19" s="63"/>
      <c r="M19" s="63"/>
      <c r="N19" s="54">
        <v>2015</v>
      </c>
      <c r="O19">
        <v>-4.0599999999999996</v>
      </c>
      <c r="T19" s="56">
        <v>2014</v>
      </c>
      <c r="U19">
        <v>31.39</v>
      </c>
    </row>
    <row r="20" spans="1:21" x14ac:dyDescent="0.25">
      <c r="A20" s="62">
        <v>45613</v>
      </c>
      <c r="B20">
        <v>977.35</v>
      </c>
      <c r="G20" s="33"/>
      <c r="I20" s="62">
        <v>45613</v>
      </c>
      <c r="J20" s="63">
        <v>23907.25</v>
      </c>
      <c r="K20" s="63"/>
      <c r="L20" s="63"/>
      <c r="M20" s="63"/>
      <c r="N20" s="54">
        <v>2016</v>
      </c>
      <c r="O20">
        <v>3.01</v>
      </c>
      <c r="T20" s="56">
        <v>2015</v>
      </c>
      <c r="U20">
        <v>-4.0599999999999996</v>
      </c>
    </row>
    <row r="21" spans="1:21" x14ac:dyDescent="0.25">
      <c r="A21" s="62">
        <v>45606</v>
      </c>
      <c r="B21">
        <v>939.05</v>
      </c>
      <c r="G21" s="33"/>
      <c r="I21" s="62">
        <v>45606</v>
      </c>
      <c r="J21" s="63">
        <v>23532.7</v>
      </c>
      <c r="K21" s="63"/>
      <c r="L21" s="63"/>
      <c r="M21" s="63"/>
      <c r="N21" s="54">
        <v>2017</v>
      </c>
      <c r="O21">
        <v>28.65</v>
      </c>
      <c r="T21" s="56">
        <v>2016</v>
      </c>
      <c r="U21">
        <v>3.01</v>
      </c>
    </row>
    <row r="22" spans="1:21" x14ac:dyDescent="0.25">
      <c r="A22" s="62">
        <v>45599</v>
      </c>
      <c r="B22">
        <v>996.4</v>
      </c>
      <c r="D22" s="63"/>
      <c r="G22" s="33"/>
      <c r="I22" s="62">
        <v>45599</v>
      </c>
      <c r="J22" s="63">
        <v>24148.2</v>
      </c>
      <c r="K22" s="63"/>
      <c r="L22" s="63"/>
      <c r="M22" s="63"/>
      <c r="N22" s="54">
        <v>2018</v>
      </c>
      <c r="O22">
        <v>3.15</v>
      </c>
      <c r="T22" s="56">
        <v>2017</v>
      </c>
      <c r="U22">
        <v>28.65</v>
      </c>
    </row>
    <row r="23" spans="1:21" x14ac:dyDescent="0.25">
      <c r="A23" s="62">
        <v>45592</v>
      </c>
      <c r="B23">
        <v>968.3</v>
      </c>
      <c r="G23" s="33"/>
      <c r="I23" s="62">
        <v>45592</v>
      </c>
      <c r="J23" s="63">
        <v>24304.35</v>
      </c>
      <c r="K23" s="63"/>
      <c r="L23" s="63"/>
      <c r="M23" s="63"/>
      <c r="N23" s="54">
        <v>2019</v>
      </c>
      <c r="O23">
        <v>12.02</v>
      </c>
      <c r="T23" s="56">
        <v>2018</v>
      </c>
      <c r="U23">
        <v>3.15</v>
      </c>
    </row>
    <row r="24" spans="1:21" x14ac:dyDescent="0.25">
      <c r="A24" s="62">
        <v>45585</v>
      </c>
      <c r="B24">
        <v>943.85</v>
      </c>
      <c r="D24" s="63"/>
      <c r="G24" s="33"/>
      <c r="I24" s="62">
        <v>45585</v>
      </c>
      <c r="J24" s="63">
        <v>24180.799999999999</v>
      </c>
      <c r="K24" s="63"/>
      <c r="L24" s="63"/>
      <c r="M24" s="63"/>
      <c r="N24" s="54">
        <v>2020</v>
      </c>
      <c r="O24">
        <v>14.9</v>
      </c>
      <c r="T24" s="56">
        <v>2019</v>
      </c>
      <c r="U24">
        <v>12.02</v>
      </c>
    </row>
    <row r="25" spans="1:21" x14ac:dyDescent="0.25">
      <c r="A25" s="62">
        <v>45578</v>
      </c>
      <c r="B25">
        <v>992.6</v>
      </c>
      <c r="C25" s="63"/>
      <c r="D25" s="63"/>
      <c r="G25" s="33"/>
      <c r="I25" s="62">
        <v>45578</v>
      </c>
      <c r="J25" s="63">
        <v>24854.05</v>
      </c>
      <c r="K25" s="63"/>
      <c r="L25" s="63"/>
      <c r="M25" s="63"/>
      <c r="N25" s="54">
        <v>2021</v>
      </c>
      <c r="O25">
        <v>24.12</v>
      </c>
      <c r="T25" s="56">
        <v>2020</v>
      </c>
      <c r="U25">
        <v>14.9</v>
      </c>
    </row>
    <row r="26" spans="1:21" x14ac:dyDescent="0.25">
      <c r="A26" s="62">
        <v>45571</v>
      </c>
      <c r="B26" s="63">
        <v>1012.05</v>
      </c>
      <c r="C26" s="63"/>
      <c r="D26" s="63"/>
      <c r="G26" s="33"/>
      <c r="I26" s="62">
        <v>45571</v>
      </c>
      <c r="J26" s="63">
        <v>24964.25</v>
      </c>
      <c r="K26" s="63"/>
      <c r="L26" s="63"/>
      <c r="M26" s="63"/>
      <c r="N26" s="54">
        <v>2022</v>
      </c>
      <c r="O26">
        <v>4.32</v>
      </c>
      <c r="T26" s="56">
        <v>2021</v>
      </c>
      <c r="U26">
        <v>24.12</v>
      </c>
    </row>
    <row r="27" spans="1:21" x14ac:dyDescent="0.25">
      <c r="A27" s="62">
        <v>45564</v>
      </c>
      <c r="B27" s="63">
        <v>1033.75</v>
      </c>
      <c r="C27" s="63"/>
      <c r="D27" s="63"/>
      <c r="E27" s="63"/>
      <c r="G27" s="33"/>
      <c r="I27" s="62">
        <v>45564</v>
      </c>
      <c r="J27" s="63">
        <v>25014.6</v>
      </c>
      <c r="K27" s="63"/>
      <c r="L27" s="63"/>
      <c r="M27" s="63"/>
      <c r="N27" s="54">
        <v>2023</v>
      </c>
      <c r="O27">
        <v>19.420000000000002</v>
      </c>
      <c r="T27" s="56">
        <v>2022</v>
      </c>
      <c r="U27">
        <v>4.32</v>
      </c>
    </row>
    <row r="28" spans="1:21" x14ac:dyDescent="0.25">
      <c r="A28" s="62">
        <v>45557</v>
      </c>
      <c r="B28" s="63">
        <v>1001.55</v>
      </c>
      <c r="D28" s="63"/>
      <c r="G28" s="33"/>
      <c r="I28" s="62">
        <v>45557</v>
      </c>
      <c r="J28" s="63">
        <v>26178.95</v>
      </c>
      <c r="K28" s="63"/>
      <c r="L28" s="63"/>
      <c r="M28" s="63"/>
      <c r="N28" s="54">
        <v>2024</v>
      </c>
      <c r="O28">
        <v>8.75</v>
      </c>
      <c r="T28" s="56">
        <v>2023</v>
      </c>
      <c r="U28">
        <v>19.420000000000002</v>
      </c>
    </row>
    <row r="29" spans="1:21" x14ac:dyDescent="0.25">
      <c r="A29" s="62">
        <v>45550</v>
      </c>
      <c r="B29">
        <v>981.55</v>
      </c>
      <c r="G29" s="33"/>
      <c r="I29" s="62">
        <v>45550</v>
      </c>
      <c r="J29" s="63">
        <v>25790.95</v>
      </c>
      <c r="K29" s="63"/>
      <c r="L29" s="63"/>
      <c r="M29" s="63"/>
      <c r="N29" s="54">
        <v>2025</v>
      </c>
      <c r="T29" s="56">
        <v>2024</v>
      </c>
      <c r="U29">
        <v>8.75</v>
      </c>
    </row>
    <row r="30" spans="1:21" x14ac:dyDescent="0.25">
      <c r="A30" s="62">
        <v>45543</v>
      </c>
      <c r="B30">
        <v>954.55</v>
      </c>
      <c r="G30" s="33"/>
      <c r="I30" s="62">
        <v>45543</v>
      </c>
      <c r="J30" s="63">
        <v>25356.5</v>
      </c>
      <c r="K30" s="63"/>
      <c r="L30" s="63"/>
      <c r="M30" s="63"/>
      <c r="O30" s="33"/>
      <c r="T30" s="56">
        <v>2025</v>
      </c>
    </row>
    <row r="31" spans="1:21" x14ac:dyDescent="0.25">
      <c r="A31" s="62">
        <v>45536</v>
      </c>
      <c r="B31">
        <v>932.8</v>
      </c>
      <c r="G31" s="33"/>
      <c r="I31" s="62">
        <v>45536</v>
      </c>
      <c r="J31" s="63">
        <v>24852.15</v>
      </c>
      <c r="K31" s="63"/>
      <c r="L31" s="63"/>
      <c r="M31" s="63"/>
      <c r="O31" s="33"/>
    </row>
    <row r="32" spans="1:21" x14ac:dyDescent="0.25">
      <c r="A32" s="62">
        <v>45529</v>
      </c>
      <c r="B32">
        <v>941.1</v>
      </c>
      <c r="G32" s="33"/>
      <c r="I32" s="62">
        <v>45529</v>
      </c>
      <c r="J32" s="63">
        <v>25235.9</v>
      </c>
      <c r="K32" s="63"/>
      <c r="L32" s="63"/>
      <c r="M32" s="63"/>
      <c r="O32" s="33"/>
    </row>
    <row r="33" spans="1:15" x14ac:dyDescent="0.25">
      <c r="A33" s="62">
        <v>45522</v>
      </c>
      <c r="B33">
        <v>941.05</v>
      </c>
      <c r="G33" s="33"/>
      <c r="I33" s="62">
        <v>45522</v>
      </c>
      <c r="J33" s="63">
        <v>24823.15</v>
      </c>
      <c r="K33" s="63"/>
      <c r="L33" s="63"/>
      <c r="M33" s="63"/>
      <c r="O33" s="33"/>
    </row>
    <row r="34" spans="1:15" x14ac:dyDescent="0.25">
      <c r="A34" s="62">
        <v>45515</v>
      </c>
      <c r="B34">
        <v>908.45</v>
      </c>
      <c r="G34" s="33"/>
      <c r="I34" s="62">
        <v>45515</v>
      </c>
      <c r="J34" s="63">
        <v>24541.15</v>
      </c>
      <c r="K34" s="63"/>
      <c r="L34" s="63"/>
      <c r="M34" s="63"/>
      <c r="O34" s="33"/>
    </row>
    <row r="35" spans="1:15" x14ac:dyDescent="0.25">
      <c r="A35" s="62">
        <v>45508</v>
      </c>
      <c r="B35">
        <v>905.1</v>
      </c>
      <c r="G35" s="33"/>
      <c r="I35" s="62">
        <v>45508</v>
      </c>
      <c r="J35" s="63">
        <v>24367.5</v>
      </c>
      <c r="K35" s="63"/>
      <c r="L35" s="63"/>
      <c r="M35" s="63"/>
      <c r="O35" s="33"/>
    </row>
    <row r="36" spans="1:15" x14ac:dyDescent="0.25">
      <c r="A36" s="62">
        <v>45501</v>
      </c>
      <c r="B36">
        <v>899.55</v>
      </c>
      <c r="G36" s="33"/>
      <c r="I36" s="62">
        <v>45501</v>
      </c>
      <c r="J36" s="63">
        <v>24717.7</v>
      </c>
      <c r="K36" s="63"/>
      <c r="L36" s="63"/>
      <c r="M36" s="63"/>
      <c r="O36" s="33"/>
    </row>
    <row r="37" spans="1:15" x14ac:dyDescent="0.25">
      <c r="A37" s="62">
        <v>45494</v>
      </c>
      <c r="B37">
        <v>900.55</v>
      </c>
      <c r="G37" s="33"/>
      <c r="I37" s="62">
        <v>45494</v>
      </c>
      <c r="J37" s="63">
        <v>24834.85</v>
      </c>
      <c r="K37" s="63"/>
      <c r="L37" s="63"/>
      <c r="M37" s="63"/>
      <c r="O37" s="33"/>
    </row>
    <row r="38" spans="1:15" x14ac:dyDescent="0.25">
      <c r="A38" s="62">
        <v>45487</v>
      </c>
      <c r="B38">
        <v>889.45</v>
      </c>
      <c r="G38" s="33"/>
      <c r="I38" s="62">
        <v>45487</v>
      </c>
      <c r="J38" s="63">
        <v>24530.9</v>
      </c>
      <c r="K38" s="63"/>
      <c r="L38" s="63"/>
      <c r="M38" s="63"/>
      <c r="O38" s="33"/>
    </row>
    <row r="39" spans="1:15" x14ac:dyDescent="0.25">
      <c r="A39" s="62">
        <v>45480</v>
      </c>
      <c r="B39">
        <v>934.4</v>
      </c>
      <c r="G39" s="33"/>
      <c r="I39" s="62">
        <v>45480</v>
      </c>
      <c r="J39" s="63">
        <v>24502.15</v>
      </c>
      <c r="K39" s="63"/>
      <c r="L39" s="63"/>
      <c r="M39" s="63"/>
      <c r="O39" s="33"/>
    </row>
    <row r="40" spans="1:15" x14ac:dyDescent="0.25">
      <c r="A40" s="62">
        <v>45473</v>
      </c>
      <c r="B40">
        <v>954.05</v>
      </c>
      <c r="G40" s="33"/>
      <c r="I40" s="62">
        <v>45473</v>
      </c>
      <c r="J40" s="63">
        <v>24323.85</v>
      </c>
      <c r="K40" s="63"/>
      <c r="L40" s="63"/>
      <c r="M40" s="63"/>
      <c r="O40" s="33"/>
    </row>
    <row r="41" spans="1:15" x14ac:dyDescent="0.25">
      <c r="A41" s="62">
        <v>45466</v>
      </c>
      <c r="B41">
        <v>931.5</v>
      </c>
      <c r="G41" s="33"/>
      <c r="I41" s="62">
        <v>45466</v>
      </c>
      <c r="J41" s="63">
        <v>24010.6</v>
      </c>
      <c r="K41" s="63"/>
      <c r="L41" s="63"/>
      <c r="M41" s="63"/>
      <c r="O41" s="33"/>
    </row>
    <row r="42" spans="1:15" x14ac:dyDescent="0.25">
      <c r="A42" s="62">
        <v>45459</v>
      </c>
      <c r="B42">
        <v>936.9</v>
      </c>
      <c r="G42" s="33"/>
      <c r="I42" s="62">
        <v>45459</v>
      </c>
      <c r="J42" s="63">
        <v>23501.1</v>
      </c>
      <c r="K42" s="63"/>
      <c r="L42" s="63"/>
      <c r="M42" s="63"/>
      <c r="O42" s="33"/>
    </row>
    <row r="43" spans="1:15" x14ac:dyDescent="0.25">
      <c r="A43" s="62">
        <v>45452</v>
      </c>
      <c r="B43">
        <v>921.15</v>
      </c>
      <c r="G43" s="33"/>
      <c r="I43" s="62">
        <v>45452</v>
      </c>
      <c r="J43" s="63">
        <v>23465.599999999999</v>
      </c>
      <c r="K43" s="63"/>
      <c r="L43" s="63"/>
      <c r="M43" s="63"/>
      <c r="O43" s="33"/>
    </row>
    <row r="44" spans="1:15" x14ac:dyDescent="0.25">
      <c r="A44" s="62">
        <v>45445</v>
      </c>
      <c r="B44">
        <v>912.15</v>
      </c>
      <c r="G44" s="33"/>
      <c r="I44" s="62">
        <v>45445</v>
      </c>
      <c r="J44" s="63">
        <v>23290.15</v>
      </c>
      <c r="K44" s="63"/>
      <c r="L44" s="63"/>
      <c r="M44" s="63"/>
      <c r="O44" s="33"/>
    </row>
    <row r="45" spans="1:15" x14ac:dyDescent="0.25">
      <c r="A45" s="62">
        <v>45438</v>
      </c>
      <c r="B45">
        <v>880.55</v>
      </c>
      <c r="G45" s="33"/>
      <c r="I45" s="62">
        <v>45438</v>
      </c>
      <c r="J45" s="63">
        <v>22530.7</v>
      </c>
      <c r="K45" s="63"/>
      <c r="L45" s="63"/>
      <c r="M45" s="63"/>
      <c r="O45" s="33"/>
    </row>
    <row r="46" spans="1:15" x14ac:dyDescent="0.25">
      <c r="A46" s="62">
        <v>45431</v>
      </c>
      <c r="B46">
        <v>908.65</v>
      </c>
      <c r="G46" s="33"/>
      <c r="I46" s="62">
        <v>45431</v>
      </c>
      <c r="J46" s="63">
        <v>22957.1</v>
      </c>
      <c r="K46" s="63"/>
      <c r="L46" s="63"/>
      <c r="M46" s="63"/>
      <c r="O46" s="33"/>
    </row>
    <row r="47" spans="1:15" x14ac:dyDescent="0.25">
      <c r="A47" s="62">
        <v>45424</v>
      </c>
      <c r="B47">
        <v>907.45</v>
      </c>
      <c r="G47" s="33"/>
      <c r="I47" s="62">
        <v>45424</v>
      </c>
      <c r="J47" s="63">
        <v>22466.1</v>
      </c>
      <c r="K47" s="63"/>
      <c r="L47" s="63"/>
      <c r="M47" s="63"/>
      <c r="O47" s="33"/>
    </row>
    <row r="48" spans="1:15" x14ac:dyDescent="0.25">
      <c r="A48" s="62">
        <v>45417</v>
      </c>
      <c r="B48">
        <v>853.6</v>
      </c>
      <c r="G48" s="33"/>
      <c r="I48" s="62">
        <v>45417</v>
      </c>
      <c r="J48" s="63">
        <v>22055.200000000001</v>
      </c>
      <c r="K48" s="63"/>
      <c r="L48" s="63"/>
      <c r="M48" s="63"/>
      <c r="O48" s="33"/>
    </row>
    <row r="49" spans="1:15" x14ac:dyDescent="0.25">
      <c r="A49" s="62">
        <v>45410</v>
      </c>
      <c r="B49">
        <v>874.2</v>
      </c>
      <c r="G49" s="33"/>
      <c r="I49" s="62">
        <v>45410</v>
      </c>
      <c r="J49" s="63">
        <v>22475.85</v>
      </c>
      <c r="K49" s="63"/>
      <c r="L49" s="63"/>
      <c r="M49" s="63"/>
      <c r="O49" s="33"/>
    </row>
    <row r="50" spans="1:15" x14ac:dyDescent="0.25">
      <c r="A50" s="62">
        <v>45403</v>
      </c>
      <c r="B50">
        <v>887.25</v>
      </c>
      <c r="G50" s="33"/>
      <c r="I50" s="62">
        <v>45403</v>
      </c>
      <c r="J50" s="63">
        <v>22419.95</v>
      </c>
      <c r="K50" s="63"/>
      <c r="L50" s="63"/>
      <c r="M50" s="63"/>
      <c r="O50" s="33"/>
    </row>
    <row r="51" spans="1:15" x14ac:dyDescent="0.25">
      <c r="A51" s="62">
        <v>45396</v>
      </c>
      <c r="B51">
        <v>864.8</v>
      </c>
      <c r="G51" s="33"/>
      <c r="I51" s="62">
        <v>45396</v>
      </c>
      <c r="J51" s="63">
        <v>22147</v>
      </c>
      <c r="K51" s="63"/>
      <c r="L51" s="63"/>
      <c r="M51" s="63"/>
      <c r="O51" s="33"/>
    </row>
    <row r="52" spans="1:15" x14ac:dyDescent="0.25">
      <c r="A52" s="62">
        <v>45389</v>
      </c>
      <c r="B52">
        <v>866.45</v>
      </c>
      <c r="G52" s="33"/>
      <c r="I52" s="62">
        <v>45389</v>
      </c>
      <c r="J52" s="63">
        <v>22519.4</v>
      </c>
      <c r="K52" s="63"/>
      <c r="L52" s="63"/>
      <c r="M52" s="63"/>
      <c r="O52" s="33"/>
    </row>
    <row r="53" spans="1:15" x14ac:dyDescent="0.25">
      <c r="A53" s="62">
        <v>45382</v>
      </c>
      <c r="B53">
        <v>857.1</v>
      </c>
      <c r="G53" s="33"/>
      <c r="I53" s="62">
        <v>45382</v>
      </c>
      <c r="J53" s="63">
        <v>22513.7</v>
      </c>
      <c r="K53" s="63"/>
      <c r="L53" s="63"/>
      <c r="M53" s="63"/>
      <c r="O53" s="33"/>
    </row>
    <row r="54" spans="1:15" x14ac:dyDescent="0.25">
      <c r="A54" s="62">
        <v>45375</v>
      </c>
      <c r="B54">
        <v>830.2</v>
      </c>
      <c r="G54" s="33"/>
      <c r="I54" s="62">
        <v>45375</v>
      </c>
      <c r="J54" s="63">
        <v>22326.9</v>
      </c>
      <c r="K54" s="63"/>
      <c r="L54" s="63"/>
      <c r="M54" s="63"/>
      <c r="O54" s="33"/>
    </row>
    <row r="55" spans="1:15" x14ac:dyDescent="0.25">
      <c r="A55" s="62">
        <v>45368</v>
      </c>
      <c r="B55">
        <v>824.8</v>
      </c>
      <c r="G55" s="33"/>
      <c r="I55" s="62">
        <v>45368</v>
      </c>
      <c r="J55" s="63">
        <v>22096.75</v>
      </c>
      <c r="K55" s="63"/>
      <c r="L55" s="63"/>
      <c r="M55" s="63"/>
      <c r="O55" s="33"/>
    </row>
    <row r="56" spans="1:15" x14ac:dyDescent="0.25">
      <c r="A56" s="62">
        <v>45361</v>
      </c>
      <c r="B56">
        <v>780.65</v>
      </c>
      <c r="G56" s="33"/>
      <c r="I56" s="62">
        <v>45361</v>
      </c>
      <c r="J56" s="63">
        <v>22023.35</v>
      </c>
      <c r="K56" s="63"/>
      <c r="L56" s="63"/>
      <c r="M56" s="63"/>
      <c r="O56" s="33"/>
    </row>
    <row r="57" spans="1:15" x14ac:dyDescent="0.25">
      <c r="A57" s="62">
        <v>45354</v>
      </c>
      <c r="B57">
        <v>830</v>
      </c>
      <c r="G57" s="33"/>
      <c r="I57" s="62">
        <v>45354</v>
      </c>
      <c r="J57" s="63">
        <v>22493.55</v>
      </c>
      <c r="K57" s="63"/>
      <c r="L57" s="63"/>
      <c r="M57" s="63"/>
      <c r="O57" s="33"/>
    </row>
    <row r="58" spans="1:15" x14ac:dyDescent="0.25">
      <c r="A58" s="62">
        <v>45347</v>
      </c>
      <c r="B58">
        <v>836.2</v>
      </c>
      <c r="G58" s="33"/>
      <c r="I58" s="62">
        <v>45347</v>
      </c>
      <c r="J58" s="63">
        <v>22338.75</v>
      </c>
      <c r="K58" s="63"/>
      <c r="L58" s="63"/>
      <c r="M58" s="63"/>
      <c r="O58" s="33"/>
    </row>
    <row r="59" spans="1:15" x14ac:dyDescent="0.25">
      <c r="A59" s="62">
        <v>45340</v>
      </c>
      <c r="B59">
        <v>821</v>
      </c>
      <c r="G59" s="33"/>
      <c r="I59" s="62">
        <v>45340</v>
      </c>
      <c r="J59" s="63">
        <v>22212.7</v>
      </c>
      <c r="K59" s="63"/>
      <c r="L59" s="63"/>
      <c r="M59" s="63"/>
      <c r="O59" s="33"/>
    </row>
    <row r="60" spans="1:15" x14ac:dyDescent="0.25">
      <c r="A60" s="62">
        <v>45333</v>
      </c>
      <c r="B60">
        <v>819.95</v>
      </c>
      <c r="G60" s="33"/>
      <c r="I60" s="62">
        <v>45333</v>
      </c>
      <c r="J60" s="63">
        <v>22040.7</v>
      </c>
      <c r="K60" s="63"/>
      <c r="L60" s="63"/>
      <c r="M60" s="63"/>
      <c r="O60" s="33"/>
    </row>
    <row r="61" spans="1:15" x14ac:dyDescent="0.25">
      <c r="A61" s="62">
        <v>45326</v>
      </c>
      <c r="B61">
        <v>811.75</v>
      </c>
      <c r="G61" s="33"/>
      <c r="I61" s="62">
        <v>45326</v>
      </c>
      <c r="J61" s="63">
        <v>21782.5</v>
      </c>
      <c r="K61" s="63"/>
      <c r="L61" s="63"/>
      <c r="M61" s="63"/>
      <c r="O61" s="33"/>
    </row>
    <row r="62" spans="1:15" x14ac:dyDescent="0.25">
      <c r="A62" s="62">
        <v>45319</v>
      </c>
      <c r="B62">
        <v>823.55</v>
      </c>
      <c r="G62" s="33"/>
      <c r="I62" s="62">
        <v>45319</v>
      </c>
      <c r="J62" s="63">
        <v>21853.8</v>
      </c>
      <c r="K62" s="63"/>
      <c r="L62" s="63"/>
      <c r="M62" s="63"/>
      <c r="O62" s="33"/>
    </row>
    <row r="63" spans="1:15" x14ac:dyDescent="0.25">
      <c r="A63" s="62">
        <v>45312</v>
      </c>
      <c r="B63">
        <v>815.7</v>
      </c>
      <c r="G63" s="33"/>
      <c r="I63" s="62">
        <v>45312</v>
      </c>
      <c r="J63" s="63">
        <v>21352.6</v>
      </c>
      <c r="K63" s="63"/>
      <c r="L63" s="63"/>
      <c r="M63" s="63"/>
      <c r="O63" s="33"/>
    </row>
    <row r="64" spans="1:15" x14ac:dyDescent="0.25">
      <c r="A64" s="62">
        <v>45305</v>
      </c>
      <c r="B64">
        <v>816.65</v>
      </c>
      <c r="G64" s="33"/>
      <c r="I64" s="62">
        <v>45305</v>
      </c>
      <c r="J64" s="63">
        <v>21622.400000000001</v>
      </c>
      <c r="K64" s="63"/>
      <c r="L64" s="63"/>
      <c r="M64" s="63"/>
      <c r="O64" s="33"/>
    </row>
    <row r="65" spans="1:15" x14ac:dyDescent="0.25">
      <c r="A65" s="62">
        <v>45298</v>
      </c>
      <c r="B65">
        <v>825.8</v>
      </c>
      <c r="G65" s="33"/>
      <c r="I65" s="62">
        <v>45298</v>
      </c>
      <c r="J65" s="63">
        <v>21894.55</v>
      </c>
      <c r="K65" s="63"/>
      <c r="L65" s="63"/>
      <c r="M65" s="63"/>
      <c r="O65" s="33"/>
    </row>
    <row r="66" spans="1:15" x14ac:dyDescent="0.25">
      <c r="A66" s="62">
        <v>45291</v>
      </c>
      <c r="B66">
        <v>829.4</v>
      </c>
      <c r="G66" s="33"/>
      <c r="I66" s="62">
        <v>45291</v>
      </c>
      <c r="J66" s="63">
        <v>21710.799999999999</v>
      </c>
      <c r="K66" s="63"/>
      <c r="L66" s="63"/>
      <c r="M66" s="63"/>
      <c r="O66" s="33"/>
    </row>
    <row r="67" spans="1:15" x14ac:dyDescent="0.25">
      <c r="A67" s="62">
        <v>45284</v>
      </c>
      <c r="B67">
        <v>880.25</v>
      </c>
      <c r="G67" s="33"/>
      <c r="I67" s="62">
        <v>45284</v>
      </c>
      <c r="J67" s="63">
        <v>21731.4</v>
      </c>
      <c r="K67" s="63"/>
      <c r="L67" s="63"/>
      <c r="M67" s="63"/>
      <c r="O67" s="33"/>
    </row>
    <row r="68" spans="1:15" x14ac:dyDescent="0.25">
      <c r="A68" s="62">
        <v>45277</v>
      </c>
      <c r="B68">
        <v>855.3</v>
      </c>
      <c r="G68" s="33"/>
      <c r="I68" s="62">
        <v>45277</v>
      </c>
      <c r="J68" s="63">
        <v>21349.4</v>
      </c>
      <c r="K68" s="63"/>
      <c r="L68" s="63"/>
      <c r="M68" s="63"/>
      <c r="O68" s="33"/>
    </row>
    <row r="69" spans="1:15" x14ac:dyDescent="0.25">
      <c r="A69" s="62">
        <v>45270</v>
      </c>
      <c r="B69">
        <v>867.2</v>
      </c>
      <c r="G69" s="33"/>
      <c r="I69" s="62">
        <v>45270</v>
      </c>
      <c r="J69" s="63">
        <v>21456.65</v>
      </c>
      <c r="K69" s="63"/>
      <c r="L69" s="63"/>
      <c r="M69" s="63"/>
      <c r="O69" s="33"/>
    </row>
    <row r="70" spans="1:15" x14ac:dyDescent="0.25">
      <c r="A70" s="62">
        <v>45263</v>
      </c>
      <c r="B70">
        <v>839.35</v>
      </c>
      <c r="G70" s="33"/>
      <c r="I70" s="62">
        <v>45263</v>
      </c>
      <c r="J70" s="63">
        <v>20969.400000000001</v>
      </c>
      <c r="K70" s="63"/>
      <c r="L70" s="63"/>
      <c r="M70" s="63"/>
      <c r="O70" s="33"/>
    </row>
    <row r="71" spans="1:15" x14ac:dyDescent="0.25">
      <c r="A71" s="62">
        <v>45256</v>
      </c>
      <c r="B71">
        <v>810.8</v>
      </c>
      <c r="G71" s="33"/>
      <c r="I71" s="62">
        <v>45256</v>
      </c>
      <c r="J71" s="63">
        <v>20267.900000000001</v>
      </c>
      <c r="K71" s="63"/>
      <c r="L71" s="63"/>
      <c r="M71" s="63"/>
      <c r="O71" s="33"/>
    </row>
    <row r="72" spans="1:15" x14ac:dyDescent="0.25">
      <c r="A72" s="62">
        <v>45249</v>
      </c>
      <c r="B72">
        <v>782.05</v>
      </c>
      <c r="G72" s="33"/>
      <c r="I72" s="62">
        <v>45249</v>
      </c>
      <c r="J72" s="63">
        <v>19794.7</v>
      </c>
      <c r="K72" s="63"/>
      <c r="L72" s="63"/>
      <c r="M72" s="63"/>
      <c r="O72" s="33"/>
    </row>
    <row r="73" spans="1:15" x14ac:dyDescent="0.25">
      <c r="A73" s="62">
        <v>45242</v>
      </c>
      <c r="B73">
        <v>768.8</v>
      </c>
      <c r="G73" s="33"/>
      <c r="I73" s="62">
        <v>45242</v>
      </c>
      <c r="J73" s="63">
        <v>19731.8</v>
      </c>
      <c r="K73" s="63"/>
      <c r="L73" s="63"/>
      <c r="M73" s="63"/>
      <c r="O73" s="33"/>
    </row>
    <row r="74" spans="1:15" x14ac:dyDescent="0.25">
      <c r="A74" s="62">
        <v>45235</v>
      </c>
      <c r="B74">
        <v>754.75</v>
      </c>
      <c r="G74" s="33"/>
      <c r="I74" s="62">
        <v>45235</v>
      </c>
      <c r="J74" s="63">
        <v>19425.349999999999</v>
      </c>
      <c r="K74" s="63"/>
      <c r="L74" s="63"/>
      <c r="M74" s="63"/>
      <c r="O74" s="33"/>
    </row>
    <row r="75" spans="1:15" x14ac:dyDescent="0.25">
      <c r="A75" s="62">
        <v>45228</v>
      </c>
      <c r="B75">
        <v>746.05</v>
      </c>
      <c r="G75" s="33"/>
      <c r="I75" s="62">
        <v>45228</v>
      </c>
      <c r="J75" s="63">
        <v>19230.599999999999</v>
      </c>
      <c r="K75" s="63"/>
      <c r="L75" s="63"/>
      <c r="M75" s="63"/>
      <c r="O75" s="33"/>
    </row>
    <row r="76" spans="1:15" x14ac:dyDescent="0.25">
      <c r="A76" s="62">
        <v>45221</v>
      </c>
      <c r="B76">
        <v>732</v>
      </c>
      <c r="G76" s="33"/>
      <c r="I76" s="62">
        <v>45221</v>
      </c>
      <c r="J76" s="63">
        <v>19047.25</v>
      </c>
      <c r="K76" s="63"/>
      <c r="L76" s="63"/>
      <c r="M76" s="63"/>
      <c r="O76" s="33"/>
    </row>
    <row r="77" spans="1:15" x14ac:dyDescent="0.25">
      <c r="A77" s="62">
        <v>45214</v>
      </c>
      <c r="B77">
        <v>769.4</v>
      </c>
      <c r="G77" s="33"/>
      <c r="I77" s="62">
        <v>45214</v>
      </c>
      <c r="J77" s="63">
        <v>19542.650000000001</v>
      </c>
      <c r="K77" s="63"/>
      <c r="L77" s="63"/>
      <c r="M77" s="63"/>
      <c r="O77" s="33"/>
    </row>
    <row r="78" spans="1:15" x14ac:dyDescent="0.25">
      <c r="A78" s="62">
        <v>45207</v>
      </c>
      <c r="B78">
        <v>777.25</v>
      </c>
      <c r="G78" s="33"/>
      <c r="I78" s="62">
        <v>45207</v>
      </c>
      <c r="J78" s="63">
        <v>19751.05</v>
      </c>
      <c r="K78" s="63"/>
      <c r="L78" s="63"/>
      <c r="M78" s="63"/>
      <c r="O78" s="33"/>
    </row>
    <row r="79" spans="1:15" x14ac:dyDescent="0.25">
      <c r="A79" s="62">
        <v>45200</v>
      </c>
      <c r="B79">
        <v>765.2</v>
      </c>
      <c r="G79" s="33"/>
      <c r="I79" s="62">
        <v>45200</v>
      </c>
      <c r="J79" s="63">
        <v>19653.5</v>
      </c>
      <c r="K79" s="63"/>
      <c r="L79" s="63"/>
      <c r="M79" s="63"/>
      <c r="O79" s="33"/>
    </row>
    <row r="80" spans="1:15" x14ac:dyDescent="0.25">
      <c r="A80" s="62">
        <v>45193</v>
      </c>
      <c r="B80">
        <v>779.6</v>
      </c>
      <c r="G80" s="33"/>
      <c r="I80" s="62">
        <v>45193</v>
      </c>
      <c r="J80" s="63">
        <v>19638.3</v>
      </c>
      <c r="K80" s="63"/>
      <c r="L80" s="63"/>
      <c r="M80" s="63"/>
      <c r="O80" s="33"/>
    </row>
    <row r="81" spans="1:15" x14ac:dyDescent="0.25">
      <c r="A81" s="62">
        <v>45186</v>
      </c>
      <c r="B81">
        <v>774.05</v>
      </c>
      <c r="G81" s="33"/>
      <c r="I81" s="62">
        <v>45186</v>
      </c>
      <c r="J81" s="63">
        <v>19674.25</v>
      </c>
      <c r="K81" s="63"/>
      <c r="L81" s="63"/>
      <c r="M81" s="63"/>
      <c r="O81" s="33"/>
    </row>
    <row r="82" spans="1:15" x14ac:dyDescent="0.25">
      <c r="A82" s="62">
        <v>45179</v>
      </c>
      <c r="B82">
        <v>812.85</v>
      </c>
      <c r="G82" s="33"/>
      <c r="I82" s="62">
        <v>45179</v>
      </c>
      <c r="J82" s="63">
        <v>20192.349999999999</v>
      </c>
      <c r="K82" s="63"/>
      <c r="L82" s="63"/>
      <c r="M82" s="63"/>
      <c r="O82" s="33"/>
    </row>
    <row r="83" spans="1:15" x14ac:dyDescent="0.25">
      <c r="A83" s="62">
        <v>45172</v>
      </c>
      <c r="B83">
        <v>815.75</v>
      </c>
      <c r="G83" s="33"/>
      <c r="I83" s="62">
        <v>45172</v>
      </c>
      <c r="J83" s="63">
        <v>19819.95</v>
      </c>
      <c r="K83" s="63"/>
      <c r="L83" s="63"/>
      <c r="M83" s="63"/>
      <c r="O83" s="33"/>
    </row>
    <row r="84" spans="1:15" x14ac:dyDescent="0.25">
      <c r="A84" s="62">
        <v>45165</v>
      </c>
      <c r="B84">
        <v>806.4</v>
      </c>
      <c r="G84" s="33"/>
      <c r="I84" s="62">
        <v>45165</v>
      </c>
      <c r="J84" s="63">
        <v>19435.3</v>
      </c>
      <c r="K84" s="63"/>
      <c r="L84" s="63"/>
      <c r="M84" s="63"/>
      <c r="O84" s="33"/>
    </row>
    <row r="85" spans="1:15" x14ac:dyDescent="0.25">
      <c r="A85" s="62">
        <v>45158</v>
      </c>
      <c r="B85">
        <v>773.15</v>
      </c>
      <c r="G85" s="33"/>
      <c r="I85" s="62">
        <v>45158</v>
      </c>
      <c r="J85" s="63">
        <v>19265.8</v>
      </c>
      <c r="K85" s="63"/>
      <c r="L85" s="63"/>
      <c r="M85" s="63"/>
      <c r="O85" s="33"/>
    </row>
    <row r="86" spans="1:15" x14ac:dyDescent="0.25">
      <c r="A86" s="62">
        <v>45151</v>
      </c>
      <c r="B86">
        <v>787.1</v>
      </c>
      <c r="G86" s="33"/>
      <c r="I86" s="62">
        <v>45151</v>
      </c>
      <c r="J86" s="63">
        <v>19310.150000000001</v>
      </c>
      <c r="K86" s="63"/>
      <c r="L86" s="63"/>
      <c r="M86" s="63"/>
      <c r="O86" s="33"/>
    </row>
    <row r="87" spans="1:15" x14ac:dyDescent="0.25">
      <c r="A87" s="62">
        <v>45144</v>
      </c>
      <c r="B87">
        <v>820.65</v>
      </c>
      <c r="G87" s="33"/>
      <c r="I87" s="62">
        <v>45144</v>
      </c>
      <c r="J87" s="63">
        <v>19428.3</v>
      </c>
      <c r="K87" s="63"/>
      <c r="L87" s="63"/>
      <c r="M87" s="63"/>
      <c r="O87" s="33"/>
    </row>
    <row r="88" spans="1:15" x14ac:dyDescent="0.25">
      <c r="A88" s="62">
        <v>45137</v>
      </c>
      <c r="B88">
        <v>805.95</v>
      </c>
      <c r="G88" s="33"/>
      <c r="I88" s="62">
        <v>45137</v>
      </c>
      <c r="J88" s="63">
        <v>19517</v>
      </c>
      <c r="K88" s="63"/>
      <c r="L88" s="63"/>
      <c r="M88" s="63"/>
      <c r="O88" s="33"/>
    </row>
    <row r="89" spans="1:15" x14ac:dyDescent="0.25">
      <c r="A89" s="62">
        <v>45130</v>
      </c>
      <c r="B89">
        <v>804.15</v>
      </c>
      <c r="G89" s="33"/>
      <c r="I89" s="62">
        <v>45130</v>
      </c>
      <c r="J89" s="63">
        <v>19646.05</v>
      </c>
      <c r="K89" s="63"/>
      <c r="L89" s="63"/>
      <c r="M89" s="63"/>
      <c r="O89" s="33"/>
    </row>
    <row r="90" spans="1:15" x14ac:dyDescent="0.25">
      <c r="A90" s="62">
        <v>45123</v>
      </c>
      <c r="B90">
        <v>786.45</v>
      </c>
      <c r="G90" s="33"/>
      <c r="I90" s="62">
        <v>45123</v>
      </c>
      <c r="J90" s="63">
        <v>19745</v>
      </c>
      <c r="K90" s="63"/>
      <c r="L90" s="63"/>
      <c r="M90" s="63"/>
      <c r="O90" s="33"/>
    </row>
    <row r="91" spans="1:15" x14ac:dyDescent="0.25">
      <c r="A91" s="62">
        <v>45116</v>
      </c>
      <c r="B91">
        <v>804.85</v>
      </c>
      <c r="G91" s="33"/>
      <c r="I91" s="62">
        <v>45116</v>
      </c>
      <c r="J91" s="63">
        <v>19564.5</v>
      </c>
      <c r="K91" s="63"/>
      <c r="L91" s="63"/>
      <c r="M91" s="63"/>
      <c r="O91" s="33"/>
    </row>
    <row r="92" spans="1:15" x14ac:dyDescent="0.25">
      <c r="A92" s="62">
        <v>45109</v>
      </c>
      <c r="B92">
        <v>788.4</v>
      </c>
      <c r="G92" s="33"/>
      <c r="I92" s="62">
        <v>45109</v>
      </c>
      <c r="J92" s="63">
        <v>19331.8</v>
      </c>
      <c r="K92" s="63"/>
      <c r="L92" s="63"/>
      <c r="M92" s="63"/>
      <c r="O92" s="33"/>
    </row>
    <row r="93" spans="1:15" x14ac:dyDescent="0.25">
      <c r="A93" s="62">
        <v>45102</v>
      </c>
      <c r="B93">
        <v>784.8</v>
      </c>
      <c r="G93" s="33"/>
      <c r="I93" s="62">
        <v>45102</v>
      </c>
      <c r="J93" s="63">
        <v>19189.05</v>
      </c>
      <c r="K93" s="63"/>
      <c r="L93" s="63"/>
      <c r="M93" s="63"/>
      <c r="O93" s="33"/>
    </row>
    <row r="94" spans="1:15" x14ac:dyDescent="0.25">
      <c r="A94" s="62">
        <v>45095</v>
      </c>
      <c r="B94">
        <v>746.5</v>
      </c>
      <c r="G94" s="33"/>
      <c r="I94" s="62">
        <v>45095</v>
      </c>
      <c r="J94" s="63">
        <v>18665.5</v>
      </c>
      <c r="K94" s="63"/>
      <c r="L94" s="63"/>
      <c r="M94" s="63"/>
      <c r="O94" s="33"/>
    </row>
    <row r="95" spans="1:15" x14ac:dyDescent="0.25">
      <c r="A95" s="62">
        <v>45088</v>
      </c>
      <c r="B95">
        <v>776.1</v>
      </c>
      <c r="G95" s="33"/>
      <c r="I95" s="62">
        <v>45088</v>
      </c>
      <c r="J95" s="63">
        <v>18826</v>
      </c>
      <c r="K95" s="63"/>
      <c r="L95" s="63"/>
      <c r="M95" s="63"/>
      <c r="O95" s="33"/>
    </row>
    <row r="96" spans="1:15" x14ac:dyDescent="0.25">
      <c r="A96" s="62">
        <v>45081</v>
      </c>
      <c r="B96">
        <v>748.5</v>
      </c>
      <c r="G96" s="33"/>
      <c r="I96" s="62">
        <v>45081</v>
      </c>
      <c r="J96" s="63">
        <v>18563.400000000001</v>
      </c>
      <c r="K96" s="63"/>
      <c r="L96" s="63"/>
      <c r="M96" s="63"/>
      <c r="O96" s="33"/>
    </row>
    <row r="97" spans="1:15" x14ac:dyDescent="0.25">
      <c r="A97" s="62">
        <v>45074</v>
      </c>
      <c r="B97">
        <v>706.6</v>
      </c>
      <c r="G97" s="33"/>
      <c r="I97" s="62">
        <v>45074</v>
      </c>
      <c r="J97" s="63">
        <v>18534.099999999999</v>
      </c>
      <c r="K97" s="63"/>
      <c r="L97" s="63"/>
      <c r="M97" s="63"/>
      <c r="O97" s="33"/>
    </row>
    <row r="98" spans="1:15" x14ac:dyDescent="0.25">
      <c r="A98" s="62">
        <v>45067</v>
      </c>
      <c r="B98">
        <v>701.7</v>
      </c>
      <c r="G98" s="33"/>
      <c r="I98" s="62">
        <v>45067</v>
      </c>
      <c r="J98" s="63">
        <v>18499.349999999999</v>
      </c>
      <c r="K98" s="63"/>
      <c r="L98" s="63"/>
      <c r="M98" s="63"/>
      <c r="O98" s="33"/>
    </row>
    <row r="99" spans="1:15" x14ac:dyDescent="0.25">
      <c r="A99" s="62">
        <v>45060</v>
      </c>
      <c r="B99">
        <v>693.85</v>
      </c>
      <c r="G99" s="33"/>
      <c r="I99" s="62">
        <v>45060</v>
      </c>
      <c r="J99" s="63">
        <v>18203.400000000001</v>
      </c>
      <c r="K99" s="63"/>
      <c r="L99" s="63"/>
      <c r="M99" s="63"/>
      <c r="O99" s="33"/>
    </row>
    <row r="100" spans="1:15" x14ac:dyDescent="0.25">
      <c r="A100" s="62">
        <v>45053</v>
      </c>
      <c r="B100">
        <v>702.65</v>
      </c>
      <c r="G100" s="33"/>
      <c r="I100" s="62">
        <v>45053</v>
      </c>
      <c r="J100" s="63">
        <v>18314.8</v>
      </c>
      <c r="K100" s="63"/>
      <c r="L100" s="63"/>
      <c r="M100" s="63"/>
      <c r="O100" s="33"/>
    </row>
    <row r="101" spans="1:15" x14ac:dyDescent="0.25">
      <c r="A101" s="62">
        <v>45046</v>
      </c>
      <c r="B101">
        <v>733.35</v>
      </c>
      <c r="G101" s="33"/>
      <c r="I101" s="62">
        <v>45046</v>
      </c>
      <c r="J101" s="63">
        <v>18069</v>
      </c>
      <c r="K101" s="63"/>
      <c r="L101" s="63"/>
      <c r="M101" s="63"/>
      <c r="O101" s="33"/>
    </row>
    <row r="102" spans="1:15" x14ac:dyDescent="0.25">
      <c r="A102" s="62">
        <v>45039</v>
      </c>
      <c r="B102">
        <v>725.3</v>
      </c>
      <c r="G102" s="33"/>
      <c r="I102" s="62">
        <v>45039</v>
      </c>
      <c r="J102" s="63">
        <v>18065</v>
      </c>
      <c r="K102" s="63"/>
      <c r="L102" s="63"/>
      <c r="M102" s="63"/>
      <c r="O102" s="33"/>
    </row>
    <row r="103" spans="1:15" x14ac:dyDescent="0.25">
      <c r="A103" s="62">
        <v>45032</v>
      </c>
      <c r="B103">
        <v>710.65</v>
      </c>
      <c r="G103" s="33"/>
      <c r="I103" s="62">
        <v>45032</v>
      </c>
      <c r="J103" s="63">
        <v>17624.05</v>
      </c>
      <c r="K103" s="63"/>
      <c r="L103" s="63"/>
      <c r="M103" s="63"/>
      <c r="O103" s="33"/>
    </row>
    <row r="104" spans="1:15" x14ac:dyDescent="0.25">
      <c r="A104" s="62">
        <v>45025</v>
      </c>
      <c r="B104">
        <v>720.65</v>
      </c>
      <c r="G104" s="33"/>
      <c r="I104" s="62">
        <v>45025</v>
      </c>
      <c r="J104" s="63">
        <v>17828</v>
      </c>
      <c r="K104" s="63"/>
      <c r="L104" s="63"/>
      <c r="M104" s="63"/>
      <c r="O104" s="33"/>
    </row>
    <row r="105" spans="1:15" x14ac:dyDescent="0.25">
      <c r="A105" s="62">
        <v>45018</v>
      </c>
      <c r="B105">
        <v>682.7</v>
      </c>
      <c r="G105" s="33"/>
      <c r="I105" s="62">
        <v>45018</v>
      </c>
      <c r="J105" s="63">
        <v>17599.150000000001</v>
      </c>
      <c r="K105" s="63"/>
      <c r="L105" s="63"/>
      <c r="M105" s="63"/>
      <c r="O105" s="33"/>
    </row>
    <row r="106" spans="1:15" x14ac:dyDescent="0.25">
      <c r="A106" s="62">
        <v>45011</v>
      </c>
      <c r="B106">
        <v>688.1</v>
      </c>
      <c r="G106" s="33"/>
      <c r="I106" s="62">
        <v>45011</v>
      </c>
      <c r="J106" s="63">
        <v>17359.75</v>
      </c>
      <c r="K106" s="63"/>
      <c r="L106" s="63"/>
      <c r="M106" s="63"/>
      <c r="O106" s="33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O10"/>
  <sheetViews>
    <sheetView workbookViewId="0">
      <selection activeCell="M2" sqref="M2"/>
    </sheetView>
  </sheetViews>
  <sheetFormatPr defaultRowHeight="15" x14ac:dyDescent="0.25"/>
  <cols>
    <col min="3" max="3" width="17" customWidth="1"/>
    <col min="4" max="4" width="8" customWidth="1"/>
    <col min="5" max="5" width="16.5703125" bestFit="1" customWidth="1"/>
    <col min="6" max="6" width="16.5703125" customWidth="1"/>
    <col min="7" max="7" width="10.7109375" bestFit="1" customWidth="1"/>
    <col min="8" max="8" width="14.42578125" bestFit="1" customWidth="1"/>
    <col min="9" max="9" width="14.42578125" customWidth="1"/>
    <col min="10" max="10" width="10" customWidth="1"/>
    <col min="11" max="11" width="11.28515625" bestFit="1" customWidth="1"/>
    <col min="12" max="12" width="11" bestFit="1" customWidth="1"/>
    <col min="13" max="13" width="13.28515625" bestFit="1" customWidth="1"/>
    <col min="14" max="14" width="15.85546875" bestFit="1" customWidth="1"/>
  </cols>
  <sheetData>
    <row r="2" spans="2:15" x14ac:dyDescent="0.25">
      <c r="B2" t="s">
        <v>224</v>
      </c>
      <c r="C2" t="s">
        <v>225</v>
      </c>
      <c r="D2" t="s">
        <v>352</v>
      </c>
      <c r="E2" t="s">
        <v>353</v>
      </c>
      <c r="F2" t="s">
        <v>341</v>
      </c>
      <c r="G2" t="s">
        <v>354</v>
      </c>
      <c r="H2" t="s">
        <v>355</v>
      </c>
      <c r="I2" t="s">
        <v>342</v>
      </c>
      <c r="J2" t="s">
        <v>356</v>
      </c>
      <c r="K2" t="s">
        <v>357</v>
      </c>
      <c r="L2" t="s">
        <v>358</v>
      </c>
      <c r="M2" t="s">
        <v>359</v>
      </c>
      <c r="N2" t="s">
        <v>344</v>
      </c>
      <c r="O2" t="s">
        <v>162</v>
      </c>
    </row>
    <row r="3" spans="2:15" x14ac:dyDescent="0.25">
      <c r="B3">
        <v>1</v>
      </c>
      <c r="C3" t="s">
        <v>220</v>
      </c>
      <c r="D3" s="87">
        <v>1058.7</v>
      </c>
      <c r="E3" s="87">
        <v>244.55</v>
      </c>
      <c r="F3" s="87">
        <f t="shared" ref="F3:F9" si="0">D3*E3</f>
        <v>258905.08500000002</v>
      </c>
      <c r="G3" s="87">
        <v>95258</v>
      </c>
      <c r="H3" s="87">
        <v>12348</v>
      </c>
      <c r="I3" s="87">
        <f>G3-H3</f>
        <v>82910</v>
      </c>
      <c r="J3" s="87">
        <v>344869.21</v>
      </c>
      <c r="K3" s="87">
        <v>14.87</v>
      </c>
      <c r="L3" s="87">
        <v>170274</v>
      </c>
      <c r="M3" s="87">
        <v>3312</v>
      </c>
      <c r="N3" s="87">
        <f>F3+G3-H3</f>
        <v>341815.08500000002</v>
      </c>
      <c r="O3" s="87">
        <f>N3/K3</f>
        <v>22986.892064559517</v>
      </c>
    </row>
    <row r="4" spans="2:15" x14ac:dyDescent="0.25">
      <c r="B4">
        <v>2</v>
      </c>
      <c r="C4" t="s">
        <v>221</v>
      </c>
      <c r="D4" s="87">
        <v>157.28</v>
      </c>
      <c r="E4" s="87">
        <v>1248.3499999999999</v>
      </c>
      <c r="F4" s="87">
        <f t="shared" si="0"/>
        <v>196340.48799999998</v>
      </c>
      <c r="G4" s="87">
        <v>99391.76</v>
      </c>
      <c r="H4" s="87">
        <v>8677.7199999999993</v>
      </c>
      <c r="I4" s="87">
        <f t="shared" ref="I4:I9" si="1">G4-H4</f>
        <v>90714.04</v>
      </c>
      <c r="J4" s="87">
        <v>285798.77</v>
      </c>
      <c r="K4" s="87">
        <v>10.69</v>
      </c>
      <c r="L4" s="87">
        <v>221011.71</v>
      </c>
      <c r="M4" s="87">
        <v>2527.46</v>
      </c>
      <c r="N4" s="87">
        <f t="shared" ref="N4:N9" si="2">F4+G4-H4</f>
        <v>287054.52799999999</v>
      </c>
      <c r="O4" s="87">
        <f t="shared" ref="O4:O9" si="3">N4/K4</f>
        <v>26852.621889616465</v>
      </c>
    </row>
    <row r="5" spans="2:15" x14ac:dyDescent="0.25">
      <c r="B5">
        <v>3</v>
      </c>
      <c r="C5" t="s">
        <v>222</v>
      </c>
      <c r="D5" s="87">
        <v>914.3</v>
      </c>
      <c r="E5" s="87">
        <v>102.01</v>
      </c>
      <c r="F5" s="87">
        <f t="shared" si="0"/>
        <v>93267.743000000002</v>
      </c>
      <c r="G5" s="87">
        <v>17266.45</v>
      </c>
      <c r="H5" s="87">
        <v>4024.13</v>
      </c>
      <c r="I5" s="87">
        <f t="shared" si="1"/>
        <v>13242.32</v>
      </c>
      <c r="J5" s="87">
        <v>107009.97</v>
      </c>
      <c r="K5" s="87">
        <v>10.92</v>
      </c>
      <c r="L5" s="87">
        <v>50068.78</v>
      </c>
      <c r="M5" s="87">
        <v>4082.73</v>
      </c>
      <c r="N5" s="87">
        <f t="shared" si="2"/>
        <v>106510.06299999999</v>
      </c>
      <c r="O5" s="87">
        <f t="shared" si="3"/>
        <v>9753.6687728937723</v>
      </c>
    </row>
    <row r="6" spans="2:15" x14ac:dyDescent="0.25">
      <c r="B6">
        <v>4</v>
      </c>
      <c r="C6" t="s">
        <v>360</v>
      </c>
      <c r="D6" s="87">
        <v>2872.15</v>
      </c>
      <c r="E6" s="87">
        <v>19.350000000000001</v>
      </c>
      <c r="F6" s="87">
        <f t="shared" si="0"/>
        <v>55576.102500000008</v>
      </c>
      <c r="G6" s="87">
        <v>698.92</v>
      </c>
      <c r="H6" s="87">
        <v>1227.4000000000001</v>
      </c>
      <c r="I6" s="87">
        <f t="shared" si="1"/>
        <v>-528.48000000000013</v>
      </c>
      <c r="J6" s="87">
        <v>54737.18</v>
      </c>
      <c r="K6" s="87">
        <v>24.26</v>
      </c>
      <c r="L6" s="87">
        <v>18804.8</v>
      </c>
      <c r="M6" s="87">
        <v>1167.4100000000001</v>
      </c>
      <c r="N6" s="87">
        <f t="shared" si="2"/>
        <v>55047.622500000005</v>
      </c>
      <c r="O6" s="87">
        <f t="shared" si="3"/>
        <v>2269.069352844188</v>
      </c>
    </row>
    <row r="7" spans="2:15" x14ac:dyDescent="0.25">
      <c r="B7">
        <v>5</v>
      </c>
      <c r="C7" t="s">
        <v>361</v>
      </c>
      <c r="D7" s="87">
        <v>625.70000000000005</v>
      </c>
      <c r="E7" s="87">
        <v>82.38</v>
      </c>
      <c r="F7" s="87">
        <f t="shared" si="0"/>
        <v>51545.165999999997</v>
      </c>
      <c r="G7" s="87">
        <v>6473.08</v>
      </c>
      <c r="H7" s="87">
        <v>1988.11</v>
      </c>
      <c r="I7" s="87">
        <f t="shared" si="1"/>
        <v>4484.97</v>
      </c>
      <c r="J7" s="87">
        <v>55898.76</v>
      </c>
      <c r="K7" s="87">
        <v>11.46</v>
      </c>
      <c r="L7" s="87">
        <v>38567.910000000003</v>
      </c>
      <c r="M7" s="87">
        <v>2410.41</v>
      </c>
      <c r="N7" s="87">
        <f t="shared" si="2"/>
        <v>56030.135999999999</v>
      </c>
      <c r="O7" s="87">
        <f t="shared" si="3"/>
        <v>4889.1916230366487</v>
      </c>
    </row>
    <row r="8" spans="2:15" x14ac:dyDescent="0.25">
      <c r="B8">
        <v>6</v>
      </c>
      <c r="C8" t="s">
        <v>223</v>
      </c>
      <c r="D8" s="87">
        <v>115.3</v>
      </c>
      <c r="E8" s="87">
        <v>413.05</v>
      </c>
      <c r="F8" s="87">
        <f t="shared" si="0"/>
        <v>47624.665000000001</v>
      </c>
      <c r="G8" s="87">
        <v>41265.03</v>
      </c>
      <c r="H8" s="87">
        <v>672.95</v>
      </c>
      <c r="I8" s="87">
        <f t="shared" si="1"/>
        <v>40592.080000000002</v>
      </c>
      <c r="J8" s="87">
        <v>88135.57</v>
      </c>
      <c r="K8" s="87">
        <v>7.3</v>
      </c>
      <c r="L8" s="87">
        <v>101121.44</v>
      </c>
      <c r="M8" s="87">
        <v>2246.5</v>
      </c>
      <c r="N8" s="87">
        <f t="shared" si="2"/>
        <v>88216.74500000001</v>
      </c>
      <c r="O8" s="87">
        <f t="shared" si="3"/>
        <v>12084.485616438358</v>
      </c>
    </row>
    <row r="9" spans="2:15" x14ac:dyDescent="0.25">
      <c r="B9">
        <v>7</v>
      </c>
      <c r="C9" t="s">
        <v>362</v>
      </c>
      <c r="D9" s="87">
        <v>1511.55</v>
      </c>
      <c r="E9" s="87">
        <v>27.75</v>
      </c>
      <c r="F9" s="87">
        <f t="shared" si="0"/>
        <v>41945.512499999997</v>
      </c>
      <c r="G9" s="87">
        <v>1022.59</v>
      </c>
      <c r="H9" s="87">
        <v>347.6</v>
      </c>
      <c r="I9" s="87">
        <f t="shared" si="1"/>
        <v>674.99</v>
      </c>
      <c r="J9" s="87">
        <v>42768.5</v>
      </c>
      <c r="K9" s="87">
        <v>37.340000000000003</v>
      </c>
      <c r="L9" s="87">
        <v>19946.68</v>
      </c>
      <c r="M9" s="87">
        <v>634.39</v>
      </c>
      <c r="N9" s="87">
        <f t="shared" si="2"/>
        <v>42620.502499999995</v>
      </c>
      <c r="O9" s="87">
        <f t="shared" si="3"/>
        <v>1141.416778253883</v>
      </c>
    </row>
    <row r="10" spans="2:15" x14ac:dyDescent="0.25">
      <c r="D10" s="87"/>
      <c r="E10" s="87"/>
      <c r="F10" s="87"/>
      <c r="G10" s="87"/>
      <c r="H10" s="87"/>
      <c r="I10" s="87"/>
      <c r="J10" s="87"/>
      <c r="K10" s="87"/>
      <c r="L10" s="87"/>
      <c r="M10" s="8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Financial&gt;</vt:lpstr>
      <vt:lpstr>Historical FS</vt:lpstr>
      <vt:lpstr>Ratio Analysis</vt:lpstr>
      <vt:lpstr>Common Size Statement</vt:lpstr>
      <vt:lpstr>Forcasting</vt:lpstr>
      <vt:lpstr>DCF&gt;</vt:lpstr>
      <vt:lpstr>Wacc</vt:lpstr>
      <vt:lpstr>Relative valuation</vt:lpstr>
      <vt:lpstr>Football Field Analysis</vt:lpstr>
      <vt:lpstr>Intrinsic Growth</vt:lpstr>
      <vt:lpstr>Peer Comps</vt:lpstr>
      <vt:lpstr>Raw FS</vt:lpstr>
      <vt:lpstr>Dupont Analysis</vt:lpstr>
      <vt:lpstr>Data Sheet</vt:lpstr>
      <vt:lpstr>Cash Flow demo</vt:lpstr>
      <vt:lpstr>Beta</vt:lpstr>
      <vt:lpstr>Rm</vt:lpstr>
      <vt:lpstr>Data</vt:lpstr>
      <vt:lpstr>Data2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Rohit Routh</cp:lastModifiedBy>
  <cp:lastPrinted>2025-03-27T17:33:41Z</cp:lastPrinted>
  <dcterms:created xsi:type="dcterms:W3CDTF">2012-08-17T09:55:37Z</dcterms:created>
  <dcterms:modified xsi:type="dcterms:W3CDTF">2025-04-04T11:19:37Z</dcterms:modified>
</cp:coreProperties>
</file>