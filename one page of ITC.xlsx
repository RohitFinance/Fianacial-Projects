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4890929-656B-454F-8BE6-3D2139216A6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put Sheet" sheetId="8" r:id="rId1"/>
    <sheet name="Teaser" sheetId="7" r:id="rId2"/>
    <sheet name="Profit &amp; Loss" sheetId="1" r:id="rId3"/>
    <sheet name="Quarters" sheetId="3" r:id="rId4"/>
    <sheet name="Balance Sheet" sheetId="2" r:id="rId5"/>
    <sheet name="Cash Flow" sheetId="4" r:id="rId6"/>
    <sheet name="Customization" sheetId="5" r:id="rId7"/>
    <sheet name="Data Sheet" sheetId="6" r:id="rId8"/>
    <sheet name="Share Price" sheetId="9" r:id="rId9"/>
    <sheet name="Sheet1" sheetId="10" r:id="rId10"/>
  </sheets>
  <externalReferences>
    <externalReference r:id="rId11"/>
  </externalReferences>
  <definedNames>
    <definedName name="_xlnm._FilterDatabase" localSheetId="1" hidden="1">Teaser!$B$51:$F$52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7" l="1"/>
  <c r="K46" i="7"/>
  <c r="K45" i="7" l="1"/>
  <c r="K42" i="7"/>
  <c r="S23" i="9"/>
  <c r="S22" i="9"/>
  <c r="S21" i="9"/>
  <c r="F32" i="7" l="1"/>
  <c r="F33" i="7"/>
  <c r="F36" i="7"/>
  <c r="F37" i="7"/>
  <c r="E30" i="7"/>
  <c r="E31" i="7"/>
  <c r="E32" i="7"/>
  <c r="E33" i="7"/>
  <c r="E34" i="7"/>
  <c r="E35" i="7"/>
  <c r="E36" i="7"/>
  <c r="E37" i="7"/>
  <c r="E38" i="7"/>
  <c r="E29" i="7"/>
  <c r="C30" i="7"/>
  <c r="C31" i="7"/>
  <c r="C32" i="7"/>
  <c r="C33" i="7"/>
  <c r="C34" i="7"/>
  <c r="C35" i="7"/>
  <c r="C36" i="7"/>
  <c r="C37" i="7"/>
  <c r="C38" i="7"/>
  <c r="C29" i="7"/>
  <c r="F28" i="7"/>
  <c r="E28" i="7"/>
  <c r="C28" i="7"/>
  <c r="B30" i="7"/>
  <c r="B31" i="7"/>
  <c r="B32" i="7"/>
  <c r="B33" i="7"/>
  <c r="B34" i="7"/>
  <c r="B35" i="7"/>
  <c r="B36" i="7"/>
  <c r="B37" i="7"/>
  <c r="B38" i="7"/>
  <c r="B29" i="7"/>
  <c r="T10" i="9"/>
  <c r="F30" i="7" s="1"/>
  <c r="T11" i="9"/>
  <c r="F31" i="7" s="1"/>
  <c r="T12" i="9"/>
  <c r="T13" i="9"/>
  <c r="T14" i="9"/>
  <c r="F34" i="7" s="1"/>
  <c r="T15" i="9"/>
  <c r="F35" i="7" s="1"/>
  <c r="T16" i="9"/>
  <c r="T17" i="9"/>
  <c r="T18" i="9"/>
  <c r="F38" i="7" s="1"/>
  <c r="T9" i="9"/>
  <c r="F29" i="7" s="1"/>
  <c r="H22" i="7" l="1"/>
  <c r="C41" i="1"/>
  <c r="D41" i="1"/>
  <c r="E41" i="1"/>
  <c r="F41" i="1"/>
  <c r="G41" i="1"/>
  <c r="H41" i="1"/>
  <c r="I41" i="1"/>
  <c r="J41" i="1"/>
  <c r="K41" i="1"/>
  <c r="B41" i="1"/>
  <c r="C39" i="1"/>
  <c r="D39" i="1"/>
  <c r="E39" i="1"/>
  <c r="F39" i="1"/>
  <c r="G39" i="1"/>
  <c r="H39" i="1"/>
  <c r="I39" i="1"/>
  <c r="J39" i="1"/>
  <c r="K39" i="1"/>
  <c r="B39" i="1"/>
  <c r="B2" i="7"/>
  <c r="C30" i="1" l="1"/>
  <c r="D30" i="1"/>
  <c r="E30" i="1"/>
  <c r="F30" i="1"/>
  <c r="G30" i="1"/>
  <c r="H30" i="1"/>
  <c r="I30" i="1"/>
  <c r="J30" i="1"/>
  <c r="K30" i="1"/>
  <c r="B30" i="1"/>
  <c r="D8" i="7"/>
  <c r="E8" i="7"/>
  <c r="F8" i="7"/>
  <c r="G8" i="7"/>
  <c r="C8" i="7"/>
  <c r="D6" i="7"/>
  <c r="D19" i="7" s="1"/>
  <c r="E6" i="7"/>
  <c r="E19" i="7" s="1"/>
  <c r="F6" i="7"/>
  <c r="F19" i="7" s="1"/>
  <c r="G6" i="7"/>
  <c r="G19" i="7" s="1"/>
  <c r="C6" i="7"/>
  <c r="C19" i="7" s="1"/>
  <c r="C4" i="7"/>
  <c r="C6" i="3" l="1"/>
  <c r="D6" i="3"/>
  <c r="E6" i="3"/>
  <c r="F6" i="3"/>
  <c r="G6" i="3"/>
  <c r="H6" i="3"/>
  <c r="I6" i="3"/>
  <c r="J6" i="3"/>
  <c r="K6" i="3"/>
  <c r="B6" i="3"/>
  <c r="C5" i="1"/>
  <c r="D5" i="1"/>
  <c r="D6" i="1" s="1"/>
  <c r="E5" i="1"/>
  <c r="F5" i="1"/>
  <c r="G5" i="1"/>
  <c r="H5" i="1"/>
  <c r="I5" i="1"/>
  <c r="J5" i="1"/>
  <c r="K5" i="1"/>
  <c r="B5" i="1"/>
  <c r="B6" i="6"/>
  <c r="K43" i="7" s="1"/>
  <c r="K44" i="7" s="1"/>
  <c r="K48" i="7" s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F21" i="2" s="1"/>
  <c r="G18" i="2"/>
  <c r="H18" i="2"/>
  <c r="I18" i="2"/>
  <c r="J18" i="2"/>
  <c r="J21" i="2" s="1"/>
  <c r="K18" i="2"/>
  <c r="B17" i="2"/>
  <c r="C4" i="2"/>
  <c r="D4" i="2"/>
  <c r="D47" i="1" s="1"/>
  <c r="E4" i="2"/>
  <c r="E47" i="1" s="1"/>
  <c r="E5" i="2"/>
  <c r="F4" i="2"/>
  <c r="F47" i="1" s="1"/>
  <c r="G4" i="2"/>
  <c r="H4" i="2"/>
  <c r="I4" i="2"/>
  <c r="I5" i="2"/>
  <c r="J4" i="2"/>
  <c r="J5" i="2"/>
  <c r="J23" i="2" s="1"/>
  <c r="F25" i="7" s="1"/>
  <c r="K4" i="2"/>
  <c r="C5" i="2"/>
  <c r="D5" i="2"/>
  <c r="F5" i="2"/>
  <c r="G5" i="2"/>
  <c r="H5" i="2"/>
  <c r="K5" i="2"/>
  <c r="C6" i="2"/>
  <c r="C40" i="1" s="1"/>
  <c r="C42" i="1" s="1"/>
  <c r="D6" i="2"/>
  <c r="D40" i="1" s="1"/>
  <c r="D42" i="1" s="1"/>
  <c r="E6" i="2"/>
  <c r="E40" i="1" s="1"/>
  <c r="E42" i="1" s="1"/>
  <c r="F6" i="2"/>
  <c r="F40" i="1" s="1"/>
  <c r="F42" i="1" s="1"/>
  <c r="G6" i="2"/>
  <c r="G40" i="1" s="1"/>
  <c r="G42" i="1" s="1"/>
  <c r="H6" i="2"/>
  <c r="H40" i="1" s="1"/>
  <c r="H42" i="1" s="1"/>
  <c r="I6" i="2"/>
  <c r="I40" i="1" s="1"/>
  <c r="I42" i="1" s="1"/>
  <c r="J6" i="2"/>
  <c r="J40" i="1" s="1"/>
  <c r="J42" i="1" s="1"/>
  <c r="K6" i="2"/>
  <c r="K40" i="1" s="1"/>
  <c r="K42" i="1" s="1"/>
  <c r="C7" i="2"/>
  <c r="D7" i="2"/>
  <c r="D16" i="2" s="1"/>
  <c r="E7" i="2"/>
  <c r="F7" i="2"/>
  <c r="G7" i="2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47" i="1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E14" i="3" s="1"/>
  <c r="F4" i="3"/>
  <c r="G4" i="3"/>
  <c r="H4" i="3"/>
  <c r="H14" i="3" s="1"/>
  <c r="I4" i="3"/>
  <c r="I14" i="3" s="1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8" i="1" s="1"/>
  <c r="D4" i="1"/>
  <c r="E4" i="1"/>
  <c r="F4" i="1"/>
  <c r="G4" i="1"/>
  <c r="G28" i="1" s="1"/>
  <c r="C9" i="7" s="1"/>
  <c r="H4" i="1"/>
  <c r="I4" i="1"/>
  <c r="J4" i="1"/>
  <c r="K4" i="1"/>
  <c r="K28" i="1" s="1"/>
  <c r="G9" i="7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D34" i="1" s="1"/>
  <c r="E12" i="1"/>
  <c r="E34" i="1" s="1"/>
  <c r="F12" i="1"/>
  <c r="G12" i="1"/>
  <c r="G13" i="1" s="1"/>
  <c r="H12" i="1"/>
  <c r="I12" i="1"/>
  <c r="I34" i="1" s="1"/>
  <c r="E13" i="7" s="1"/>
  <c r="J12" i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3" s="1"/>
  <c r="E1" i="6"/>
  <c r="H1" i="1" s="1"/>
  <c r="C23" i="2"/>
  <c r="K6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H21" i="2"/>
  <c r="E21" i="2"/>
  <c r="D21" i="2"/>
  <c r="B18" i="2"/>
  <c r="B21" i="2"/>
  <c r="B13" i="2"/>
  <c r="B12" i="2"/>
  <c r="B11" i="2"/>
  <c r="B10" i="2"/>
  <c r="B8" i="2"/>
  <c r="B7" i="2"/>
  <c r="B6" i="2"/>
  <c r="B40" i="1" s="1"/>
  <c r="B42" i="1" s="1"/>
  <c r="B3" i="2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G14" i="3"/>
  <c r="D20" i="2"/>
  <c r="E20" i="2"/>
  <c r="L6" i="1"/>
  <c r="H23" i="1"/>
  <c r="G14" i="1" l="1"/>
  <c r="C21" i="7" s="1"/>
  <c r="G36" i="1"/>
  <c r="C14" i="7"/>
  <c r="C20" i="2"/>
  <c r="B13" i="1"/>
  <c r="B36" i="1" s="1"/>
  <c r="B34" i="1"/>
  <c r="B45" i="1"/>
  <c r="G21" i="2"/>
  <c r="D23" i="2"/>
  <c r="B20" i="2"/>
  <c r="B31" i="1"/>
  <c r="H13" i="1"/>
  <c r="H34" i="1"/>
  <c r="D13" i="7" s="1"/>
  <c r="J28" i="1"/>
  <c r="F9" i="7" s="1"/>
  <c r="F20" i="2"/>
  <c r="F28" i="1"/>
  <c r="L10" i="1"/>
  <c r="L5" i="1"/>
  <c r="J16" i="2"/>
  <c r="F16" i="2"/>
  <c r="G16" i="2"/>
  <c r="C16" i="2"/>
  <c r="H45" i="1"/>
  <c r="D23" i="7" s="1"/>
  <c r="D45" i="1"/>
  <c r="D44" i="1"/>
  <c r="G23" i="2"/>
  <c r="C25" i="7" s="1"/>
  <c r="K23" i="2"/>
  <c r="G25" i="7" s="1"/>
  <c r="K47" i="1"/>
  <c r="G24" i="7" s="1"/>
  <c r="I47" i="1"/>
  <c r="E24" i="7" s="1"/>
  <c r="E23" i="2"/>
  <c r="C47" i="1"/>
  <c r="G6" i="1"/>
  <c r="G31" i="1"/>
  <c r="C10" i="7" s="1"/>
  <c r="K19" i="1"/>
  <c r="K33" i="1"/>
  <c r="G12" i="7" s="1"/>
  <c r="K32" i="1"/>
  <c r="G11" i="7" s="1"/>
  <c r="J23" i="1"/>
  <c r="A1" i="2"/>
  <c r="A1" i="4" s="1"/>
  <c r="G20" i="2"/>
  <c r="H47" i="1"/>
  <c r="D24" i="7" s="1"/>
  <c r="K31" i="1"/>
  <c r="G10" i="7" s="1"/>
  <c r="C21" i="2"/>
  <c r="B23" i="2"/>
  <c r="K13" i="1"/>
  <c r="K34" i="1"/>
  <c r="G13" i="7" s="1"/>
  <c r="G34" i="1"/>
  <c r="C13" i="7" s="1"/>
  <c r="C13" i="1"/>
  <c r="C14" i="1" s="1"/>
  <c r="C34" i="1"/>
  <c r="I28" i="1"/>
  <c r="E9" i="7" s="1"/>
  <c r="I31" i="1"/>
  <c r="E10" i="7" s="1"/>
  <c r="E6" i="1"/>
  <c r="E44" i="1" s="1"/>
  <c r="E31" i="1"/>
  <c r="E28" i="1"/>
  <c r="L12" i="1"/>
  <c r="L11" i="1"/>
  <c r="N11" i="1" s="1"/>
  <c r="K44" i="1"/>
  <c r="G22" i="7" s="1"/>
  <c r="K45" i="1"/>
  <c r="G23" i="7" s="1"/>
  <c r="G44" i="1"/>
  <c r="C22" i="7" s="1"/>
  <c r="G45" i="1"/>
  <c r="C23" i="7" s="1"/>
  <c r="C44" i="1"/>
  <c r="C45" i="1"/>
  <c r="I23" i="1"/>
  <c r="B16" i="2"/>
  <c r="I21" i="2"/>
  <c r="C6" i="1"/>
  <c r="I13" i="1"/>
  <c r="J13" i="1"/>
  <c r="J34" i="1"/>
  <c r="F13" i="7" s="1"/>
  <c r="F34" i="1"/>
  <c r="H28" i="1"/>
  <c r="D9" i="7" s="1"/>
  <c r="H31" i="1"/>
  <c r="D10" i="7" s="1"/>
  <c r="D28" i="1"/>
  <c r="D31" i="1"/>
  <c r="J45" i="1"/>
  <c r="F23" i="7" s="1"/>
  <c r="F45" i="1"/>
  <c r="J47" i="1"/>
  <c r="F24" i="7" s="1"/>
  <c r="G47" i="1"/>
  <c r="C24" i="7" s="1"/>
  <c r="F13" i="1"/>
  <c r="G35" i="1" s="1"/>
  <c r="C15" i="7" s="1"/>
  <c r="J31" i="1"/>
  <c r="F10" i="7" s="1"/>
  <c r="I45" i="1"/>
  <c r="E23" i="7" s="1"/>
  <c r="E45" i="1"/>
  <c r="K20" i="2"/>
  <c r="D19" i="1"/>
  <c r="D32" i="1"/>
  <c r="D33" i="1"/>
  <c r="F14" i="3"/>
  <c r="C31" i="1"/>
  <c r="F31" i="1"/>
  <c r="L13" i="1"/>
  <c r="L14" i="1" s="1"/>
  <c r="L23" i="1"/>
  <c r="H14" i="1"/>
  <c r="D21" i="7" s="1"/>
  <c r="H23" i="2"/>
  <c r="D25" i="7" s="1"/>
  <c r="L9" i="1"/>
  <c r="M9" i="1" s="1"/>
  <c r="L7" i="1"/>
  <c r="J24" i="2"/>
  <c r="F26" i="7" s="1"/>
  <c r="D24" i="2"/>
  <c r="G24" i="2"/>
  <c r="C26" i="7" s="1"/>
  <c r="E24" i="2"/>
  <c r="D13" i="1"/>
  <c r="J20" i="2"/>
  <c r="J6" i="1"/>
  <c r="J44" i="1" s="1"/>
  <c r="F22" i="7" s="1"/>
  <c r="F23" i="2"/>
  <c r="E1" i="3"/>
  <c r="B14" i="1"/>
  <c r="I16" i="2"/>
  <c r="K24" i="2"/>
  <c r="G26" i="7" s="1"/>
  <c r="I24" i="2"/>
  <c r="E26" i="7" s="1"/>
  <c r="B6" i="1"/>
  <c r="L8" i="1"/>
  <c r="M8" i="1" s="1"/>
  <c r="L4" i="1"/>
  <c r="L19" i="1" s="1"/>
  <c r="L24" i="1" s="1"/>
  <c r="I6" i="1"/>
  <c r="E1" i="2"/>
  <c r="C24" i="2"/>
  <c r="I23" i="2"/>
  <c r="E25" i="7" s="1"/>
  <c r="H24" i="2"/>
  <c r="D26" i="7" s="1"/>
  <c r="F24" i="2"/>
  <c r="N9" i="1"/>
  <c r="N8" i="1"/>
  <c r="I20" i="2"/>
  <c r="H20" i="2"/>
  <c r="K23" i="1"/>
  <c r="M23" i="1" s="1"/>
  <c r="M4" i="1" s="1"/>
  <c r="H6" i="1"/>
  <c r="H44" i="1" s="1"/>
  <c r="D22" i="7" s="1"/>
  <c r="F6" i="1"/>
  <c r="E1" i="4"/>
  <c r="E13" i="1" l="1"/>
  <c r="D35" i="1"/>
  <c r="D36" i="1"/>
  <c r="D37" i="1" s="1"/>
  <c r="M11" i="1"/>
  <c r="D14" i="7"/>
  <c r="H36" i="1"/>
  <c r="H35" i="1"/>
  <c r="D15" i="7" s="1"/>
  <c r="I35" i="1"/>
  <c r="E15" i="7" s="1"/>
  <c r="E14" i="7"/>
  <c r="I36" i="1"/>
  <c r="I14" i="1"/>
  <c r="C33" i="1"/>
  <c r="C32" i="1"/>
  <c r="C19" i="1"/>
  <c r="C16" i="7"/>
  <c r="G37" i="1"/>
  <c r="C17" i="7" s="1"/>
  <c r="K35" i="1"/>
  <c r="G15" i="7" s="1"/>
  <c r="G14" i="7"/>
  <c r="K36" i="1"/>
  <c r="K14" i="1"/>
  <c r="G21" i="7" s="1"/>
  <c r="F19" i="1"/>
  <c r="F33" i="1"/>
  <c r="F32" i="1"/>
  <c r="J19" i="1"/>
  <c r="J32" i="1"/>
  <c r="F11" i="7" s="1"/>
  <c r="J33" i="1"/>
  <c r="F12" i="7" s="1"/>
  <c r="F36" i="1"/>
  <c r="F35" i="1"/>
  <c r="F44" i="1"/>
  <c r="H19" i="1"/>
  <c r="H32" i="1"/>
  <c r="D11" i="7" s="1"/>
  <c r="H33" i="1"/>
  <c r="D12" i="7" s="1"/>
  <c r="I19" i="1"/>
  <c r="I32" i="1"/>
  <c r="E11" i="7" s="1"/>
  <c r="I33" i="1"/>
  <c r="E12" i="7" s="1"/>
  <c r="B19" i="1"/>
  <c r="B32" i="1"/>
  <c r="B33" i="1"/>
  <c r="L25" i="1"/>
  <c r="H21" i="7"/>
  <c r="I44" i="1"/>
  <c r="E22" i="7" s="1"/>
  <c r="J14" i="1"/>
  <c r="F21" i="7" s="1"/>
  <c r="J36" i="1"/>
  <c r="J35" i="1"/>
  <c r="F15" i="7" s="1"/>
  <c r="F14" i="7"/>
  <c r="E19" i="1"/>
  <c r="E32" i="1"/>
  <c r="E33" i="1"/>
  <c r="C35" i="1"/>
  <c r="C36" i="1"/>
  <c r="C37" i="1" s="1"/>
  <c r="F14" i="1"/>
  <c r="G19" i="1"/>
  <c r="J24" i="1" s="1"/>
  <c r="G33" i="1"/>
  <c r="C12" i="7" s="1"/>
  <c r="G32" i="1"/>
  <c r="C11" i="7" s="1"/>
  <c r="B44" i="1"/>
  <c r="N23" i="1"/>
  <c r="N4" i="1" s="1"/>
  <c r="D14" i="1"/>
  <c r="G16" i="7" l="1"/>
  <c r="K37" i="1"/>
  <c r="G17" i="7" s="1"/>
  <c r="K25" i="1"/>
  <c r="M25" i="1" s="1"/>
  <c r="M14" i="1" s="1"/>
  <c r="E21" i="7"/>
  <c r="J25" i="1"/>
  <c r="E16" i="7"/>
  <c r="I37" i="1"/>
  <c r="E17" i="7" s="1"/>
  <c r="D16" i="7"/>
  <c r="H37" i="1"/>
  <c r="D17" i="7" s="1"/>
  <c r="H24" i="1"/>
  <c r="J37" i="1"/>
  <c r="F17" i="7" s="1"/>
  <c r="F16" i="7"/>
  <c r="K24" i="1"/>
  <c r="M24" i="1" s="1"/>
  <c r="M6" i="1" s="1"/>
  <c r="M10" i="1" s="1"/>
  <c r="M12" i="1" s="1"/>
  <c r="M13" i="1" s="1"/>
  <c r="I24" i="1"/>
  <c r="E35" i="1"/>
  <c r="E36" i="1"/>
  <c r="E37" i="1" s="1"/>
  <c r="E14" i="1"/>
  <c r="I25" i="1" s="1"/>
  <c r="M15" i="1" l="1"/>
  <c r="N24" i="1"/>
  <c r="N6" i="1" s="1"/>
  <c r="M5" i="1"/>
  <c r="H25" i="1"/>
  <c r="N25" i="1" s="1"/>
  <c r="N14" i="1" s="1"/>
  <c r="F37" i="1"/>
  <c r="N10" i="1" l="1"/>
  <c r="N12" i="1" s="1"/>
  <c r="N13" i="1" s="1"/>
  <c r="N15" i="1" s="1"/>
  <c r="N5" i="1"/>
</calcChain>
</file>

<file path=xl/sharedStrings.xml><?xml version="1.0" encoding="utf-8"?>
<sst xmlns="http://schemas.openxmlformats.org/spreadsheetml/2006/main" count="1513" uniqueCount="1447">
  <si>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</si>
  <si>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</si>
  <si>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</si>
  <si>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</si>
  <si>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</si>
  <si>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</si>
  <si>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</si>
  <si>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</si>
  <si>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</si>
  <si>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</si>
  <si>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</si>
  <si>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</si>
  <si>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</si>
  <si>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</si>
  <si>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</si>
  <si>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</si>
  <si>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</si>
  <si>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</si>
  <si>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</si>
  <si>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</si>
  <si>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</si>
  <si>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</si>
  <si>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</si>
  <si>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</si>
  <si>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</si>
  <si>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</si>
  <si>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</si>
  <si>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</si>
  <si>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</si>
  <si>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</si>
  <si>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</si>
  <si>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</si>
  <si>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</si>
  <si>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</si>
  <si>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</si>
  <si>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</si>
  <si>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</si>
  <si>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</si>
  <si>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</si>
  <si>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</si>
  <si>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</si>
  <si>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</si>
  <si>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</si>
  <si>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</si>
  <si>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</si>
  <si>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</si>
  <si>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</si>
  <si>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</si>
  <si>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</si>
  <si>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</si>
  <si>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</si>
  <si>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</si>
  <si>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</si>
  <si>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</si>
  <si>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</si>
  <si>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</si>
  <si>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</si>
  <si>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</si>
  <si>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</si>
  <si>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</si>
  <si>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</si>
  <si>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</si>
  <si>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</si>
  <si>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</si>
  <si>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</si>
  <si>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</si>
  <si>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</si>
  <si>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</si>
  <si>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</si>
  <si>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</si>
  <si>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</si>
  <si>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</si>
  <si>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</si>
  <si>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</si>
  <si>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</si>
  <si>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</si>
  <si>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</si>
  <si>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</si>
  <si>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</si>
  <si>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</si>
  <si>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</si>
  <si>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</si>
  <si>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</si>
  <si>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</si>
  <si>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</si>
  <si>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</si>
  <si>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</si>
  <si>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</si>
  <si>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</si>
  <si>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</si>
  <si>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</si>
  <si>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</si>
  <si>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</si>
  <si>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r>
      <t>ITC Limited</t>
    </r>
    <r>
      <rPr>
        <sz val="12"/>
        <color rgb="FF202122"/>
        <rFont val="Arial"/>
        <family val="2"/>
      </rPr>
      <t> is an Indian </t>
    </r>
    <r>
      <rPr>
        <sz val="12"/>
        <color theme="1"/>
        <rFont val="Arial"/>
        <family val="2"/>
      </rPr>
      <t>conglomerate</t>
    </r>
    <r>
      <rPr>
        <sz val="12"/>
        <color rgb="FF202122"/>
        <rFont val="Arial"/>
        <family val="2"/>
      </rPr>
      <t>, headquartered in </t>
    </r>
    <r>
      <rPr>
        <sz val="12"/>
        <color theme="1"/>
        <rFont val="Arial"/>
        <family val="2"/>
      </rPr>
      <t>Kolkata</t>
    </r>
    <r>
      <rPr>
        <sz val="12"/>
        <color rgb="FF202122"/>
        <rFont val="Arial"/>
        <family val="2"/>
      </rPr>
      <t>.</t>
    </r>
    <r>
      <rPr>
        <vertAlign val="superscript"/>
        <sz val="10"/>
        <color rgb="FF202122"/>
        <rFont val="Arial"/>
        <family val="2"/>
      </rPr>
      <t>[9]</t>
    </r>
    <r>
      <rPr>
        <sz val="12"/>
        <color rgb="FF202122"/>
        <rFont val="Arial"/>
        <family val="2"/>
      </rPr>
      <t> It has a presence across six business segments, namely </t>
    </r>
    <r>
      <rPr>
        <sz val="12"/>
        <color theme="1"/>
        <rFont val="Arial"/>
        <family val="2"/>
      </rPr>
      <t>FMCG</t>
    </r>
    <r>
      <rPr>
        <sz val="12"/>
        <color rgb="FF202122"/>
        <rFont val="Arial"/>
        <family val="2"/>
      </rPr>
      <t>, </t>
    </r>
    <r>
      <rPr>
        <sz val="12"/>
        <color theme="1"/>
        <rFont val="Arial"/>
        <family val="2"/>
      </rPr>
      <t>agribusiness</t>
    </r>
    <r>
      <rPr>
        <sz val="12"/>
        <color rgb="FF202122"/>
        <rFont val="Arial"/>
        <family val="2"/>
      </rPr>
      <t>, </t>
    </r>
    <r>
      <rPr>
        <sz val="12"/>
        <color theme="1"/>
        <rFont val="Arial"/>
        <family val="2"/>
      </rPr>
      <t>information technology</t>
    </r>
    <r>
      <rPr>
        <sz val="12"/>
        <color rgb="FF202122"/>
        <rFont val="Arial"/>
        <family val="2"/>
      </rPr>
      <t>, </t>
    </r>
    <r>
      <rPr>
        <sz val="12"/>
        <color theme="1"/>
        <rFont val="Arial"/>
        <family val="2"/>
      </rPr>
      <t>paper products</t>
    </r>
    <r>
      <rPr>
        <sz val="12"/>
        <color rgb="FF202122"/>
        <rFont val="Arial"/>
        <family val="2"/>
      </rPr>
      <t>, and </t>
    </r>
    <r>
      <rPr>
        <sz val="12"/>
        <color theme="1"/>
        <rFont val="Arial"/>
        <family val="2"/>
      </rPr>
      <t>packaging</t>
    </r>
    <r>
      <rPr>
        <sz val="12"/>
        <color rgb="FF202122"/>
        <rFont val="Arial"/>
        <family val="2"/>
      </rPr>
      <t>.</t>
    </r>
    <r>
      <rPr>
        <vertAlign val="superscript"/>
        <sz val="10"/>
        <color rgb="FF202122"/>
        <rFont val="Arial"/>
        <family val="2"/>
      </rPr>
      <t>[10]</t>
    </r>
    <r>
      <rPr>
        <sz val="12"/>
        <color rgb="FF202122"/>
        <rFont val="Arial"/>
        <family val="2"/>
      </rPr>
      <t> It generates a plurality of its revenue from tobacco products.</t>
    </r>
    <r>
      <rPr>
        <vertAlign val="superscript"/>
        <sz val="10"/>
        <color rgb="FF202122"/>
        <rFont val="Arial"/>
        <family val="2"/>
      </rPr>
      <t>[11]</t>
    </r>
  </si>
  <si>
    <t>Company Discription</t>
  </si>
  <si>
    <t>Key Financial Metrics</t>
  </si>
  <si>
    <t>INR (Crs)</t>
  </si>
  <si>
    <t>Total Sales</t>
  </si>
  <si>
    <t>Sales Growth (y-o-y)</t>
  </si>
  <si>
    <t>Gross Profit</t>
  </si>
  <si>
    <t>GPM</t>
  </si>
  <si>
    <t>Gross Profit Margin (%)</t>
  </si>
  <si>
    <t>Ebitda Margin</t>
  </si>
  <si>
    <t>EBIT Margin</t>
  </si>
  <si>
    <t>Net Profit Margin</t>
  </si>
  <si>
    <t>EBITDA Margins (%)</t>
  </si>
  <si>
    <t>EBIT Margins (%)</t>
  </si>
  <si>
    <t>Net Profit Margins (%)</t>
  </si>
  <si>
    <t>EPS Growth</t>
  </si>
  <si>
    <t>Divident Per Share</t>
  </si>
  <si>
    <t>Divident Growth</t>
  </si>
  <si>
    <t>EPS Growth (y-o-y) (%)</t>
  </si>
  <si>
    <t>Earning Per Share(In Rs)</t>
  </si>
  <si>
    <t>DPS Growth (y-o-y) (%)</t>
  </si>
  <si>
    <t>Date</t>
  </si>
  <si>
    <t>Share Price-5 Y</t>
  </si>
  <si>
    <t>Market Capitaliztion</t>
  </si>
  <si>
    <t>Debt</t>
  </si>
  <si>
    <t>Cash</t>
  </si>
  <si>
    <t>ev</t>
  </si>
  <si>
    <t>EV EBITDA</t>
  </si>
  <si>
    <t>EV SALES</t>
  </si>
  <si>
    <t>P/B</t>
  </si>
  <si>
    <t>Key Financial Ratio</t>
  </si>
  <si>
    <t>Price to Eanings</t>
  </si>
  <si>
    <t>EV/EBITDA</t>
  </si>
  <si>
    <t>EV/Sales</t>
  </si>
  <si>
    <t>Price to Book Value</t>
  </si>
  <si>
    <t>Return On Equity</t>
  </si>
  <si>
    <t>Return on Capital Employed</t>
  </si>
  <si>
    <t>Volume - 5 Y</t>
  </si>
  <si>
    <t>20.03M</t>
  </si>
  <si>
    <t>26.76M</t>
  </si>
  <si>
    <t>z</t>
  </si>
  <si>
    <t>British American Tobacco plc</t>
  </si>
  <si>
    <t>16 445 M ₹</t>
  </si>
  <si>
    <t>Life Insurance Corporation of India (Investment Portfolio)</t>
  </si>
  <si>
    <t>9 801 M ₹</t>
  </si>
  <si>
    <t>The Specified Undertaking of the Unit Trust of India</t>
  </si>
  <si>
    <t>5 035 M ₹</t>
  </si>
  <si>
    <t>SBI Funds Management Ltd.</t>
  </si>
  <si>
    <t>2 101 M ₹</t>
  </si>
  <si>
    <t>General Insurance Corp. of India (Invt Port)</t>
  </si>
  <si>
    <t>1 121 M ₹</t>
  </si>
  <si>
    <t>The New India Assurance Co. Ltd. (Investment Portfolio)</t>
  </si>
  <si>
    <t>953 M ₹</t>
  </si>
  <si>
    <t>Government of Singapore</t>
  </si>
  <si>
    <t>930 M ₹</t>
  </si>
  <si>
    <t>HDFC Asset Management Co. Ltd. (Invt Mgmt)</t>
  </si>
  <si>
    <t>759 M ₹</t>
  </si>
  <si>
    <t>UTI Asset Management Co. Ltd. (Investment Management)</t>
  </si>
  <si>
    <t>729 M ₹</t>
  </si>
  <si>
    <t>PPFAS Asset Management Private Ltd.</t>
  </si>
  <si>
    <t>550 M ₹</t>
  </si>
  <si>
    <t>Share Holder Name</t>
  </si>
  <si>
    <t>Top 10 Shareholders</t>
  </si>
  <si>
    <t>% Holding</t>
  </si>
  <si>
    <t>N.Shares(in Crs)</t>
  </si>
  <si>
    <t>Market Value(in Crs)</t>
  </si>
  <si>
    <t>Share Holder Pattern</t>
  </si>
  <si>
    <t>DIIs</t>
  </si>
  <si>
    <t>FIIs</t>
  </si>
  <si>
    <t>Public &amp; Government</t>
  </si>
  <si>
    <t>Capital Structure</t>
  </si>
  <si>
    <t>Share Price as PerXXX</t>
  </si>
  <si>
    <t>No of Shares</t>
  </si>
  <si>
    <t>Less: Cash&amp; Equivalent</t>
  </si>
  <si>
    <t>Add: Total Debt</t>
  </si>
  <si>
    <t>Add: Minority Intrest</t>
  </si>
  <si>
    <t>Enterprise Value</t>
  </si>
  <si>
    <t xml:space="preserve"> S Puri Chairman &amp; Managing Director 401 : 1 50</t>
  </si>
  <si>
    <t xml:space="preserve"> S Dutta Executive Director &amp; Chief Financial Officer 116 : 1 60</t>
  </si>
  <si>
    <t xml:space="preserve"> B Sumant Executive Director 191 : 1 52</t>
  </si>
  <si>
    <t xml:space="preserve"> H Malik 1 Executive Director 43 : 1</t>
  </si>
  <si>
    <t>Designation</t>
  </si>
  <si>
    <t>Remuniration</t>
  </si>
  <si>
    <t>X of Median Salary</t>
  </si>
  <si>
    <t>Mr.Sanjeev Puri</t>
  </si>
  <si>
    <t>Mr.Supritam Dutta</t>
  </si>
  <si>
    <t>Mr.Hemant Malik</t>
  </si>
  <si>
    <t>Mr.Sumant Bhargavan</t>
  </si>
  <si>
    <t>ED</t>
  </si>
  <si>
    <t>ED&amp;CFO</t>
  </si>
  <si>
    <t>CMD</t>
  </si>
  <si>
    <t>400:1</t>
  </si>
  <si>
    <t>116:1</t>
  </si>
  <si>
    <t>191:1</t>
  </si>
  <si>
    <t>43:1</t>
  </si>
  <si>
    <t>Recent Updates</t>
  </si>
  <si>
    <t>Agri Segment Revenue up 9.7% YoY led by Leaf Tobacco &amp; Value Added Agri products; Segment PBIT 
witnessed robust uptick - up 21.6% YoY</t>
  </si>
  <si>
    <t>ITC from The Hotel (Demerged business) Has shown a Growth of 14.6% YoY in Revenue on a high base; PBT up 43.4% YoY</t>
  </si>
  <si>
    <t xml:space="preserve"> ITC in Cigrates they have shown a Strong growth in Net Segment Revenue* - up 8.1% YoY, driven by volumes</t>
  </si>
  <si>
    <t>Paper Segment remains impacted due to low priced Chinese &amp; Indonesian supplies in global markets 
including India, soft domestic demand conditions and unprecedented surge in wood price</t>
  </si>
  <si>
    <t>Financial services major Wells Fargo on Monday sold diversified conglomerate ITC Ltd’s shares worth over Rs 106 crore through an open market transaction.</t>
  </si>
  <si>
    <t>ITC Royal Bengal and ITC Sonar have been honoured with the Special Jury Award in the “Industrial Water Efficiency”  24, 2025.</t>
  </si>
  <si>
    <t xml:space="preserve">Sources </t>
  </si>
  <si>
    <t>Investing.com</t>
  </si>
  <si>
    <t>Equity master.com</t>
  </si>
  <si>
    <t>Companys Concalls</t>
  </si>
  <si>
    <t>Annual Report</t>
  </si>
  <si>
    <t>Companys Website</t>
  </si>
  <si>
    <t>ROHIT KUMAR ROUTH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</si>
  <si>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</si>
  <si>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</si>
  <si>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</si>
  <si>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</si>
  <si>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</si>
  <si>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</si>
  <si>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</si>
  <si>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</si>
  <si>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17,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</si>
  <si>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</si>
  <si>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</si>
  <si>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</si>
  <si>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</si>
  <si>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</si>
  <si>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</si>
  <si>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</si>
  <si>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</si>
  <si>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</si>
  <si>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</si>
  <si>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</si>
  <si>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25, 2025</t>
  </si>
  <si>
    <t>Feb 24, 2025</t>
  </si>
  <si>
    <t>Feb 21, 2025</t>
  </si>
  <si>
    <t>Feb 20, 2025</t>
  </si>
  <si>
    <t>Feb 19, 2025</t>
  </si>
  <si>
    <t>Feb 18, 2025</t>
  </si>
  <si>
    <t>Feb 17,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</si>
  <si>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</si>
  <si>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</si>
  <si>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</si>
  <si>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</si>
  <si>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</si>
  <si>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</si>
  <si>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</si>
  <si>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</si>
  <si>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</si>
  <si>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</si>
  <si>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Feb 1,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</si>
  <si>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</si>
  <si>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</si>
  <si>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</si>
  <si>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</si>
  <si>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</si>
  <si>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</si>
  <si>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</si>
  <si>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</si>
  <si>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</si>
  <si>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20, 2025</t>
  </si>
  <si>
    <t>Jan 17, 2025</t>
  </si>
  <si>
    <t>Jan 16, 2025</t>
  </si>
  <si>
    <t>Jan 15, 2025</t>
  </si>
  <si>
    <t>Jan 14, 2025</t>
  </si>
  <si>
    <t>Jan 13, 2025</t>
  </si>
  <si>
    <t>Jan 10, 2025</t>
  </si>
  <si>
    <t>Jan 9, 2025</t>
  </si>
  <si>
    <t>Jan 8, 2025</t>
  </si>
  <si>
    <t>Jan 7, 2025</t>
  </si>
  <si>
    <t>Jan 6, 2025</t>
  </si>
  <si>
    <t>Jan 3, 2025</t>
  </si>
  <si>
    <t>Jan 2, 2025</t>
  </si>
  <si>
    <t>Jan 1,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</si>
  <si>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</si>
  <si>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</si>
  <si>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</si>
  <si>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</si>
  <si>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</si>
  <si>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</si>
  <si>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</si>
  <si>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</si>
  <si>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</si>
  <si>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</si>
  <si>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</si>
  <si>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</si>
  <si>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</si>
  <si>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</si>
  <si>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</si>
  <si>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</si>
  <si>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</si>
  <si>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</si>
  <si>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</si>
  <si>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</si>
  <si>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</si>
  <si>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</si>
  <si>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28, 2024</t>
  </si>
  <si>
    <t>Nov 27, 2024</t>
  </si>
  <si>
    <t>Nov 26, 2024</t>
  </si>
  <si>
    <t>Nov 25, 2024</t>
  </si>
  <si>
    <t>Nov 22, 2024</t>
  </si>
  <si>
    <t>Nov 21, 2024</t>
  </si>
  <si>
    <t>Nov 19, 2024</t>
  </si>
  <si>
    <t>Nov 18,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</si>
  <si>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</si>
  <si>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</si>
  <si>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</si>
  <si>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</si>
  <si>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</si>
  <si>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</si>
  <si>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</si>
  <si>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</si>
  <si>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</si>
  <si>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</si>
  <si>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</si>
  <si>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</si>
  <si>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</si>
  <si>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</si>
  <si>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</si>
  <si>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</si>
  <si>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</si>
  <si>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</si>
  <si>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</si>
  <si>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</si>
  <si>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</si>
  <si>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</si>
  <si>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</si>
  <si>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</si>
  <si>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</si>
  <si>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</si>
  <si>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</si>
  <si>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</si>
  <si>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</si>
  <si>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</si>
  <si>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</si>
  <si>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</si>
  <si>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</si>
  <si>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</si>
  <si>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</si>
  <si>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</si>
  <si>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</si>
  <si>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</si>
  <si>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</si>
  <si>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</si>
  <si>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</si>
  <si>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</si>
  <si>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</si>
  <si>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</si>
  <si>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</si>
  <si>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</si>
  <si>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</si>
  <si>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</si>
  <si>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</si>
  <si>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</si>
  <si>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</si>
  <si>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</si>
  <si>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Sep 2,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</si>
  <si>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</si>
  <si>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</si>
  <si>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</si>
  <si>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</si>
  <si>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</si>
  <si>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</si>
  <si>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</si>
  <si>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</si>
  <si>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</si>
  <si>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</si>
  <si>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</si>
  <si>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</si>
  <si>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</si>
  <si>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</si>
  <si>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</si>
  <si>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</si>
  <si>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</si>
  <si>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</si>
  <si>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</si>
  <si>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</si>
  <si>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</si>
  <si>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</si>
  <si>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</si>
  <si>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</si>
  <si>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</si>
  <si>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</si>
  <si>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</si>
  <si>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</si>
  <si>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</si>
  <si>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</si>
  <si>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</si>
  <si>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</si>
  <si>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</si>
  <si>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</si>
  <si>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</si>
  <si>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</si>
  <si>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</si>
  <si>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</si>
  <si>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</si>
  <si>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4,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</si>
  <si>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</si>
  <si>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</si>
  <si>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</si>
  <si>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</si>
  <si>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</si>
  <si>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</si>
  <si>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</si>
  <si>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</si>
  <si>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</si>
  <si>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</si>
  <si>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19, 2024</t>
  </si>
  <si>
    <t>Jun 18,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</si>
  <si>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</si>
  <si>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</si>
  <si>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</si>
  <si>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</si>
  <si>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</si>
  <si>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</si>
  <si>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</si>
  <si>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</si>
  <si>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</si>
  <si>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</si>
  <si>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</si>
  <si>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</si>
  <si>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</si>
  <si>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</si>
  <si>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27, 2024</t>
  </si>
  <si>
    <t>May 24, 2024</t>
  </si>
  <si>
    <t>May 23, 2024</t>
  </si>
  <si>
    <t>May 22, 2024</t>
  </si>
  <si>
    <t>May 21,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</si>
  <si>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</si>
  <si>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</si>
  <si>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</si>
  <si>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</si>
  <si>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</si>
  <si>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</si>
  <si>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</si>
  <si>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</si>
  <si>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</si>
  <si>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</si>
  <si>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</si>
  <si>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</si>
  <si>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</si>
  <si>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</si>
  <si>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</si>
  <si>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</si>
  <si>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</si>
  <si>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</si>
  <si>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</si>
  <si>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</si>
  <si>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</si>
  <si>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16, 2024</t>
  </si>
  <si>
    <t>Apr 15, 2024</t>
  </si>
  <si>
    <t>Apr 12,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</si>
  <si>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</si>
  <si>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</si>
  <si>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</si>
  <si>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</si>
  <si>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</si>
  <si>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</si>
  <si>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</si>
  <si>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</si>
  <si>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</si>
  <si>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</si>
  <si>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</si>
  <si>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</si>
  <si>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</si>
  <si>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</si>
  <si>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</si>
  <si>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</si>
  <si>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</si>
  <si>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</si>
  <si>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</si>
  <si>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</si>
  <si>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</si>
  <si>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</si>
  <si>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</si>
  <si>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</si>
  <si>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</si>
  <si>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</si>
  <si>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</si>
  <si>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</si>
  <si>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</si>
  <si>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</si>
  <si>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</si>
  <si>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</si>
  <si>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</si>
  <si>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</si>
  <si>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19,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</si>
  <si>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</si>
  <si>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</si>
  <si>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</si>
  <si>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</si>
  <si>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</si>
  <si>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</si>
  <si>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</si>
  <si>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</si>
  <si>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</si>
  <si>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</si>
  <si>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</si>
  <si>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</si>
  <si>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</si>
  <si>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</si>
  <si>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</si>
  <si>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25, 2024</t>
  </si>
  <si>
    <t>Jan 24, 2024</t>
  </si>
  <si>
    <t>Jan 23, 2024</t>
  </si>
  <si>
    <t>Jan 19, 2024</t>
  </si>
  <si>
    <t>Jan 18, 2024</t>
  </si>
  <si>
    <t>Jan 17, 2024</t>
  </si>
  <si>
    <t>Jan 16, 2024</t>
  </si>
  <si>
    <t>Jan 15,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</si>
  <si>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</si>
  <si>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</si>
  <si>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</si>
  <si>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</si>
  <si>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</si>
  <si>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</si>
  <si>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</si>
  <si>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</si>
  <si>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</si>
  <si>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Jan 1,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</si>
  <si>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</si>
  <si>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</si>
  <si>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</si>
  <si>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</si>
  <si>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</si>
  <si>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</si>
  <si>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</si>
  <si>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</si>
  <si>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</si>
  <si>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</si>
  <si>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</si>
  <si>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</si>
  <si>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</si>
  <si>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</si>
  <si>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</si>
  <si>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</si>
  <si>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</si>
  <si>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</si>
  <si>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</si>
  <si>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</si>
  <si>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</si>
  <si>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</si>
  <si>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</si>
  <si>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24, 2023</t>
  </si>
  <si>
    <t>Nov 23, 2023</t>
  </si>
  <si>
    <t>Nov 22, 2023</t>
  </si>
  <si>
    <t>Nov 21, 2023</t>
  </si>
  <si>
    <t>Nov 20, 2023</t>
  </si>
  <si>
    <t>Nov 17, 2023</t>
  </si>
  <si>
    <t>Nov 16, 2023</t>
  </si>
  <si>
    <t>Nov 15,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</si>
  <si>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</si>
  <si>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</si>
  <si>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</si>
  <si>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</si>
  <si>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</si>
  <si>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</si>
  <si>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</si>
  <si>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</si>
  <si>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</si>
  <si>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</si>
  <si>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</si>
  <si>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</si>
  <si>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</si>
  <si>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</si>
  <si>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</si>
  <si>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</si>
  <si>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</si>
  <si>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</si>
  <si>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</si>
  <si>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</si>
  <si>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</si>
  <si>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</si>
  <si>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</si>
  <si>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</si>
  <si>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</si>
  <si>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</si>
  <si>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</si>
  <si>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</si>
  <si>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</si>
  <si>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</si>
  <si>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</si>
  <si>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</si>
  <si>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</si>
  <si>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</si>
  <si>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</si>
  <si>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</si>
  <si>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</si>
  <si>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</si>
  <si>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</si>
  <si>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</si>
  <si>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</si>
  <si>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</si>
  <si>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</si>
  <si>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</si>
  <si>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</si>
  <si>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</si>
  <si>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</si>
  <si>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4,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</si>
  <si>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</si>
  <si>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</si>
  <si>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</si>
  <si>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</si>
  <si>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</si>
  <si>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</si>
  <si>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</si>
  <si>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</si>
  <si>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</si>
  <si>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</si>
  <si>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</si>
  <si>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</si>
  <si>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</si>
  <si>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</si>
  <si>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</si>
  <si>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</si>
  <si>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</si>
  <si>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</si>
  <si>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</si>
  <si>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</si>
  <si>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</si>
  <si>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</si>
  <si>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</si>
  <si>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</si>
  <si>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</si>
  <si>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</si>
  <si>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</si>
  <si>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</si>
  <si>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</si>
  <si>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</si>
  <si>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</si>
  <si>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</si>
  <si>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</si>
  <si>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</si>
  <si>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</si>
  <si>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</si>
  <si>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</si>
  <si>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</si>
  <si>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</si>
  <si>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</si>
  <si>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</si>
  <si>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</si>
  <si>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4, 2023</t>
  </si>
  <si>
    <t>Jul 3, 2023</t>
  </si>
  <si>
    <t>Jun 30,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</si>
  <si>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</si>
  <si>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</si>
  <si>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</si>
  <si>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</si>
  <si>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</si>
  <si>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</si>
  <si>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</si>
  <si>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19,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</si>
  <si>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</si>
  <si>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</si>
  <si>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</si>
  <si>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</si>
  <si>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</si>
  <si>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</si>
  <si>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</si>
  <si>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</si>
  <si>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</si>
  <si>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</si>
  <si>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</si>
  <si>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</si>
  <si>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</si>
  <si>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</si>
  <si>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29,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</si>
  <si>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</si>
  <si>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</si>
  <si>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</si>
  <si>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</si>
  <si>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</si>
  <si>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</si>
  <si>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</si>
  <si>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</si>
  <si>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</si>
  <si>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</si>
  <si>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</si>
  <si>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</si>
  <si>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</si>
  <si>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</si>
  <si>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</si>
  <si>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</si>
  <si>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</si>
  <si>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</si>
  <si>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</si>
  <si>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</si>
  <si>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</si>
  <si>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</si>
  <si>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</si>
  <si>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</si>
  <si>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</si>
  <si>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</si>
  <si>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</si>
  <si>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</si>
  <si>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</si>
  <si>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13, 2023</t>
  </si>
  <si>
    <t>Apr 12, 2023</t>
  </si>
  <si>
    <t>Apr 11, 2023</t>
  </si>
  <si>
    <t>Apr 10, 2023</t>
  </si>
  <si>
    <t>Apr 6, 2023</t>
  </si>
  <si>
    <t>Apr 5, 2023</t>
  </si>
  <si>
    <t>Apr 3, 2023</t>
  </si>
  <si>
    <t>Mar 31,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</si>
  <si>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</si>
  <si>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</si>
  <si>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</si>
  <si>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</si>
  <si>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</si>
  <si>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</si>
  <si>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</si>
  <si>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</si>
  <si>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</si>
  <si>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</si>
  <si>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</si>
  <si>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</si>
  <si>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</si>
  <si>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</si>
  <si>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</si>
  <si>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</si>
  <si>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</si>
  <si>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</si>
  <si>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</si>
  <si>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</si>
  <si>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</si>
  <si>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</si>
  <si>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</si>
  <si>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</si>
  <si>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</si>
  <si>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</si>
  <si>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20,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</si>
  <si>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</si>
  <si>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</si>
  <si>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</si>
  <si>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</si>
  <si>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</si>
  <si>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</si>
  <si>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</si>
  <si>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</si>
  <si>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</si>
  <si>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</si>
  <si>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</si>
  <si>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</si>
  <si>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</si>
  <si>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</si>
  <si>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</si>
  <si>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</si>
  <si>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</si>
  <si>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</si>
  <si>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</si>
  <si>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</si>
  <si>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</si>
  <si>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</si>
  <si>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</si>
  <si>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16,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</si>
  <si>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</si>
  <si>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</si>
  <si>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</si>
  <si>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</si>
  <si>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</si>
  <si>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</si>
  <si>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</si>
  <si>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</si>
  <si>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</si>
  <si>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Jan 2, 2023</t>
  </si>
  <si>
    <t>Dec 30, 2022</t>
  </si>
  <si>
    <t>Dec 29, 2022</t>
  </si>
  <si>
    <t>Dec 28, 2022</t>
  </si>
  <si>
    <t>Dec 27, 2022</t>
  </si>
  <si>
    <t>Dec 26,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</si>
  <si>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</si>
  <si>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</si>
  <si>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</si>
  <si>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</si>
  <si>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</si>
  <si>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</si>
  <si>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</si>
  <si>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</si>
  <si>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</si>
  <si>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</si>
  <si>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</si>
  <si>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</si>
  <si>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</si>
  <si>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</si>
  <si>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</si>
  <si>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</si>
  <si>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</si>
  <si>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</si>
  <si>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</si>
  <si>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</si>
  <si>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</si>
  <si>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24,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</si>
  <si>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</si>
  <si>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</si>
  <si>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</si>
  <si>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</si>
  <si>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</si>
  <si>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</si>
  <si>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</si>
  <si>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</si>
  <si>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</si>
  <si>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</si>
  <si>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</si>
  <si>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</si>
  <si>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</si>
  <si>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</si>
  <si>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</si>
  <si>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</si>
  <si>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</si>
  <si>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</si>
  <si>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</si>
  <si>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</si>
  <si>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</si>
  <si>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</si>
  <si>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</si>
  <si>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</si>
  <si>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</si>
  <si>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</si>
  <si>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</si>
  <si>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</si>
  <si>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</si>
  <si>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</si>
  <si>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</si>
  <si>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</si>
  <si>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</si>
  <si>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</si>
  <si>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</si>
  <si>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</si>
  <si>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</si>
  <si>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</si>
  <si>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</si>
  <si>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</si>
  <si>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</si>
  <si>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</si>
  <si>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</si>
  <si>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</si>
  <si>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</si>
  <si>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</si>
  <si>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</si>
  <si>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</si>
  <si>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</si>
  <si>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</si>
  <si>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</si>
  <si>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</si>
  <si>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</si>
  <si>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</si>
  <si>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5, 2022</t>
  </si>
  <si>
    <t>Sep 2, 2022</t>
  </si>
  <si>
    <t>Sep 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</si>
  <si>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</si>
  <si>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</si>
  <si>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</si>
  <si>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</si>
  <si>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</si>
  <si>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</si>
  <si>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</si>
  <si>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</si>
  <si>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</si>
  <si>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</si>
  <si>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</si>
  <si>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12, 2022</t>
  </si>
  <si>
    <t>Aug 11, 2022</t>
  </si>
  <si>
    <t>Aug 10,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</si>
  <si>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</si>
  <si>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</si>
  <si>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</si>
  <si>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</si>
  <si>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</si>
  <si>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</si>
  <si>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</si>
  <si>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</si>
  <si>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</si>
  <si>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</si>
  <si>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</si>
  <si>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</si>
  <si>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</si>
  <si>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</si>
  <si>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</si>
  <si>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</si>
  <si>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</si>
  <si>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</si>
  <si>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</si>
  <si>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</si>
  <si>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</si>
  <si>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</si>
  <si>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</si>
  <si>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</si>
  <si>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</si>
  <si>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4,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</si>
  <si>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</si>
  <si>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</si>
  <si>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</si>
  <si>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</si>
  <si>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</si>
  <si>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</si>
  <si>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</si>
  <si>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</si>
  <si>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</si>
  <si>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20,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</si>
  <si>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</si>
  <si>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</si>
  <si>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</si>
  <si>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</si>
  <si>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</si>
  <si>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</si>
  <si>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</si>
  <si>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</si>
  <si>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</si>
  <si>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</si>
  <si>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</si>
  <si>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</si>
  <si>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</si>
  <si>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</si>
  <si>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30,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</si>
  <si>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</si>
  <si>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</si>
  <si>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</si>
  <si>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</si>
  <si>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</si>
  <si>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</si>
  <si>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</si>
  <si>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</si>
  <si>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</si>
  <si>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</si>
  <si>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</si>
  <si>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</si>
  <si>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</si>
  <si>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</si>
  <si>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</si>
  <si>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</si>
  <si>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</si>
  <si>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</si>
  <si>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</si>
  <si>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</si>
  <si>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</si>
  <si>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</si>
  <si>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</si>
  <si>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</si>
  <si>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</si>
  <si>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</si>
  <si>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</si>
  <si>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</si>
  <si>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</si>
  <si>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</si>
  <si>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</si>
  <si>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</si>
  <si>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</si>
  <si>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</si>
  <si>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</si>
  <si>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</si>
  <si>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</si>
  <si>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</si>
  <si>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</si>
  <si>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</si>
  <si>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</si>
  <si>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</si>
  <si>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</si>
  <si>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</si>
  <si>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</si>
  <si>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</si>
  <si>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</si>
  <si>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</si>
  <si>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</si>
  <si>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</si>
  <si>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</si>
  <si>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</si>
  <si>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</si>
  <si>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</si>
  <si>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</si>
  <si>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</si>
  <si>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</si>
  <si>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</si>
  <si>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</si>
  <si>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Feb 28, 2022</t>
  </si>
  <si>
    <t>Feb 25, 2022</t>
  </si>
  <si>
    <t>Feb 24, 2022</t>
  </si>
  <si>
    <t>Feb 23, 2022</t>
  </si>
  <si>
    <t>Feb 22, 2022</t>
  </si>
  <si>
    <t>Feb 21,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</si>
  <si>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</si>
  <si>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</si>
  <si>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</si>
  <si>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</si>
  <si>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</si>
  <si>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</si>
  <si>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</si>
  <si>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</si>
  <si>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</si>
  <si>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</si>
  <si>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</si>
  <si>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</si>
  <si>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</si>
  <si>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</si>
  <si>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</si>
  <si>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</si>
  <si>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</si>
  <si>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25, 2022</t>
  </si>
  <si>
    <t>Jan 24, 2022</t>
  </si>
  <si>
    <t>Jan 21, 2022</t>
  </si>
  <si>
    <t>Jan 20, 2022</t>
  </si>
  <si>
    <t>Jan 19, 2022</t>
  </si>
  <si>
    <t>Jan 18, 2022</t>
  </si>
  <si>
    <t>Jan 17,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</si>
  <si>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</si>
  <si>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</si>
  <si>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</si>
  <si>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</si>
  <si>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</si>
  <si>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</si>
  <si>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</si>
  <si>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</si>
  <si>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</si>
  <si>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</si>
  <si>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</si>
  <si>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</si>
  <si>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</si>
  <si>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</si>
  <si>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</si>
  <si>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24,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</si>
  <si>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</si>
  <si>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</si>
  <si>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</si>
  <si>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</si>
  <si>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</si>
  <si>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</si>
  <si>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</si>
  <si>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</si>
  <si>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</si>
  <si>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</si>
  <si>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</si>
  <si>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</si>
  <si>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</si>
  <si>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</si>
  <si>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</si>
  <si>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</si>
  <si>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</si>
  <si>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</si>
  <si>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</si>
  <si>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</si>
  <si>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25, 2021</t>
  </si>
  <si>
    <t>Nov 24, 2021</t>
  </si>
  <si>
    <t>Nov 23, 2021</t>
  </si>
  <si>
    <t>Nov 22,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</si>
  <si>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</si>
  <si>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</si>
  <si>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</si>
  <si>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</si>
  <si>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</si>
  <si>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</si>
  <si>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</si>
  <si>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</si>
  <si>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</si>
  <si>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</si>
  <si>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</si>
  <si>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</si>
  <si>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</si>
  <si>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</si>
  <si>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</si>
  <si>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</si>
  <si>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</si>
  <si>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</si>
  <si>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</si>
  <si>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</si>
  <si>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</si>
  <si>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</si>
  <si>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</si>
  <si>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</si>
  <si>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</si>
  <si>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</si>
  <si>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</si>
  <si>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</si>
  <si>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</si>
  <si>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</si>
  <si>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</si>
  <si>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</si>
  <si>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</si>
  <si>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</si>
  <si>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</si>
  <si>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</si>
  <si>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</si>
  <si>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</si>
  <si>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</si>
  <si>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</si>
  <si>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</si>
  <si>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</si>
  <si>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</si>
  <si>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</si>
  <si>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</si>
  <si>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</si>
  <si>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</si>
  <si>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9, 2021</t>
  </si>
  <si>
    <t>Sep 8, 2021</t>
  </si>
  <si>
    <t>Sep 7, 2021</t>
  </si>
  <si>
    <t>Sep 6,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</si>
  <si>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</si>
  <si>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</si>
  <si>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</si>
  <si>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</si>
  <si>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</si>
  <si>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</si>
  <si>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</si>
  <si>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</si>
  <si>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</si>
  <si>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</si>
  <si>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</si>
  <si>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</si>
  <si>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</si>
  <si>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</si>
  <si>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</si>
  <si>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</si>
  <si>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</si>
  <si>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</si>
  <si>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</si>
  <si>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</si>
  <si>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</si>
  <si>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</si>
  <si>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</si>
  <si>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</si>
  <si>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</si>
  <si>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</si>
  <si>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</si>
  <si>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</si>
  <si>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</si>
  <si>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</si>
  <si>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</si>
  <si>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</si>
  <si>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</si>
  <si>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</si>
  <si>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</si>
  <si>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</si>
  <si>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</si>
  <si>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</si>
  <si>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</si>
  <si>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</si>
  <si>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</si>
  <si>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</si>
  <si>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5,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</si>
  <si>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</si>
  <si>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</si>
  <si>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</si>
  <si>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</si>
  <si>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</si>
  <si>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</si>
  <si>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</si>
  <si>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</si>
  <si>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</si>
  <si>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</si>
  <si>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</si>
  <si>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</si>
  <si>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</si>
  <si>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</si>
  <si>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</si>
  <si>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</si>
  <si>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</si>
  <si>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</si>
  <si>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</si>
  <si>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</si>
  <si>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</si>
  <si>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</si>
  <si>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</si>
  <si>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</si>
  <si>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31,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</si>
  <si>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</si>
  <si>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</si>
  <si>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</si>
  <si>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</si>
  <si>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</si>
  <si>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</si>
  <si>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</si>
  <si>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</si>
  <si>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</si>
  <si>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</si>
  <si>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</si>
  <si>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</si>
  <si>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</si>
  <si>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</si>
  <si>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</si>
  <si>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</si>
  <si>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</si>
  <si>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</si>
  <si>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</si>
  <si>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</si>
  <si>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</si>
  <si>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</si>
  <si>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</si>
  <si>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</si>
  <si>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</si>
  <si>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</si>
  <si>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20, 2021</t>
  </si>
  <si>
    <t>Apr 19, 2021</t>
  </si>
  <si>
    <t>Apr 16, 2021</t>
  </si>
  <si>
    <t>Apr 15,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</si>
  <si>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</si>
  <si>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</si>
  <si>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</si>
  <si>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</si>
  <si>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</si>
  <si>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</si>
  <si>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</si>
  <si>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</si>
  <si>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</si>
  <si>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</si>
  <si>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</si>
  <si>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</si>
  <si>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</si>
  <si>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</si>
  <si>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</si>
  <si>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</si>
  <si>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</si>
  <si>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</si>
  <si>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</si>
  <si>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</si>
  <si>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</si>
  <si>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</si>
  <si>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</si>
  <si>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</si>
  <si>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</si>
  <si>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</si>
  <si>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</si>
  <si>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</si>
  <si>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</si>
  <si>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</si>
  <si>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</si>
  <si>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</si>
  <si>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</si>
  <si>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</si>
  <si>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</si>
  <si>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</si>
  <si>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</si>
  <si>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</si>
  <si>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15,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</si>
  <si>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</si>
  <si>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</si>
  <si>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</si>
  <si>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</si>
  <si>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</si>
  <si>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</si>
  <si>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</si>
  <si>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</si>
  <si>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</si>
  <si>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</si>
  <si>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</si>
  <si>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</si>
  <si>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</si>
  <si>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25, 2021</t>
  </si>
  <si>
    <t>Jan 22, 2021</t>
  </si>
  <si>
    <t>Jan 21, 2021</t>
  </si>
  <si>
    <t>Jan 20, 2021</t>
  </si>
  <si>
    <t>Jan 19, 2021</t>
  </si>
  <si>
    <t>Jan 18,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</si>
  <si>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</si>
  <si>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</si>
  <si>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</si>
  <si>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</si>
  <si>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</si>
  <si>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</si>
  <si>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</si>
  <si>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</si>
  <si>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</si>
  <si>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</si>
  <si>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Jan 1,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</si>
  <si>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</si>
  <si>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</si>
  <si>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</si>
  <si>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</si>
  <si>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</si>
  <si>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</si>
  <si>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</si>
  <si>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</si>
  <si>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</si>
  <si>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</si>
  <si>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</si>
  <si>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</si>
  <si>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</si>
  <si>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</si>
  <si>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</si>
  <si>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</si>
  <si>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</si>
  <si>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</si>
  <si>
    <t>Dec 4, 2020</t>
  </si>
  <si>
    <t>Dec 3, 2020</t>
  </si>
  <si>
    <t>Dec 2, 2020</t>
  </si>
  <si>
    <t>Dec 1, 2020</t>
  </si>
  <si>
    <t>Nov 27, 2020</t>
  </si>
  <si>
    <t>Nov 26,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</si>
  <si>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</si>
  <si>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</si>
  <si>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</si>
  <si>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</si>
  <si>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</si>
  <si>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</si>
  <si>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</si>
  <si>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14, 2020</t>
  </si>
  <si>
    <t>Nov 13, 2020</t>
  </si>
  <si>
    <t>Nov 12, 2020</t>
  </si>
  <si>
    <t>Nov 11, 2020</t>
  </si>
  <si>
    <t>Nov 10, 2020</t>
  </si>
  <si>
    <t>Nov 9, 2020</t>
  </si>
  <si>
    <t>Nov 6, 2020</t>
  </si>
  <si>
    <t>Nov 5, 2020</t>
  </si>
  <si>
    <t>Nov 4, 2020</t>
  </si>
  <si>
    <t>Nov 3, 2020</t>
  </si>
  <si>
    <t>Nov 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</si>
  <si>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</si>
  <si>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</si>
  <si>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</si>
  <si>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</si>
  <si>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</si>
  <si>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</si>
  <si>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</si>
  <si>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</si>
  <si>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</si>
  <si>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</si>
  <si>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</si>
  <si>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</si>
  <si>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</si>
  <si>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</si>
  <si>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</si>
  <si>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9, 2020</t>
  </si>
  <si>
    <t>Oct 8, 2020</t>
  </si>
  <si>
    <t>Oct 7, 2020</t>
  </si>
  <si>
    <t>Oct 6, 2020</t>
  </si>
  <si>
    <t>Oct 5, 2020</t>
  </si>
  <si>
    <t>Oct 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</si>
  <si>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</si>
  <si>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</si>
  <si>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</si>
  <si>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</si>
  <si>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</si>
  <si>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</si>
  <si>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</si>
  <si>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</si>
  <si>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</si>
  <si>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</si>
  <si>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</si>
  <si>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</si>
  <si>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</si>
  <si>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</si>
  <si>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</si>
  <si>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9, 2020</t>
  </si>
  <si>
    <t>Sep 8, 2020</t>
  </si>
  <si>
    <t>Sep 7, 2020</t>
  </si>
  <si>
    <t>Sep 4, 2020</t>
  </si>
  <si>
    <t>Sep 3, 2020</t>
  </si>
  <si>
    <t>Sep 2, 2020</t>
  </si>
  <si>
    <t>Sep 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</si>
  <si>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</si>
  <si>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</si>
  <si>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</si>
  <si>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</si>
  <si>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</si>
  <si>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</si>
  <si>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</si>
  <si>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</si>
  <si>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</si>
  <si>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</si>
  <si>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</si>
  <si>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</si>
  <si>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</si>
  <si>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</si>
  <si>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</si>
  <si>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</si>
  <si>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7, 2020</t>
  </si>
  <si>
    <t>Aug 6, 2020</t>
  </si>
  <si>
    <t>Aug 5, 2020</t>
  </si>
  <si>
    <t>Aug 4, 2020</t>
  </si>
  <si>
    <t>Aug 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</si>
  <si>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</si>
  <si>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</si>
  <si>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</si>
  <si>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</si>
  <si>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</si>
  <si>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</si>
  <si>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</si>
  <si>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</si>
  <si>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</si>
  <si>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</si>
  <si>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</si>
  <si>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</si>
  <si>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</si>
  <si>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</si>
  <si>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</si>
  <si>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</si>
  <si>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9, 2020</t>
  </si>
  <si>
    <t>Jul 8, 2020</t>
  </si>
  <si>
    <t>Jul 7, 2020</t>
  </si>
  <si>
    <t>Jul 6, 2020</t>
  </si>
  <si>
    <t>Jul 3, 2020</t>
  </si>
  <si>
    <t>Jul 2, 2020</t>
  </si>
  <si>
    <t>Jul 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</si>
  <si>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</si>
  <si>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</si>
  <si>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</si>
  <si>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</si>
  <si>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</si>
  <si>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</si>
  <si>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</si>
  <si>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</si>
  <si>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</si>
  <si>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</si>
  <si>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</si>
  <si>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</si>
  <si>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</si>
  <si>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</si>
  <si>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</si>
  <si>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9, 2020</t>
  </si>
  <si>
    <t>Jun 8, 2020</t>
  </si>
  <si>
    <t>Jun 5, 2020</t>
  </si>
  <si>
    <t>Jun 4, 2020</t>
  </si>
  <si>
    <t>Jun 3, 2020</t>
  </si>
  <si>
    <t>Jun 2, 2020</t>
  </si>
  <si>
    <t>Jun 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</si>
  <si>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</si>
  <si>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</si>
  <si>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</si>
  <si>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</si>
  <si>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</si>
  <si>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</si>
  <si>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</si>
  <si>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</si>
  <si>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</si>
  <si>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</si>
  <si>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</si>
  <si>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</si>
  <si>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</si>
  <si>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</si>
  <si>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8, 2020</t>
  </si>
  <si>
    <t>May 7, 2020</t>
  </si>
  <si>
    <t>May 6, 2020</t>
  </si>
  <si>
    <t>May 5, 2020</t>
  </si>
  <si>
    <t>May 4,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</si>
  <si>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</si>
  <si>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</si>
  <si>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</si>
  <si>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</si>
  <si>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</si>
  <si>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</si>
  <si>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</si>
  <si>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</si>
  <si>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</si>
  <si>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</si>
  <si>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</si>
  <si>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</si>
  <si>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13, 2020</t>
  </si>
  <si>
    <t>Marginal Remuration</t>
  </si>
  <si>
    <t>Screener</t>
  </si>
  <si>
    <t>Share Price</t>
  </si>
  <si>
    <t>volume</t>
  </si>
  <si>
    <t>Apr 11,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</si>
  <si>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</si>
  <si>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</si>
  <si>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</si>
  <si>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</si>
  <si>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</si>
  <si>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</si>
  <si>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</si>
  <si>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18, 2025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</si>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</sst>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\);\-"/>
    <numFmt numFmtId="167" formatCode="#,##0.0"/>
    <numFmt numFmtId="168" formatCode="0.00&quot;x&quot;"/>
    <numFmt numFmtId="169" formatCode="0.0&quot;M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2"/>
      <color theme="1"/>
      <name val="Arial"/>
      <family val="2"/>
    </font>
    <font>
      <vertAlign val="superscript"/>
      <sz val="10"/>
      <color rgb="FF202122"/>
      <name val="Arial"/>
      <family val="2"/>
    </font>
    <font>
      <i/>
      <sz val="11"/>
      <color theme="1"/>
      <name val="Calibri"/>
      <family val="2"/>
      <scheme val="minor"/>
    </font>
    <font>
      <sz val="9"/>
      <color rgb="FF26262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medium">
        <color rgb="FFEFEFEF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95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2" fillId="6" borderId="0" xfId="0" applyFont="1" applyFill="1"/>
    <xf numFmtId="0" fontId="10" fillId="7" borderId="0" xfId="0" applyFont="1" applyFill="1" applyAlignment="1">
      <alignment vertical="top" wrapText="1"/>
    </xf>
    <xf numFmtId="0" fontId="0" fillId="7" borderId="0" xfId="0" applyFill="1"/>
    <xf numFmtId="0" fontId="0" fillId="0" borderId="0" xfId="0" applyAlignment="1">
      <alignment vertical="top"/>
    </xf>
    <xf numFmtId="0" fontId="0" fillId="0" borderId="1" xfId="0" applyBorder="1"/>
    <xf numFmtId="17" fontId="2" fillId="6" borderId="0" xfId="0" applyNumberFormat="1" applyFont="1" applyFill="1"/>
    <xf numFmtId="0" fontId="14" fillId="0" borderId="0" xfId="0" applyFont="1"/>
    <xf numFmtId="10" fontId="0" fillId="0" borderId="0" xfId="6" applyNumberFormat="1" applyFont="1" applyBorder="1"/>
    <xf numFmtId="43" fontId="0" fillId="0" borderId="0" xfId="0" applyNumberFormat="1"/>
    <xf numFmtId="17" fontId="0" fillId="0" borderId="0" xfId="0" applyNumberFormat="1" applyAlignment="1">
      <alignment horizontal="left"/>
    </xf>
    <xf numFmtId="0" fontId="2" fillId="6" borderId="0" xfId="0" applyFont="1" applyFill="1" applyAlignment="1">
      <alignment horizontal="center"/>
    </xf>
    <xf numFmtId="0" fontId="0" fillId="8" borderId="0" xfId="0" applyFill="1"/>
    <xf numFmtId="167" fontId="0" fillId="0" borderId="0" xfId="0" applyNumberFormat="1"/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left"/>
    </xf>
    <xf numFmtId="0" fontId="0" fillId="9" borderId="0" xfId="0" applyFill="1" applyAlignment="1">
      <alignment vertical="center"/>
    </xf>
    <xf numFmtId="0" fontId="15" fillId="9" borderId="2" xfId="0" applyFont="1" applyFill="1" applyBorder="1" applyAlignment="1">
      <alignment vertical="center"/>
    </xf>
    <xf numFmtId="3" fontId="15" fillId="9" borderId="2" xfId="0" applyNumberFormat="1" applyFont="1" applyFill="1" applyBorder="1" applyAlignment="1">
      <alignment horizontal="right" vertical="center" wrapText="1"/>
    </xf>
    <xf numFmtId="10" fontId="15" fillId="9" borderId="2" xfId="0" applyNumberFormat="1" applyFont="1" applyFill="1" applyBorder="1" applyAlignment="1">
      <alignment horizontal="right" vertical="center" wrapText="1"/>
    </xf>
    <xf numFmtId="0" fontId="15" fillId="9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10" fontId="0" fillId="0" borderId="0" xfId="6" applyNumberFormat="1" applyFont="1"/>
    <xf numFmtId="0" fontId="0" fillId="0" borderId="0" xfId="0" applyAlignment="1">
      <alignment wrapText="1"/>
    </xf>
    <xf numFmtId="0" fontId="0" fillId="0" borderId="3" xfId="0" applyBorder="1"/>
    <xf numFmtId="166" fontId="0" fillId="0" borderId="3" xfId="0" applyNumberFormat="1" applyBorder="1"/>
    <xf numFmtId="0" fontId="14" fillId="0" borderId="3" xfId="0" applyFont="1" applyBorder="1"/>
    <xf numFmtId="10" fontId="14" fillId="0" borderId="3" xfId="0" applyNumberFormat="1" applyFont="1" applyBorder="1"/>
    <xf numFmtId="10" fontId="0" fillId="0" borderId="3" xfId="0" applyNumberFormat="1" applyBorder="1"/>
    <xf numFmtId="43" fontId="0" fillId="0" borderId="3" xfId="0" applyNumberFormat="1" applyBorder="1"/>
    <xf numFmtId="168" fontId="0" fillId="0" borderId="3" xfId="0" applyNumberFormat="1" applyBorder="1"/>
    <xf numFmtId="10" fontId="0" fillId="0" borderId="3" xfId="6" applyNumberFormat="1" applyFont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 indent="1"/>
    </xf>
    <xf numFmtId="0" fontId="0" fillId="0" borderId="5" xfId="0" applyBorder="1"/>
    <xf numFmtId="43" fontId="0" fillId="0" borderId="5" xfId="0" applyNumberFormat="1" applyBorder="1"/>
    <xf numFmtId="0" fontId="0" fillId="0" borderId="1" xfId="0" applyBorder="1" applyAlignment="1">
      <alignment horizontal="left" indent="1"/>
    </xf>
    <xf numFmtId="166" fontId="0" fillId="0" borderId="1" xfId="0" applyNumberFormat="1" applyBorder="1"/>
    <xf numFmtId="0" fontId="1" fillId="0" borderId="4" xfId="0" applyFont="1" applyBorder="1"/>
    <xf numFmtId="43" fontId="1" fillId="0" borderId="4" xfId="0" applyNumberFormat="1" applyFont="1" applyBorder="1"/>
    <xf numFmtId="0" fontId="0" fillId="0" borderId="5" xfId="0" applyBorder="1" applyAlignment="1">
      <alignment horizontal="left" indent="1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0" xfId="0" applyAlignment="1">
      <alignment horizontal="center" wrapText="1"/>
    </xf>
    <xf numFmtId="0" fontId="1" fillId="0" borderId="0" xfId="0" applyFont="1" applyAlignment="1">
      <alignment vertical="top"/>
    </xf>
    <xf numFmtId="0" fontId="0" fillId="6" borderId="0" xfId="0" applyFill="1"/>
    <xf numFmtId="0" fontId="0" fillId="8" borderId="0" xfId="0" applyFill="1" applyAlignment="1">
      <alignment horizontal="center"/>
    </xf>
    <xf numFmtId="15" fontId="0" fillId="0" borderId="0" xfId="0" applyNumberFormat="1"/>
    <xf numFmtId="169" fontId="0" fillId="0" borderId="0" xfId="0" applyNumberForma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167" fontId="0" fillId="0" borderId="3" xfId="0" applyNumberFormat="1" applyBorder="1"/>
    <xf numFmtId="0" fontId="0" fillId="0" borderId="3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46" fontId="0" fillId="0" borderId="3" xfId="0" quotePrefix="1" applyNumberFormat="1" applyBorder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3" fontId="15" fillId="9" borderId="0" xfId="0" applyNumberFormat="1" applyFont="1" applyFill="1" applyAlignment="1">
      <alignment horizontal="right" vertical="center" wrapText="1"/>
    </xf>
    <xf numFmtId="3" fontId="15" fillId="9" borderId="2" xfId="0" applyNumberFormat="1" applyFont="1" applyFill="1" applyBorder="1" applyAlignment="1">
      <alignment horizontal="right" vertical="center" wrapText="1"/>
    </xf>
    <xf numFmtId="10" fontId="15" fillId="9" borderId="0" xfId="0" applyNumberFormat="1" applyFont="1" applyFill="1" applyAlignment="1">
      <alignment horizontal="right" vertical="center" wrapText="1"/>
    </xf>
    <xf numFmtId="10" fontId="15" fillId="9" borderId="2" xfId="0" applyNumberFormat="1" applyFont="1" applyFill="1" applyBorder="1" applyAlignment="1">
      <alignment horizontal="right" vertical="center" wrapText="1"/>
    </xf>
    <xf numFmtId="0" fontId="15" fillId="9" borderId="0" xfId="0" applyFont="1" applyFill="1" applyAlignment="1">
      <alignment horizontal="right" vertical="center" wrapText="1"/>
    </xf>
    <xf numFmtId="0" fontId="15" fillId="9" borderId="2" xfId="0" applyFont="1" applyFill="1" applyBorder="1" applyAlignment="1">
      <alignment horizontal="right" vertical="center" wrapText="1"/>
    </xf>
    <xf numFmtId="3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D92-443C-B168-BEE4EE79EB2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D92-443C-B168-BEE4EE79EB20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5-4D92-443C-B168-BEE4EE79EB20}"/>
              </c:ext>
            </c:extLst>
          </c:dPt>
          <c:dLbls>
            <c:dLbl>
              <c:idx val="0"/>
              <c:layout>
                <c:manualLayout>
                  <c:x val="-0.32222222222222224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92-443C-B168-BEE4EE79EB20}"/>
                </c:ext>
              </c:extLst>
            </c:dLbl>
            <c:dLbl>
              <c:idx val="1"/>
              <c:layout>
                <c:manualLayout>
                  <c:x val="-0.36388888888888887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92-443C-B168-BEE4EE79EB20}"/>
                </c:ext>
              </c:extLst>
            </c:dLbl>
            <c:dLbl>
              <c:idx val="2"/>
              <c:layout>
                <c:manualLayout>
                  <c:x val="-0.1638888888888888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92-443C-B168-BEE4EE79EB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'Share Price'!$R$21:$R$23</c:f>
              <c:strCache>
                <c:ptCount val="3"/>
                <c:pt idx="0">
                  <c:v>DIIs</c:v>
                </c:pt>
                <c:pt idx="1">
                  <c:v>FIIs</c:v>
                </c:pt>
                <c:pt idx="2">
                  <c:v>Public &amp; Government</c:v>
                </c:pt>
              </c:strCache>
            </c:strRef>
          </c:cat>
          <c:val>
            <c:numRef>
              <c:f>'Share Price'!$S$21:$S$23</c:f>
              <c:numCache>
                <c:formatCode>0.00%</c:formatCode>
                <c:ptCount val="3"/>
                <c:pt idx="0">
                  <c:v>0.44909999999999994</c:v>
                </c:pt>
                <c:pt idx="1">
                  <c:v>0.4017</c:v>
                </c:pt>
                <c:pt idx="2">
                  <c:v>0.14920000000000003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92-443C-B168-BEE4EE79EB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9330176"/>
        <c:axId val="149423232"/>
      </c:barChart>
      <c:catAx>
        <c:axId val="14933017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49423232"/>
        <c:crosses val="autoZero"/>
        <c:auto val="1"/>
        <c:lblAlgn val="ctr"/>
        <c:lblOffset val="100"/>
        <c:noMultiLvlLbl val="0"/>
      </c:catAx>
      <c:valAx>
        <c:axId val="149423232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4933017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1011697479578"/>
          <c:y val="3.8850703133397904E-2"/>
          <c:w val="0.8316118398323431"/>
          <c:h val="0.48386627850309361"/>
        </c:manualLayout>
      </c:layout>
      <c:lineChart>
        <c:grouping val="standard"/>
        <c:varyColors val="0"/>
        <c:ser>
          <c:idx val="0"/>
          <c:order val="0"/>
          <c:tx>
            <c:strRef>
              <c:f>'[1]yahoo-2025-04-12'!$B$1</c:f>
              <c:strCache>
                <c:ptCount val="1"/>
                <c:pt idx="0">
                  <c:v>Share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'[1]yahoo-2025-04-12'!$A$2:$A$1241</c:f>
              <c:strCache>
                <c:ptCount val="1240"/>
                <c:pt idx="0">
                  <c:v>Apr 11, 2025</c:v>
                </c:pt>
                <c:pt idx="1">
                  <c:v>Apr 9, 2025</c:v>
                </c:pt>
                <c:pt idx="2">
                  <c:v>Apr 8, 2025</c:v>
                </c:pt>
                <c:pt idx="3">
                  <c:v>Apr 7, 2025</c:v>
                </c:pt>
                <c:pt idx="4">
                  <c:v>Apr 4, 2025</c:v>
                </c:pt>
                <c:pt idx="5">
                  <c:v>Apr 3, 2025</c:v>
                </c:pt>
                <c:pt idx="6">
                  <c:v>Apr 2, 2025</c:v>
                </c:pt>
                <c:pt idx="7">
                  <c:v>Apr 1, 2025</c:v>
                </c:pt>
                <c:pt idx="8">
                  <c:v>Mar 28, 2025</c:v>
                </c:pt>
                <c:pt idx="9">
                  <c:v>Mar 27, 2025</c:v>
                </c:pt>
                <c:pt idx="10">
                  <c:v>Mar 26, 2025</c:v>
                </c:pt>
                <c:pt idx="11">
                  <c:v>Mar 25, 2025</c:v>
                </c:pt>
                <c:pt idx="12">
                  <c:v>Mar 24, 2025</c:v>
                </c:pt>
                <c:pt idx="13">
                  <c:v>Mar 21, 2025</c:v>
                </c:pt>
                <c:pt idx="14">
                  <c:v>Mar 20, 2025</c:v>
                </c:pt>
                <c:pt idx="15">
                  <c:v>Mar 19, 2025</c:v>
                </c:pt>
                <c:pt idx="16">
                  <c:v>Mar 18, 2025</c:v>
                </c:pt>
                <c:pt idx="17">
                  <c:v>Mar 17, 2025</c:v>
                </c:pt>
                <c:pt idx="18">
                  <c:v>Mar 13, 2025</c:v>
                </c:pt>
                <c:pt idx="19">
                  <c:v>Mar 12, 2025</c:v>
                </c:pt>
                <c:pt idx="20">
                  <c:v>Mar 11, 2025</c:v>
                </c:pt>
                <c:pt idx="21">
                  <c:v>Mar 10, 2025</c:v>
                </c:pt>
                <c:pt idx="22">
                  <c:v>Mar 7, 2025</c:v>
                </c:pt>
                <c:pt idx="23">
                  <c:v>Mar 6, 2025</c:v>
                </c:pt>
                <c:pt idx="24">
                  <c:v>Mar 5, 2025</c:v>
                </c:pt>
                <c:pt idx="25">
                  <c:v>Mar 4, 2025</c:v>
                </c:pt>
                <c:pt idx="26">
                  <c:v>Mar 3, 2025</c:v>
                </c:pt>
                <c:pt idx="27">
                  <c:v>Feb 28, 2025</c:v>
                </c:pt>
                <c:pt idx="28">
                  <c:v>Feb 27, 2025</c:v>
                </c:pt>
                <c:pt idx="29">
                  <c:v>Feb 25, 2025</c:v>
                </c:pt>
                <c:pt idx="30">
                  <c:v>Feb 24, 2025</c:v>
                </c:pt>
                <c:pt idx="31">
                  <c:v>Feb 21, 2025</c:v>
                </c:pt>
                <c:pt idx="32">
                  <c:v>Feb 20, 2025</c:v>
                </c:pt>
                <c:pt idx="33">
                  <c:v>Feb 19, 2025</c:v>
                </c:pt>
                <c:pt idx="34">
                  <c:v>Feb 18, 2025</c:v>
                </c:pt>
                <c:pt idx="35">
                  <c:v>Feb 17, 2025</c:v>
                </c:pt>
                <c:pt idx="36">
                  <c:v>Feb 14, 2025</c:v>
                </c:pt>
                <c:pt idx="37">
                  <c:v>Feb 13, 2025</c:v>
                </c:pt>
                <c:pt idx="38">
                  <c:v>Feb 12, 2025</c:v>
                </c:pt>
                <c:pt idx="39">
                  <c:v>Feb 11, 2025</c:v>
                </c:pt>
                <c:pt idx="40">
                  <c:v>Feb 10, 2025</c:v>
                </c:pt>
                <c:pt idx="41">
                  <c:v>Feb 7, 2025</c:v>
                </c:pt>
                <c:pt idx="42">
                  <c:v>Feb 6, 2025</c:v>
                </c:pt>
                <c:pt idx="43">
                  <c:v>Feb 5, 2025</c:v>
                </c:pt>
                <c:pt idx="44">
                  <c:v>Feb 4, 2025</c:v>
                </c:pt>
                <c:pt idx="45">
                  <c:v>Feb 3, 2025</c:v>
                </c:pt>
                <c:pt idx="46">
                  <c:v>Feb 1, 2025</c:v>
                </c:pt>
                <c:pt idx="47">
                  <c:v>Jan 31, 2025</c:v>
                </c:pt>
                <c:pt idx="48">
                  <c:v>Jan 30, 2025</c:v>
                </c:pt>
                <c:pt idx="49">
                  <c:v>Jan 29, 2025</c:v>
                </c:pt>
                <c:pt idx="50">
                  <c:v>Jan 28, 2025</c:v>
                </c:pt>
                <c:pt idx="51">
                  <c:v>Jan 27, 2025</c:v>
                </c:pt>
                <c:pt idx="52">
                  <c:v>Jan 24, 2025</c:v>
                </c:pt>
                <c:pt idx="53">
                  <c:v>Jan 23, 2025</c:v>
                </c:pt>
                <c:pt idx="54">
                  <c:v>Jan 22, 2025</c:v>
                </c:pt>
                <c:pt idx="55">
                  <c:v>Jan 21, 2025</c:v>
                </c:pt>
                <c:pt idx="56">
                  <c:v>Jan 20, 2025</c:v>
                </c:pt>
                <c:pt idx="57">
                  <c:v>Jan 17, 2025</c:v>
                </c:pt>
                <c:pt idx="58">
                  <c:v>Jan 16, 2025</c:v>
                </c:pt>
                <c:pt idx="59">
                  <c:v>Jan 15, 2025</c:v>
                </c:pt>
                <c:pt idx="60">
                  <c:v>Jan 14, 2025</c:v>
                </c:pt>
                <c:pt idx="61">
                  <c:v>Jan 13, 2025</c:v>
                </c:pt>
                <c:pt idx="62">
                  <c:v>Jan 10, 2025</c:v>
                </c:pt>
                <c:pt idx="63">
                  <c:v>Jan 9, 2025</c:v>
                </c:pt>
                <c:pt idx="64">
                  <c:v>Jan 8, 2025</c:v>
                </c:pt>
                <c:pt idx="65">
                  <c:v>Jan 7, 2025</c:v>
                </c:pt>
                <c:pt idx="66">
                  <c:v>Jan 6, 2025</c:v>
                </c:pt>
                <c:pt idx="67">
                  <c:v>Jan 3, 2025</c:v>
                </c:pt>
                <c:pt idx="68">
                  <c:v>Jan 2, 2025</c:v>
                </c:pt>
                <c:pt idx="69">
                  <c:v>Jan 1, 2025</c:v>
                </c:pt>
                <c:pt idx="70">
                  <c:v>Dec 31, 2024</c:v>
                </c:pt>
                <c:pt idx="71">
                  <c:v>Dec 30, 2024</c:v>
                </c:pt>
                <c:pt idx="72">
                  <c:v>Dec 27, 2024</c:v>
                </c:pt>
                <c:pt idx="73">
                  <c:v>Dec 26, 2024</c:v>
                </c:pt>
                <c:pt idx="74">
                  <c:v>Dec 24, 2024</c:v>
                </c:pt>
                <c:pt idx="75">
                  <c:v>Dec 23, 2024</c:v>
                </c:pt>
                <c:pt idx="76">
                  <c:v>Dec 20, 2024</c:v>
                </c:pt>
                <c:pt idx="77">
                  <c:v>Dec 19, 2024</c:v>
                </c:pt>
                <c:pt idx="78">
                  <c:v>Dec 18, 2024</c:v>
                </c:pt>
                <c:pt idx="79">
                  <c:v>Dec 17, 2024</c:v>
                </c:pt>
                <c:pt idx="80">
                  <c:v>Dec 16, 2024</c:v>
                </c:pt>
                <c:pt idx="81">
                  <c:v>Dec 13, 2024</c:v>
                </c:pt>
                <c:pt idx="82">
                  <c:v>Dec 12, 2024</c:v>
                </c:pt>
                <c:pt idx="83">
                  <c:v>Dec 11, 2024</c:v>
                </c:pt>
                <c:pt idx="84">
                  <c:v>Dec 10, 2024</c:v>
                </c:pt>
                <c:pt idx="85">
                  <c:v>Dec 9, 2024</c:v>
                </c:pt>
                <c:pt idx="86">
                  <c:v>Dec 6, 2024</c:v>
                </c:pt>
                <c:pt idx="87">
                  <c:v>Dec 5, 2024</c:v>
                </c:pt>
                <c:pt idx="88">
                  <c:v>Dec 4, 2024</c:v>
                </c:pt>
                <c:pt idx="89">
                  <c:v>Dec 3, 2024</c:v>
                </c:pt>
                <c:pt idx="90">
                  <c:v>Dec 2, 2024</c:v>
                </c:pt>
                <c:pt idx="91">
                  <c:v>Nov 29, 2024</c:v>
                </c:pt>
                <c:pt idx="92">
                  <c:v>Nov 28, 2024</c:v>
                </c:pt>
                <c:pt idx="93">
                  <c:v>Nov 27, 2024</c:v>
                </c:pt>
                <c:pt idx="94">
                  <c:v>Nov 26, 2024</c:v>
                </c:pt>
                <c:pt idx="95">
                  <c:v>Nov 25, 2024</c:v>
                </c:pt>
                <c:pt idx="96">
                  <c:v>Nov 22, 2024</c:v>
                </c:pt>
                <c:pt idx="97">
                  <c:v>Nov 21, 2024</c:v>
                </c:pt>
                <c:pt idx="98">
                  <c:v>Nov 19, 2024</c:v>
                </c:pt>
                <c:pt idx="99">
                  <c:v>Nov 18, 2024</c:v>
                </c:pt>
                <c:pt idx="100">
                  <c:v>Nov 14, 2024</c:v>
                </c:pt>
                <c:pt idx="101">
                  <c:v>Nov 13, 2024</c:v>
                </c:pt>
                <c:pt idx="102">
                  <c:v>Nov 12, 2024</c:v>
                </c:pt>
                <c:pt idx="103">
                  <c:v>Nov 11, 2024</c:v>
                </c:pt>
                <c:pt idx="104">
                  <c:v>Nov 8, 2024</c:v>
                </c:pt>
                <c:pt idx="105">
                  <c:v>Nov 7, 2024</c:v>
                </c:pt>
                <c:pt idx="106">
                  <c:v>Nov 6, 2024</c:v>
                </c:pt>
                <c:pt idx="107">
                  <c:v>Nov 5, 2024</c:v>
                </c:pt>
                <c:pt idx="108">
                  <c:v>Nov 4, 2024</c:v>
                </c:pt>
                <c:pt idx="109">
                  <c:v>Nov 1, 2024</c:v>
                </c:pt>
                <c:pt idx="110">
                  <c:v>Oct 31, 2024</c:v>
                </c:pt>
                <c:pt idx="111">
                  <c:v>Oct 30, 2024</c:v>
                </c:pt>
                <c:pt idx="112">
                  <c:v>Oct 29, 2024</c:v>
                </c:pt>
                <c:pt idx="113">
                  <c:v>Oct 28, 2024</c:v>
                </c:pt>
                <c:pt idx="114">
                  <c:v>Oct 25, 2024</c:v>
                </c:pt>
                <c:pt idx="115">
                  <c:v>Oct 24, 2024</c:v>
                </c:pt>
                <c:pt idx="116">
                  <c:v>Oct 23, 2024</c:v>
                </c:pt>
                <c:pt idx="117">
                  <c:v>Oct 22, 2024</c:v>
                </c:pt>
                <c:pt idx="118">
                  <c:v>Oct 21, 2024</c:v>
                </c:pt>
                <c:pt idx="119">
                  <c:v>Oct 18, 2024</c:v>
                </c:pt>
                <c:pt idx="120">
                  <c:v>Oct 17, 2024</c:v>
                </c:pt>
                <c:pt idx="121">
                  <c:v>Oct 16, 2024</c:v>
                </c:pt>
                <c:pt idx="122">
                  <c:v>Oct 15, 2024</c:v>
                </c:pt>
                <c:pt idx="123">
                  <c:v>Oct 14, 2024</c:v>
                </c:pt>
                <c:pt idx="124">
                  <c:v>Oct 11, 2024</c:v>
                </c:pt>
                <c:pt idx="125">
                  <c:v>Oct 10, 2024</c:v>
                </c:pt>
                <c:pt idx="126">
                  <c:v>Oct 9, 2024</c:v>
                </c:pt>
                <c:pt idx="127">
                  <c:v>Oct 8, 2024</c:v>
                </c:pt>
                <c:pt idx="128">
                  <c:v>Oct 7, 2024</c:v>
                </c:pt>
                <c:pt idx="129">
                  <c:v>Oct 4, 2024</c:v>
                </c:pt>
                <c:pt idx="130">
                  <c:v>Oct 3, 2024</c:v>
                </c:pt>
                <c:pt idx="131">
                  <c:v>Oct 1, 2024</c:v>
                </c:pt>
                <c:pt idx="132">
                  <c:v>Sep 30, 2024</c:v>
                </c:pt>
                <c:pt idx="133">
                  <c:v>Sep 27, 2024</c:v>
                </c:pt>
                <c:pt idx="134">
                  <c:v>Sep 26, 2024</c:v>
                </c:pt>
                <c:pt idx="135">
                  <c:v>Sep 25, 2024</c:v>
                </c:pt>
                <c:pt idx="136">
                  <c:v>Sep 24, 2024</c:v>
                </c:pt>
                <c:pt idx="137">
                  <c:v>Sep 23, 2024</c:v>
                </c:pt>
                <c:pt idx="138">
                  <c:v>Sep 20, 2024</c:v>
                </c:pt>
                <c:pt idx="139">
                  <c:v>Sep 19, 2024</c:v>
                </c:pt>
                <c:pt idx="140">
                  <c:v>Sep 18, 2024</c:v>
                </c:pt>
                <c:pt idx="141">
                  <c:v>Sep 17, 2024</c:v>
                </c:pt>
                <c:pt idx="142">
                  <c:v>Sep 16, 2024</c:v>
                </c:pt>
                <c:pt idx="143">
                  <c:v>Sep 13, 2024</c:v>
                </c:pt>
                <c:pt idx="144">
                  <c:v>Sep 12, 2024</c:v>
                </c:pt>
                <c:pt idx="145">
                  <c:v>Sep 11, 2024</c:v>
                </c:pt>
                <c:pt idx="146">
                  <c:v>Sep 10, 2024</c:v>
                </c:pt>
                <c:pt idx="147">
                  <c:v>Sep 9, 2024</c:v>
                </c:pt>
                <c:pt idx="148">
                  <c:v>Sep 6, 2024</c:v>
                </c:pt>
                <c:pt idx="149">
                  <c:v>Sep 5, 2024</c:v>
                </c:pt>
                <c:pt idx="150">
                  <c:v>Sep 4, 2024</c:v>
                </c:pt>
                <c:pt idx="151">
                  <c:v>Sep 3, 2024</c:v>
                </c:pt>
                <c:pt idx="152">
                  <c:v>Sep 2, 2024</c:v>
                </c:pt>
                <c:pt idx="153">
                  <c:v>Aug 30, 2024</c:v>
                </c:pt>
                <c:pt idx="154">
                  <c:v>Aug 29, 2024</c:v>
                </c:pt>
                <c:pt idx="155">
                  <c:v>Aug 28, 2024</c:v>
                </c:pt>
                <c:pt idx="156">
                  <c:v>Aug 27, 2024</c:v>
                </c:pt>
                <c:pt idx="157">
                  <c:v>Aug 26, 2024</c:v>
                </c:pt>
                <c:pt idx="158">
                  <c:v>Aug 23, 2024</c:v>
                </c:pt>
                <c:pt idx="159">
                  <c:v>Aug 22, 2024</c:v>
                </c:pt>
                <c:pt idx="160">
                  <c:v>Aug 21, 2024</c:v>
                </c:pt>
                <c:pt idx="161">
                  <c:v>Aug 20, 2024</c:v>
                </c:pt>
                <c:pt idx="162">
                  <c:v>Aug 19, 2024</c:v>
                </c:pt>
                <c:pt idx="163">
                  <c:v>Aug 16, 2024</c:v>
                </c:pt>
                <c:pt idx="164">
                  <c:v>Aug 14, 2024</c:v>
                </c:pt>
                <c:pt idx="165">
                  <c:v>Aug 13, 2024</c:v>
                </c:pt>
                <c:pt idx="166">
                  <c:v>Aug 12, 2024</c:v>
                </c:pt>
                <c:pt idx="167">
                  <c:v>Aug 9, 2024</c:v>
                </c:pt>
                <c:pt idx="168">
                  <c:v>Aug 8, 2024</c:v>
                </c:pt>
                <c:pt idx="169">
                  <c:v>Aug 7, 2024</c:v>
                </c:pt>
                <c:pt idx="170">
                  <c:v>Aug 6, 2024</c:v>
                </c:pt>
                <c:pt idx="171">
                  <c:v>Aug 5, 2024</c:v>
                </c:pt>
                <c:pt idx="172">
                  <c:v>Aug 2, 2024</c:v>
                </c:pt>
                <c:pt idx="173">
                  <c:v>Aug 1, 2024</c:v>
                </c:pt>
                <c:pt idx="174">
                  <c:v>Jul 31, 2024</c:v>
                </c:pt>
                <c:pt idx="175">
                  <c:v>Jul 30, 2024</c:v>
                </c:pt>
                <c:pt idx="176">
                  <c:v>Jul 29, 2024</c:v>
                </c:pt>
                <c:pt idx="177">
                  <c:v>Jul 26, 2024</c:v>
                </c:pt>
                <c:pt idx="178">
                  <c:v>Jul 25, 2024</c:v>
                </c:pt>
                <c:pt idx="179">
                  <c:v>Jul 24, 2024</c:v>
                </c:pt>
                <c:pt idx="180">
                  <c:v>Jul 23, 2024</c:v>
                </c:pt>
                <c:pt idx="181">
                  <c:v>Jul 22, 2024</c:v>
                </c:pt>
                <c:pt idx="182">
                  <c:v>Jul 19, 2024</c:v>
                </c:pt>
                <c:pt idx="183">
                  <c:v>Jul 18, 2024</c:v>
                </c:pt>
                <c:pt idx="184">
                  <c:v>Jul 16, 2024</c:v>
                </c:pt>
                <c:pt idx="185">
                  <c:v>Jul 15, 2024</c:v>
                </c:pt>
                <c:pt idx="186">
                  <c:v>Jul 12, 2024</c:v>
                </c:pt>
                <c:pt idx="187">
                  <c:v>Jul 11, 2024</c:v>
                </c:pt>
                <c:pt idx="188">
                  <c:v>Jul 10, 2024</c:v>
                </c:pt>
                <c:pt idx="189">
                  <c:v>Jul 9, 2024</c:v>
                </c:pt>
                <c:pt idx="190">
                  <c:v>Jul 8, 2024</c:v>
                </c:pt>
                <c:pt idx="191">
                  <c:v>Jul 5, 2024</c:v>
                </c:pt>
                <c:pt idx="192">
                  <c:v>Jul 4, 2024</c:v>
                </c:pt>
                <c:pt idx="193">
                  <c:v>Jul 3, 2024</c:v>
                </c:pt>
                <c:pt idx="194">
                  <c:v>Jul 2, 2024</c:v>
                </c:pt>
                <c:pt idx="195">
                  <c:v>Jul 1, 2024</c:v>
                </c:pt>
                <c:pt idx="196">
                  <c:v>Jun 28, 2024</c:v>
                </c:pt>
                <c:pt idx="197">
                  <c:v>Jun 27, 2024</c:v>
                </c:pt>
                <c:pt idx="198">
                  <c:v>Jun 26, 2024</c:v>
                </c:pt>
                <c:pt idx="199">
                  <c:v>Jun 25, 2024</c:v>
                </c:pt>
                <c:pt idx="200">
                  <c:v>Jun 24, 2024</c:v>
                </c:pt>
                <c:pt idx="201">
                  <c:v>Jun 21, 2024</c:v>
                </c:pt>
                <c:pt idx="202">
                  <c:v>Jun 20, 2024</c:v>
                </c:pt>
                <c:pt idx="203">
                  <c:v>Jun 19, 2024</c:v>
                </c:pt>
                <c:pt idx="204">
                  <c:v>Jun 18, 2024</c:v>
                </c:pt>
                <c:pt idx="205">
                  <c:v>Jun 14, 2024</c:v>
                </c:pt>
                <c:pt idx="206">
                  <c:v>Jun 13, 2024</c:v>
                </c:pt>
                <c:pt idx="207">
                  <c:v>Jun 12, 2024</c:v>
                </c:pt>
                <c:pt idx="208">
                  <c:v>Jun 11, 2024</c:v>
                </c:pt>
                <c:pt idx="209">
                  <c:v>Jun 10, 2024</c:v>
                </c:pt>
                <c:pt idx="210">
                  <c:v>Jun 7, 2024</c:v>
                </c:pt>
                <c:pt idx="211">
                  <c:v>Jun 6, 2024</c:v>
                </c:pt>
                <c:pt idx="212">
                  <c:v>Jun 5, 2024</c:v>
                </c:pt>
                <c:pt idx="213">
                  <c:v>Jun 4, 2024</c:v>
                </c:pt>
                <c:pt idx="214">
                  <c:v>Jun 3, 2024</c:v>
                </c:pt>
                <c:pt idx="215">
                  <c:v>May 31, 2024</c:v>
                </c:pt>
                <c:pt idx="216">
                  <c:v>May 30, 2024</c:v>
                </c:pt>
                <c:pt idx="217">
                  <c:v>May 29, 2024</c:v>
                </c:pt>
                <c:pt idx="218">
                  <c:v>May 28, 2024</c:v>
                </c:pt>
                <c:pt idx="219">
                  <c:v>May 27, 2024</c:v>
                </c:pt>
                <c:pt idx="220">
                  <c:v>May 24, 2024</c:v>
                </c:pt>
                <c:pt idx="221">
                  <c:v>May 23, 2024</c:v>
                </c:pt>
                <c:pt idx="222">
                  <c:v>May 22, 2024</c:v>
                </c:pt>
                <c:pt idx="223">
                  <c:v>May 21, 2024</c:v>
                </c:pt>
                <c:pt idx="224">
                  <c:v>May 17, 2024</c:v>
                </c:pt>
                <c:pt idx="225">
                  <c:v>May 16, 2024</c:v>
                </c:pt>
                <c:pt idx="226">
                  <c:v>May 15, 2024</c:v>
                </c:pt>
                <c:pt idx="227">
                  <c:v>May 14, 2024</c:v>
                </c:pt>
                <c:pt idx="228">
                  <c:v>May 13, 2024</c:v>
                </c:pt>
                <c:pt idx="229">
                  <c:v>May 10, 2024</c:v>
                </c:pt>
                <c:pt idx="230">
                  <c:v>May 9, 2024</c:v>
                </c:pt>
                <c:pt idx="231">
                  <c:v>May 8, 2024</c:v>
                </c:pt>
                <c:pt idx="232">
                  <c:v>May 7, 2024</c:v>
                </c:pt>
                <c:pt idx="233">
                  <c:v>May 6, 2024</c:v>
                </c:pt>
                <c:pt idx="234">
                  <c:v>May 3, 2024</c:v>
                </c:pt>
                <c:pt idx="235">
                  <c:v>May 2, 2024</c:v>
                </c:pt>
                <c:pt idx="236">
                  <c:v>Apr 30, 2024</c:v>
                </c:pt>
                <c:pt idx="237">
                  <c:v>Apr 29, 2024</c:v>
                </c:pt>
                <c:pt idx="238">
                  <c:v>Apr 26, 2024</c:v>
                </c:pt>
                <c:pt idx="239">
                  <c:v>Apr 25, 2024</c:v>
                </c:pt>
                <c:pt idx="240">
                  <c:v>Apr 24, 2024</c:v>
                </c:pt>
                <c:pt idx="241">
                  <c:v>Apr 23, 2024</c:v>
                </c:pt>
                <c:pt idx="242">
                  <c:v>Apr 22, 2024</c:v>
                </c:pt>
                <c:pt idx="243">
                  <c:v>Apr 19, 2024</c:v>
                </c:pt>
                <c:pt idx="244">
                  <c:v>Apr 18, 2024</c:v>
                </c:pt>
                <c:pt idx="245">
                  <c:v>Apr 16, 2024</c:v>
                </c:pt>
                <c:pt idx="246">
                  <c:v>Apr 15, 2024</c:v>
                </c:pt>
                <c:pt idx="247">
                  <c:v>Apr 12, 2024</c:v>
                </c:pt>
                <c:pt idx="248">
                  <c:v>Apr 10, 2024</c:v>
                </c:pt>
                <c:pt idx="249">
                  <c:v>Apr 9, 2024</c:v>
                </c:pt>
                <c:pt idx="250">
                  <c:v>Apr 8, 2024</c:v>
                </c:pt>
                <c:pt idx="251">
                  <c:v>Apr 5, 2024</c:v>
                </c:pt>
                <c:pt idx="252">
                  <c:v>Apr 4, 2024</c:v>
                </c:pt>
                <c:pt idx="253">
                  <c:v>Apr 3, 2024</c:v>
                </c:pt>
                <c:pt idx="254">
                  <c:v>Apr 2, 2024</c:v>
                </c:pt>
                <c:pt idx="255">
                  <c:v>Apr 1, 2024</c:v>
                </c:pt>
                <c:pt idx="256">
                  <c:v>Mar 28, 2024</c:v>
                </c:pt>
                <c:pt idx="257">
                  <c:v>Mar 27, 2024</c:v>
                </c:pt>
                <c:pt idx="258">
                  <c:v>Mar 26, 2024</c:v>
                </c:pt>
                <c:pt idx="259">
                  <c:v>Mar 22, 2024</c:v>
                </c:pt>
                <c:pt idx="260">
                  <c:v>Mar 21, 2024</c:v>
                </c:pt>
                <c:pt idx="261">
                  <c:v>Mar 20, 2024</c:v>
                </c:pt>
                <c:pt idx="262">
                  <c:v>Mar 19, 2024</c:v>
                </c:pt>
                <c:pt idx="263">
                  <c:v>Mar 18, 2024</c:v>
                </c:pt>
                <c:pt idx="264">
                  <c:v>Mar 15, 2024</c:v>
                </c:pt>
                <c:pt idx="265">
                  <c:v>Mar 14, 2024</c:v>
                </c:pt>
                <c:pt idx="266">
                  <c:v>Mar 13, 2024</c:v>
                </c:pt>
                <c:pt idx="267">
                  <c:v>Mar 12, 2024</c:v>
                </c:pt>
                <c:pt idx="268">
                  <c:v>Mar 11, 2024</c:v>
                </c:pt>
                <c:pt idx="269">
                  <c:v>Mar 7, 2024</c:v>
                </c:pt>
                <c:pt idx="270">
                  <c:v>Mar 6, 2024</c:v>
                </c:pt>
                <c:pt idx="271">
                  <c:v>Mar 5, 2024</c:v>
                </c:pt>
                <c:pt idx="272">
                  <c:v>Mar 4, 2024</c:v>
                </c:pt>
                <c:pt idx="273">
                  <c:v>Mar 1, 2024</c:v>
                </c:pt>
                <c:pt idx="274">
                  <c:v>Feb 29, 2024</c:v>
                </c:pt>
                <c:pt idx="275">
                  <c:v>Feb 28, 2024</c:v>
                </c:pt>
                <c:pt idx="276">
                  <c:v>Feb 27, 2024</c:v>
                </c:pt>
                <c:pt idx="277">
                  <c:v>Feb 26, 2024</c:v>
                </c:pt>
                <c:pt idx="278">
                  <c:v>Feb 23, 2024</c:v>
                </c:pt>
                <c:pt idx="279">
                  <c:v>Feb 22, 2024</c:v>
                </c:pt>
                <c:pt idx="280">
                  <c:v>Feb 21, 2024</c:v>
                </c:pt>
                <c:pt idx="281">
                  <c:v>Feb 20, 2024</c:v>
                </c:pt>
                <c:pt idx="282">
                  <c:v>Feb 19, 2024</c:v>
                </c:pt>
                <c:pt idx="283">
                  <c:v>Feb 16, 2024</c:v>
                </c:pt>
                <c:pt idx="284">
                  <c:v>Feb 15, 2024</c:v>
                </c:pt>
                <c:pt idx="285">
                  <c:v>Feb 14, 2024</c:v>
                </c:pt>
                <c:pt idx="286">
                  <c:v>Feb 13, 2024</c:v>
                </c:pt>
                <c:pt idx="287">
                  <c:v>Feb 12, 2024</c:v>
                </c:pt>
                <c:pt idx="288">
                  <c:v>Feb 9, 2024</c:v>
                </c:pt>
                <c:pt idx="289">
                  <c:v>Feb 8, 2024</c:v>
                </c:pt>
                <c:pt idx="290">
                  <c:v>Feb 7, 2024</c:v>
                </c:pt>
                <c:pt idx="291">
                  <c:v>Feb 6, 2024</c:v>
                </c:pt>
                <c:pt idx="292">
                  <c:v>Feb 5, 2024</c:v>
                </c:pt>
                <c:pt idx="293">
                  <c:v>Feb 2, 2024</c:v>
                </c:pt>
                <c:pt idx="294">
                  <c:v>Feb 1, 2024</c:v>
                </c:pt>
                <c:pt idx="295">
                  <c:v>Jan 31, 2024</c:v>
                </c:pt>
                <c:pt idx="296">
                  <c:v>Jan 30, 2024</c:v>
                </c:pt>
                <c:pt idx="297">
                  <c:v>Jan 29, 2024</c:v>
                </c:pt>
                <c:pt idx="298">
                  <c:v>Jan 25, 2024</c:v>
                </c:pt>
                <c:pt idx="299">
                  <c:v>Jan 24, 2024</c:v>
                </c:pt>
                <c:pt idx="300">
                  <c:v>Jan 23, 2024</c:v>
                </c:pt>
                <c:pt idx="301">
                  <c:v>Jan 19, 2024</c:v>
                </c:pt>
                <c:pt idx="302">
                  <c:v>Jan 18, 2024</c:v>
                </c:pt>
                <c:pt idx="303">
                  <c:v>Jan 17, 2024</c:v>
                </c:pt>
                <c:pt idx="304">
                  <c:v>Jan 16, 2024</c:v>
                </c:pt>
                <c:pt idx="305">
                  <c:v>Jan 15, 2024</c:v>
                </c:pt>
                <c:pt idx="306">
                  <c:v>Jan 12, 2024</c:v>
                </c:pt>
                <c:pt idx="307">
                  <c:v>Jan 11, 2024</c:v>
                </c:pt>
                <c:pt idx="308">
                  <c:v>Jan 10, 2024</c:v>
                </c:pt>
                <c:pt idx="309">
                  <c:v>Jan 9, 2024</c:v>
                </c:pt>
                <c:pt idx="310">
                  <c:v>Jan 8, 2024</c:v>
                </c:pt>
                <c:pt idx="311">
                  <c:v>Jan 5, 2024</c:v>
                </c:pt>
                <c:pt idx="312">
                  <c:v>Jan 4, 2024</c:v>
                </c:pt>
                <c:pt idx="313">
                  <c:v>Jan 3, 2024</c:v>
                </c:pt>
                <c:pt idx="314">
                  <c:v>Jan 2, 2024</c:v>
                </c:pt>
                <c:pt idx="315">
                  <c:v>Jan 1, 2024</c:v>
                </c:pt>
                <c:pt idx="316">
                  <c:v>Dec 29, 2023</c:v>
                </c:pt>
                <c:pt idx="317">
                  <c:v>Dec 28, 2023</c:v>
                </c:pt>
                <c:pt idx="318">
                  <c:v>Dec 27, 2023</c:v>
                </c:pt>
                <c:pt idx="319">
                  <c:v>Dec 26, 2023</c:v>
                </c:pt>
                <c:pt idx="320">
                  <c:v>Dec 22, 2023</c:v>
                </c:pt>
                <c:pt idx="321">
                  <c:v>Dec 21, 2023</c:v>
                </c:pt>
                <c:pt idx="322">
                  <c:v>Dec 20, 2023</c:v>
                </c:pt>
                <c:pt idx="323">
                  <c:v>Dec 19, 2023</c:v>
                </c:pt>
                <c:pt idx="324">
                  <c:v>Dec 18, 2023</c:v>
                </c:pt>
                <c:pt idx="325">
                  <c:v>Dec 15, 2023</c:v>
                </c:pt>
                <c:pt idx="326">
                  <c:v>Dec 14, 2023</c:v>
                </c:pt>
                <c:pt idx="327">
                  <c:v>Dec 13, 2023</c:v>
                </c:pt>
                <c:pt idx="328">
                  <c:v>Dec 12, 2023</c:v>
                </c:pt>
                <c:pt idx="329">
                  <c:v>Dec 11, 2023</c:v>
                </c:pt>
                <c:pt idx="330">
                  <c:v>Dec 8, 2023</c:v>
                </c:pt>
                <c:pt idx="331">
                  <c:v>Dec 7, 2023</c:v>
                </c:pt>
                <c:pt idx="332">
                  <c:v>Dec 6, 2023</c:v>
                </c:pt>
                <c:pt idx="333">
                  <c:v>Dec 5, 2023</c:v>
                </c:pt>
                <c:pt idx="334">
                  <c:v>Dec 4, 2023</c:v>
                </c:pt>
                <c:pt idx="335">
                  <c:v>Dec 1, 2023</c:v>
                </c:pt>
                <c:pt idx="336">
                  <c:v>Nov 30, 2023</c:v>
                </c:pt>
                <c:pt idx="337">
                  <c:v>Nov 29, 2023</c:v>
                </c:pt>
                <c:pt idx="338">
                  <c:v>Nov 28, 2023</c:v>
                </c:pt>
                <c:pt idx="339">
                  <c:v>Nov 24, 2023</c:v>
                </c:pt>
                <c:pt idx="340">
                  <c:v>Nov 23, 2023</c:v>
                </c:pt>
                <c:pt idx="341">
                  <c:v>Nov 22, 2023</c:v>
                </c:pt>
                <c:pt idx="342">
                  <c:v>Nov 21, 2023</c:v>
                </c:pt>
                <c:pt idx="343">
                  <c:v>Nov 20, 2023</c:v>
                </c:pt>
                <c:pt idx="344">
                  <c:v>Nov 17, 2023</c:v>
                </c:pt>
                <c:pt idx="345">
                  <c:v>Nov 16, 2023</c:v>
                </c:pt>
                <c:pt idx="346">
                  <c:v>Nov 15, 2023</c:v>
                </c:pt>
                <c:pt idx="347">
                  <c:v>Nov 13, 2023</c:v>
                </c:pt>
                <c:pt idx="348">
                  <c:v>Nov 10, 2023</c:v>
                </c:pt>
                <c:pt idx="349">
                  <c:v>Nov 9, 2023</c:v>
                </c:pt>
                <c:pt idx="350">
                  <c:v>Nov 8, 2023</c:v>
                </c:pt>
                <c:pt idx="351">
                  <c:v>Nov 7, 2023</c:v>
                </c:pt>
                <c:pt idx="352">
                  <c:v>Nov 6, 2023</c:v>
                </c:pt>
                <c:pt idx="353">
                  <c:v>Nov 3, 2023</c:v>
                </c:pt>
                <c:pt idx="354">
                  <c:v>Nov 2, 2023</c:v>
                </c:pt>
                <c:pt idx="355">
                  <c:v>Nov 1, 2023</c:v>
                </c:pt>
                <c:pt idx="356">
                  <c:v>Oct 31, 2023</c:v>
                </c:pt>
                <c:pt idx="357">
                  <c:v>Oct 30, 2023</c:v>
                </c:pt>
                <c:pt idx="358">
                  <c:v>Oct 27, 2023</c:v>
                </c:pt>
                <c:pt idx="359">
                  <c:v>Oct 26, 2023</c:v>
                </c:pt>
                <c:pt idx="360">
                  <c:v>Oct 25, 2023</c:v>
                </c:pt>
                <c:pt idx="361">
                  <c:v>Oct 23, 2023</c:v>
                </c:pt>
                <c:pt idx="362">
                  <c:v>Oct 20, 2023</c:v>
                </c:pt>
                <c:pt idx="363">
                  <c:v>Oct 19, 2023</c:v>
                </c:pt>
                <c:pt idx="364">
                  <c:v>Oct 18, 2023</c:v>
                </c:pt>
                <c:pt idx="365">
                  <c:v>Oct 17, 2023</c:v>
                </c:pt>
                <c:pt idx="366">
                  <c:v>Oct 16, 2023</c:v>
                </c:pt>
                <c:pt idx="367">
                  <c:v>Oct 13, 2023</c:v>
                </c:pt>
                <c:pt idx="368">
                  <c:v>Oct 12, 2023</c:v>
                </c:pt>
                <c:pt idx="369">
                  <c:v>Oct 11, 2023</c:v>
                </c:pt>
                <c:pt idx="370">
                  <c:v>Oct 10, 2023</c:v>
                </c:pt>
                <c:pt idx="371">
                  <c:v>Oct 9, 2023</c:v>
                </c:pt>
                <c:pt idx="372">
                  <c:v>Oct 6, 2023</c:v>
                </c:pt>
                <c:pt idx="373">
                  <c:v>Oct 5, 2023</c:v>
                </c:pt>
                <c:pt idx="374">
                  <c:v>Oct 4, 2023</c:v>
                </c:pt>
                <c:pt idx="375">
                  <c:v>Oct 3, 2023</c:v>
                </c:pt>
                <c:pt idx="376">
                  <c:v>Sep 29, 2023</c:v>
                </c:pt>
                <c:pt idx="377">
                  <c:v>Sep 28, 2023</c:v>
                </c:pt>
                <c:pt idx="378">
                  <c:v>Sep 27, 2023</c:v>
                </c:pt>
                <c:pt idx="379">
                  <c:v>Sep 26, 2023</c:v>
                </c:pt>
                <c:pt idx="380">
                  <c:v>Sep 25, 2023</c:v>
                </c:pt>
                <c:pt idx="381">
                  <c:v>Sep 22, 2023</c:v>
                </c:pt>
                <c:pt idx="382">
                  <c:v>Sep 21, 2023</c:v>
                </c:pt>
                <c:pt idx="383">
                  <c:v>Sep 20, 2023</c:v>
                </c:pt>
                <c:pt idx="384">
                  <c:v>Sep 18, 2023</c:v>
                </c:pt>
                <c:pt idx="385">
                  <c:v>Sep 15, 2023</c:v>
                </c:pt>
                <c:pt idx="386">
                  <c:v>Sep 14, 2023</c:v>
                </c:pt>
                <c:pt idx="387">
                  <c:v>Sep 13, 2023</c:v>
                </c:pt>
                <c:pt idx="388">
                  <c:v>Sep 12, 2023</c:v>
                </c:pt>
                <c:pt idx="389">
                  <c:v>Sep 11, 2023</c:v>
                </c:pt>
                <c:pt idx="390">
                  <c:v>Sep 8, 2023</c:v>
                </c:pt>
                <c:pt idx="391">
                  <c:v>Sep 7, 2023</c:v>
                </c:pt>
                <c:pt idx="392">
                  <c:v>Sep 6, 2023</c:v>
                </c:pt>
                <c:pt idx="393">
                  <c:v>Sep 5, 2023</c:v>
                </c:pt>
                <c:pt idx="394">
                  <c:v>Sep 4, 2023</c:v>
                </c:pt>
                <c:pt idx="395">
                  <c:v>Sep 1, 2023</c:v>
                </c:pt>
                <c:pt idx="396">
                  <c:v>Aug 31, 2023</c:v>
                </c:pt>
                <c:pt idx="397">
                  <c:v>Aug 30, 2023</c:v>
                </c:pt>
                <c:pt idx="398">
                  <c:v>Aug 29, 2023</c:v>
                </c:pt>
                <c:pt idx="399">
                  <c:v>Aug 28, 2023</c:v>
                </c:pt>
                <c:pt idx="400">
                  <c:v>Aug 25, 2023</c:v>
                </c:pt>
                <c:pt idx="401">
                  <c:v>Aug 24, 2023</c:v>
                </c:pt>
                <c:pt idx="402">
                  <c:v>Aug 23, 2023</c:v>
                </c:pt>
                <c:pt idx="403">
                  <c:v>Aug 22, 2023</c:v>
                </c:pt>
                <c:pt idx="404">
                  <c:v>Aug 21, 2023</c:v>
                </c:pt>
                <c:pt idx="405">
                  <c:v>Aug 18, 2023</c:v>
                </c:pt>
                <c:pt idx="406">
                  <c:v>Aug 17, 2023</c:v>
                </c:pt>
                <c:pt idx="407">
                  <c:v>Aug 16, 2023</c:v>
                </c:pt>
                <c:pt idx="408">
                  <c:v>Aug 14, 2023</c:v>
                </c:pt>
                <c:pt idx="409">
                  <c:v>Aug 11, 2023</c:v>
                </c:pt>
                <c:pt idx="410">
                  <c:v>Aug 10, 2023</c:v>
                </c:pt>
                <c:pt idx="411">
                  <c:v>Aug 9, 2023</c:v>
                </c:pt>
                <c:pt idx="412">
                  <c:v>Aug 8, 2023</c:v>
                </c:pt>
                <c:pt idx="413">
                  <c:v>Aug 7, 2023</c:v>
                </c:pt>
                <c:pt idx="414">
                  <c:v>Aug 4, 2023</c:v>
                </c:pt>
                <c:pt idx="415">
                  <c:v>Aug 3, 2023</c:v>
                </c:pt>
                <c:pt idx="416">
                  <c:v>Aug 2, 2023</c:v>
                </c:pt>
                <c:pt idx="417">
                  <c:v>Aug 1, 2023</c:v>
                </c:pt>
                <c:pt idx="418">
                  <c:v>Jul 31, 2023</c:v>
                </c:pt>
                <c:pt idx="419">
                  <c:v>Jul 28, 2023</c:v>
                </c:pt>
                <c:pt idx="420">
                  <c:v>Jul 27, 2023</c:v>
                </c:pt>
                <c:pt idx="421">
                  <c:v>Jul 26, 2023</c:v>
                </c:pt>
                <c:pt idx="422">
                  <c:v>Jul 25, 2023</c:v>
                </c:pt>
                <c:pt idx="423">
                  <c:v>Jul 24, 2023</c:v>
                </c:pt>
                <c:pt idx="424">
                  <c:v>Jul 21, 2023</c:v>
                </c:pt>
                <c:pt idx="425">
                  <c:v>Jul 20, 2023</c:v>
                </c:pt>
                <c:pt idx="426">
                  <c:v>Jul 19, 2023</c:v>
                </c:pt>
                <c:pt idx="427">
                  <c:v>Jul 18, 2023</c:v>
                </c:pt>
                <c:pt idx="428">
                  <c:v>Jul 17, 2023</c:v>
                </c:pt>
                <c:pt idx="429">
                  <c:v>Jul 14, 2023</c:v>
                </c:pt>
                <c:pt idx="430">
                  <c:v>Jul 13, 2023</c:v>
                </c:pt>
                <c:pt idx="431">
                  <c:v>Jul 12, 2023</c:v>
                </c:pt>
                <c:pt idx="432">
                  <c:v>Jul 11, 2023</c:v>
                </c:pt>
                <c:pt idx="433">
                  <c:v>Jul 10, 2023</c:v>
                </c:pt>
                <c:pt idx="434">
                  <c:v>Jul 7, 2023</c:v>
                </c:pt>
                <c:pt idx="435">
                  <c:v>Jul 6, 2023</c:v>
                </c:pt>
                <c:pt idx="436">
                  <c:v>Jul 5, 2023</c:v>
                </c:pt>
                <c:pt idx="437">
                  <c:v>Jul 4, 2023</c:v>
                </c:pt>
                <c:pt idx="438">
                  <c:v>Jul 3, 2023</c:v>
                </c:pt>
                <c:pt idx="439">
                  <c:v>Jun 30, 2023</c:v>
                </c:pt>
                <c:pt idx="440">
                  <c:v>Jun 28, 2023</c:v>
                </c:pt>
                <c:pt idx="441">
                  <c:v>Jun 27, 2023</c:v>
                </c:pt>
                <c:pt idx="442">
                  <c:v>Jun 26, 2023</c:v>
                </c:pt>
                <c:pt idx="443">
                  <c:v>Jun 23, 2023</c:v>
                </c:pt>
                <c:pt idx="444">
                  <c:v>Jun 22, 2023</c:v>
                </c:pt>
                <c:pt idx="445">
                  <c:v>Jun 21, 2023</c:v>
                </c:pt>
                <c:pt idx="446">
                  <c:v>Jun 20, 2023</c:v>
                </c:pt>
                <c:pt idx="447">
                  <c:v>Jun 19, 2023</c:v>
                </c:pt>
                <c:pt idx="448">
                  <c:v>Jun 16, 2023</c:v>
                </c:pt>
                <c:pt idx="449">
                  <c:v>Jun 15, 2023</c:v>
                </c:pt>
                <c:pt idx="450">
                  <c:v>Jun 14, 2023</c:v>
                </c:pt>
                <c:pt idx="451">
                  <c:v>Jun 13, 2023</c:v>
                </c:pt>
                <c:pt idx="452">
                  <c:v>Jun 12, 2023</c:v>
                </c:pt>
                <c:pt idx="453">
                  <c:v>Jun 9, 2023</c:v>
                </c:pt>
                <c:pt idx="454">
                  <c:v>Jun 8, 2023</c:v>
                </c:pt>
                <c:pt idx="455">
                  <c:v>Jun 7, 2023</c:v>
                </c:pt>
                <c:pt idx="456">
                  <c:v>Jun 6, 2023</c:v>
                </c:pt>
                <c:pt idx="457">
                  <c:v>Jun 5, 2023</c:v>
                </c:pt>
                <c:pt idx="458">
                  <c:v>Jun 2, 2023</c:v>
                </c:pt>
                <c:pt idx="459">
                  <c:v>Jun 1, 2023</c:v>
                </c:pt>
                <c:pt idx="460">
                  <c:v>May 31, 2023</c:v>
                </c:pt>
                <c:pt idx="461">
                  <c:v>May 30, 2023</c:v>
                </c:pt>
                <c:pt idx="462">
                  <c:v>May 29, 2023</c:v>
                </c:pt>
                <c:pt idx="463">
                  <c:v>May 26, 2023</c:v>
                </c:pt>
                <c:pt idx="464">
                  <c:v>May 25, 2023</c:v>
                </c:pt>
                <c:pt idx="465">
                  <c:v>May 24, 2023</c:v>
                </c:pt>
                <c:pt idx="466">
                  <c:v>May 23, 2023</c:v>
                </c:pt>
                <c:pt idx="467">
                  <c:v>May 22, 2023</c:v>
                </c:pt>
                <c:pt idx="468">
                  <c:v>May 19, 2023</c:v>
                </c:pt>
                <c:pt idx="469">
                  <c:v>May 18, 2023</c:v>
                </c:pt>
                <c:pt idx="470">
                  <c:v>May 17, 2023</c:v>
                </c:pt>
                <c:pt idx="471">
                  <c:v>May 16, 2023</c:v>
                </c:pt>
                <c:pt idx="472">
                  <c:v>May 15, 2023</c:v>
                </c:pt>
                <c:pt idx="473">
                  <c:v>May 12, 2023</c:v>
                </c:pt>
                <c:pt idx="474">
                  <c:v>May 11, 2023</c:v>
                </c:pt>
                <c:pt idx="475">
                  <c:v>May 10, 2023</c:v>
                </c:pt>
                <c:pt idx="476">
                  <c:v>May 9, 2023</c:v>
                </c:pt>
                <c:pt idx="477">
                  <c:v>May 8, 2023</c:v>
                </c:pt>
                <c:pt idx="478">
                  <c:v>May 5, 2023</c:v>
                </c:pt>
                <c:pt idx="479">
                  <c:v>May 4, 2023</c:v>
                </c:pt>
                <c:pt idx="480">
                  <c:v>May 3, 2023</c:v>
                </c:pt>
                <c:pt idx="481">
                  <c:v>May 2, 2023</c:v>
                </c:pt>
                <c:pt idx="482">
                  <c:v>Apr 28, 2023</c:v>
                </c:pt>
                <c:pt idx="483">
                  <c:v>Apr 27, 2023</c:v>
                </c:pt>
                <c:pt idx="484">
                  <c:v>Apr 26, 2023</c:v>
                </c:pt>
                <c:pt idx="485">
                  <c:v>Apr 25, 2023</c:v>
                </c:pt>
                <c:pt idx="486">
                  <c:v>Apr 24, 2023</c:v>
                </c:pt>
                <c:pt idx="487">
                  <c:v>Apr 21, 2023</c:v>
                </c:pt>
                <c:pt idx="488">
                  <c:v>Apr 20, 2023</c:v>
                </c:pt>
                <c:pt idx="489">
                  <c:v>Apr 19, 2023</c:v>
                </c:pt>
                <c:pt idx="490">
                  <c:v>Apr 18, 2023</c:v>
                </c:pt>
                <c:pt idx="491">
                  <c:v>Apr 17, 2023</c:v>
                </c:pt>
                <c:pt idx="492">
                  <c:v>Apr 13, 2023</c:v>
                </c:pt>
                <c:pt idx="493">
                  <c:v>Apr 12, 2023</c:v>
                </c:pt>
                <c:pt idx="494">
                  <c:v>Apr 11, 2023</c:v>
                </c:pt>
                <c:pt idx="495">
                  <c:v>Apr 10, 2023</c:v>
                </c:pt>
                <c:pt idx="496">
                  <c:v>Apr 6, 2023</c:v>
                </c:pt>
                <c:pt idx="497">
                  <c:v>Apr 5, 2023</c:v>
                </c:pt>
                <c:pt idx="498">
                  <c:v>Apr 3, 2023</c:v>
                </c:pt>
                <c:pt idx="499">
                  <c:v>Mar 31, 2023</c:v>
                </c:pt>
                <c:pt idx="500">
                  <c:v>Mar 29, 2023</c:v>
                </c:pt>
                <c:pt idx="501">
                  <c:v>Mar 28, 2023</c:v>
                </c:pt>
                <c:pt idx="502">
                  <c:v>Mar 27, 2023</c:v>
                </c:pt>
                <c:pt idx="503">
                  <c:v>Mar 24, 2023</c:v>
                </c:pt>
                <c:pt idx="504">
                  <c:v>Mar 23, 2023</c:v>
                </c:pt>
                <c:pt idx="505">
                  <c:v>Mar 22, 2023</c:v>
                </c:pt>
                <c:pt idx="506">
                  <c:v>Mar 21, 2023</c:v>
                </c:pt>
                <c:pt idx="507">
                  <c:v>Mar 20, 2023</c:v>
                </c:pt>
                <c:pt idx="508">
                  <c:v>Mar 17, 2023</c:v>
                </c:pt>
                <c:pt idx="509">
                  <c:v>Mar 16, 2023</c:v>
                </c:pt>
                <c:pt idx="510">
                  <c:v>Mar 15, 2023</c:v>
                </c:pt>
                <c:pt idx="511">
                  <c:v>Mar 14, 2023</c:v>
                </c:pt>
                <c:pt idx="512">
                  <c:v>Mar 13, 2023</c:v>
                </c:pt>
                <c:pt idx="513">
                  <c:v>Mar 10, 2023</c:v>
                </c:pt>
                <c:pt idx="514">
                  <c:v>Mar 9, 2023</c:v>
                </c:pt>
                <c:pt idx="515">
                  <c:v>Mar 8, 2023</c:v>
                </c:pt>
                <c:pt idx="516">
                  <c:v>Mar 6, 2023</c:v>
                </c:pt>
                <c:pt idx="517">
                  <c:v>Mar 3, 2023</c:v>
                </c:pt>
                <c:pt idx="518">
                  <c:v>Mar 2, 2023</c:v>
                </c:pt>
                <c:pt idx="519">
                  <c:v>Mar 1, 2023</c:v>
                </c:pt>
                <c:pt idx="520">
                  <c:v>Feb 28, 2023</c:v>
                </c:pt>
                <c:pt idx="521">
                  <c:v>Feb 27, 2023</c:v>
                </c:pt>
                <c:pt idx="522">
                  <c:v>Feb 24, 2023</c:v>
                </c:pt>
                <c:pt idx="523">
                  <c:v>Feb 23, 2023</c:v>
                </c:pt>
                <c:pt idx="524">
                  <c:v>Feb 22, 2023</c:v>
                </c:pt>
                <c:pt idx="525">
                  <c:v>Feb 21, 2023</c:v>
                </c:pt>
                <c:pt idx="526">
                  <c:v>Feb 20, 2023</c:v>
                </c:pt>
                <c:pt idx="527">
                  <c:v>Feb 17, 2023</c:v>
                </c:pt>
                <c:pt idx="528">
                  <c:v>Feb 16, 2023</c:v>
                </c:pt>
                <c:pt idx="529">
                  <c:v>Feb 15, 2023</c:v>
                </c:pt>
                <c:pt idx="530">
                  <c:v>Feb 14, 2023</c:v>
                </c:pt>
                <c:pt idx="531">
                  <c:v>Feb 13, 2023</c:v>
                </c:pt>
                <c:pt idx="532">
                  <c:v>Feb 10, 2023</c:v>
                </c:pt>
                <c:pt idx="533">
                  <c:v>Feb 9, 2023</c:v>
                </c:pt>
                <c:pt idx="534">
                  <c:v>Feb 8, 2023</c:v>
                </c:pt>
                <c:pt idx="535">
                  <c:v>Feb 7, 2023</c:v>
                </c:pt>
                <c:pt idx="536">
                  <c:v>Feb 6, 2023</c:v>
                </c:pt>
                <c:pt idx="537">
                  <c:v>Feb 3, 2023</c:v>
                </c:pt>
                <c:pt idx="538">
                  <c:v>Feb 2, 2023</c:v>
                </c:pt>
                <c:pt idx="539">
                  <c:v>Feb 1, 2023</c:v>
                </c:pt>
                <c:pt idx="540">
                  <c:v>Jan 31, 2023</c:v>
                </c:pt>
                <c:pt idx="541">
                  <c:v>Jan 30, 2023</c:v>
                </c:pt>
                <c:pt idx="542">
                  <c:v>Jan 27, 2023</c:v>
                </c:pt>
                <c:pt idx="543">
                  <c:v>Jan 25, 2023</c:v>
                </c:pt>
                <c:pt idx="544">
                  <c:v>Jan 24, 2023</c:v>
                </c:pt>
                <c:pt idx="545">
                  <c:v>Jan 23, 2023</c:v>
                </c:pt>
                <c:pt idx="546">
                  <c:v>Jan 20, 2023</c:v>
                </c:pt>
                <c:pt idx="547">
                  <c:v>Jan 19, 2023</c:v>
                </c:pt>
                <c:pt idx="548">
                  <c:v>Jan 18, 2023</c:v>
                </c:pt>
                <c:pt idx="549">
                  <c:v>Jan 17, 2023</c:v>
                </c:pt>
                <c:pt idx="550">
                  <c:v>Jan 16, 2023</c:v>
                </c:pt>
                <c:pt idx="551">
                  <c:v>Jan 13, 2023</c:v>
                </c:pt>
                <c:pt idx="552">
                  <c:v>Jan 12, 2023</c:v>
                </c:pt>
                <c:pt idx="553">
                  <c:v>Jan 11, 2023</c:v>
                </c:pt>
                <c:pt idx="554">
                  <c:v>Jan 10, 2023</c:v>
                </c:pt>
                <c:pt idx="555">
                  <c:v>Jan 9, 2023</c:v>
                </c:pt>
                <c:pt idx="556">
                  <c:v>Jan 6, 2023</c:v>
                </c:pt>
                <c:pt idx="557">
                  <c:v>Jan 5, 2023</c:v>
                </c:pt>
                <c:pt idx="558">
                  <c:v>Jan 4, 2023</c:v>
                </c:pt>
                <c:pt idx="559">
                  <c:v>Jan 3, 2023</c:v>
                </c:pt>
                <c:pt idx="560">
                  <c:v>Jan 2, 2023</c:v>
                </c:pt>
                <c:pt idx="561">
                  <c:v>Dec 30, 2022</c:v>
                </c:pt>
                <c:pt idx="562">
                  <c:v>Dec 29, 2022</c:v>
                </c:pt>
                <c:pt idx="563">
                  <c:v>Dec 28, 2022</c:v>
                </c:pt>
                <c:pt idx="564">
                  <c:v>Dec 27, 2022</c:v>
                </c:pt>
                <c:pt idx="565">
                  <c:v>Dec 26, 2022</c:v>
                </c:pt>
                <c:pt idx="566">
                  <c:v>Dec 23, 2022</c:v>
                </c:pt>
                <c:pt idx="567">
                  <c:v>Dec 22, 2022</c:v>
                </c:pt>
                <c:pt idx="568">
                  <c:v>Dec 21, 2022</c:v>
                </c:pt>
                <c:pt idx="569">
                  <c:v>Dec 20, 2022</c:v>
                </c:pt>
                <c:pt idx="570">
                  <c:v>Dec 19, 2022</c:v>
                </c:pt>
                <c:pt idx="571">
                  <c:v>Dec 16, 2022</c:v>
                </c:pt>
                <c:pt idx="572">
                  <c:v>Dec 15, 2022</c:v>
                </c:pt>
                <c:pt idx="573">
                  <c:v>Dec 14, 2022</c:v>
                </c:pt>
                <c:pt idx="574">
                  <c:v>Dec 13, 2022</c:v>
                </c:pt>
                <c:pt idx="575">
                  <c:v>Dec 12, 2022</c:v>
                </c:pt>
                <c:pt idx="576">
                  <c:v>Dec 9, 2022</c:v>
                </c:pt>
                <c:pt idx="577">
                  <c:v>Dec 8, 2022</c:v>
                </c:pt>
                <c:pt idx="578">
                  <c:v>Dec 7, 2022</c:v>
                </c:pt>
                <c:pt idx="579">
                  <c:v>Dec 6, 2022</c:v>
                </c:pt>
                <c:pt idx="580">
                  <c:v>Dec 5, 2022</c:v>
                </c:pt>
                <c:pt idx="581">
                  <c:v>Dec 2, 2022</c:v>
                </c:pt>
                <c:pt idx="582">
                  <c:v>Dec 1, 2022</c:v>
                </c:pt>
                <c:pt idx="583">
                  <c:v>Nov 30, 2022</c:v>
                </c:pt>
                <c:pt idx="584">
                  <c:v>Nov 29, 2022</c:v>
                </c:pt>
                <c:pt idx="585">
                  <c:v>Nov 28, 2022</c:v>
                </c:pt>
                <c:pt idx="586">
                  <c:v>Nov 25, 2022</c:v>
                </c:pt>
                <c:pt idx="587">
                  <c:v>Nov 24, 2022</c:v>
                </c:pt>
                <c:pt idx="588">
                  <c:v>Nov 23, 2022</c:v>
                </c:pt>
                <c:pt idx="589">
                  <c:v>Nov 22, 2022</c:v>
                </c:pt>
                <c:pt idx="590">
                  <c:v>Nov 21, 2022</c:v>
                </c:pt>
                <c:pt idx="591">
                  <c:v>Nov 18, 2022</c:v>
                </c:pt>
                <c:pt idx="592">
                  <c:v>Nov 17, 2022</c:v>
                </c:pt>
                <c:pt idx="593">
                  <c:v>Nov 16, 2022</c:v>
                </c:pt>
                <c:pt idx="594">
                  <c:v>Nov 15, 2022</c:v>
                </c:pt>
                <c:pt idx="595">
                  <c:v>Nov 14, 2022</c:v>
                </c:pt>
                <c:pt idx="596">
                  <c:v>Nov 11, 2022</c:v>
                </c:pt>
                <c:pt idx="597">
                  <c:v>Nov 10, 2022</c:v>
                </c:pt>
                <c:pt idx="598">
                  <c:v>Nov 9, 2022</c:v>
                </c:pt>
                <c:pt idx="599">
                  <c:v>Nov 7, 2022</c:v>
                </c:pt>
                <c:pt idx="600">
                  <c:v>Nov 4, 2022</c:v>
                </c:pt>
                <c:pt idx="601">
                  <c:v>Nov 3, 2022</c:v>
                </c:pt>
                <c:pt idx="602">
                  <c:v>Nov 2, 2022</c:v>
                </c:pt>
                <c:pt idx="603">
                  <c:v>Nov 1, 2022</c:v>
                </c:pt>
                <c:pt idx="604">
                  <c:v>Oct 31, 2022</c:v>
                </c:pt>
                <c:pt idx="605">
                  <c:v>Oct 28, 2022</c:v>
                </c:pt>
                <c:pt idx="606">
                  <c:v>Oct 27, 2022</c:v>
                </c:pt>
                <c:pt idx="607">
                  <c:v>Oct 25, 2022</c:v>
                </c:pt>
                <c:pt idx="608">
                  <c:v>Oct 24, 2022</c:v>
                </c:pt>
                <c:pt idx="609">
                  <c:v>Oct 21, 2022</c:v>
                </c:pt>
                <c:pt idx="610">
                  <c:v>Oct 20, 2022</c:v>
                </c:pt>
                <c:pt idx="611">
                  <c:v>Oct 19, 2022</c:v>
                </c:pt>
                <c:pt idx="612">
                  <c:v>Oct 18, 2022</c:v>
                </c:pt>
                <c:pt idx="613">
                  <c:v>Oct 17, 2022</c:v>
                </c:pt>
                <c:pt idx="614">
                  <c:v>Oct 14, 2022</c:v>
                </c:pt>
                <c:pt idx="615">
                  <c:v>Oct 13, 2022</c:v>
                </c:pt>
                <c:pt idx="616">
                  <c:v>Oct 12, 2022</c:v>
                </c:pt>
                <c:pt idx="617">
                  <c:v>Oct 11, 2022</c:v>
                </c:pt>
                <c:pt idx="618">
                  <c:v>Oct 10, 2022</c:v>
                </c:pt>
                <c:pt idx="619">
                  <c:v>Oct 7, 2022</c:v>
                </c:pt>
                <c:pt idx="620">
                  <c:v>Oct 6, 2022</c:v>
                </c:pt>
                <c:pt idx="621">
                  <c:v>Oct 4, 2022</c:v>
                </c:pt>
                <c:pt idx="622">
                  <c:v>Oct 3, 2022</c:v>
                </c:pt>
                <c:pt idx="623">
                  <c:v>Sep 30, 2022</c:v>
                </c:pt>
                <c:pt idx="624">
                  <c:v>Sep 29, 2022</c:v>
                </c:pt>
                <c:pt idx="625">
                  <c:v>Sep 28, 2022</c:v>
                </c:pt>
                <c:pt idx="626">
                  <c:v>Sep 27, 2022</c:v>
                </c:pt>
                <c:pt idx="627">
                  <c:v>Sep 26, 2022</c:v>
                </c:pt>
                <c:pt idx="628">
                  <c:v>Sep 23, 2022</c:v>
                </c:pt>
                <c:pt idx="629">
                  <c:v>Sep 22, 2022</c:v>
                </c:pt>
                <c:pt idx="630">
                  <c:v>Sep 21, 2022</c:v>
                </c:pt>
                <c:pt idx="631">
                  <c:v>Sep 20, 2022</c:v>
                </c:pt>
                <c:pt idx="632">
                  <c:v>Sep 19, 2022</c:v>
                </c:pt>
                <c:pt idx="633">
                  <c:v>Sep 16, 2022</c:v>
                </c:pt>
                <c:pt idx="634">
                  <c:v>Sep 15, 2022</c:v>
                </c:pt>
                <c:pt idx="635">
                  <c:v>Sep 14, 2022</c:v>
                </c:pt>
                <c:pt idx="636">
                  <c:v>Sep 13, 2022</c:v>
                </c:pt>
                <c:pt idx="637">
                  <c:v>Sep 12, 2022</c:v>
                </c:pt>
                <c:pt idx="638">
                  <c:v>Sep 9, 2022</c:v>
                </c:pt>
                <c:pt idx="639">
                  <c:v>Sep 8, 2022</c:v>
                </c:pt>
                <c:pt idx="640">
                  <c:v>Sep 7, 2022</c:v>
                </c:pt>
                <c:pt idx="641">
                  <c:v>Sep 6, 2022</c:v>
                </c:pt>
                <c:pt idx="642">
                  <c:v>Sep 5, 2022</c:v>
                </c:pt>
                <c:pt idx="643">
                  <c:v>Sep 2, 2022</c:v>
                </c:pt>
                <c:pt idx="644">
                  <c:v>Sep 1, 2022</c:v>
                </c:pt>
                <c:pt idx="645">
                  <c:v>Aug 30, 2022</c:v>
                </c:pt>
                <c:pt idx="646">
                  <c:v>Aug 29, 2022</c:v>
                </c:pt>
                <c:pt idx="647">
                  <c:v>Aug 26, 2022</c:v>
                </c:pt>
                <c:pt idx="648">
                  <c:v>Aug 25, 2022</c:v>
                </c:pt>
                <c:pt idx="649">
                  <c:v>Aug 24, 2022</c:v>
                </c:pt>
                <c:pt idx="650">
                  <c:v>Aug 23, 2022</c:v>
                </c:pt>
                <c:pt idx="651">
                  <c:v>Aug 22, 2022</c:v>
                </c:pt>
                <c:pt idx="652">
                  <c:v>Aug 19, 2022</c:v>
                </c:pt>
                <c:pt idx="653">
                  <c:v>Aug 18, 2022</c:v>
                </c:pt>
                <c:pt idx="654">
                  <c:v>Aug 17, 2022</c:v>
                </c:pt>
                <c:pt idx="655">
                  <c:v>Aug 16, 2022</c:v>
                </c:pt>
                <c:pt idx="656">
                  <c:v>Aug 12, 2022</c:v>
                </c:pt>
                <c:pt idx="657">
                  <c:v>Aug 11, 2022</c:v>
                </c:pt>
                <c:pt idx="658">
                  <c:v>Aug 10, 2022</c:v>
                </c:pt>
                <c:pt idx="659">
                  <c:v>Aug 8, 2022</c:v>
                </c:pt>
                <c:pt idx="660">
                  <c:v>Aug 5, 2022</c:v>
                </c:pt>
                <c:pt idx="661">
                  <c:v>Aug 4, 2022</c:v>
                </c:pt>
                <c:pt idx="662">
                  <c:v>Aug 3, 2022</c:v>
                </c:pt>
                <c:pt idx="663">
                  <c:v>Aug 2, 2022</c:v>
                </c:pt>
                <c:pt idx="664">
                  <c:v>Aug 1, 2022</c:v>
                </c:pt>
                <c:pt idx="665">
                  <c:v>Jul 29, 2022</c:v>
                </c:pt>
                <c:pt idx="666">
                  <c:v>Jul 28, 2022</c:v>
                </c:pt>
                <c:pt idx="667">
                  <c:v>Jul 27, 2022</c:v>
                </c:pt>
                <c:pt idx="668">
                  <c:v>Jul 26, 2022</c:v>
                </c:pt>
                <c:pt idx="669">
                  <c:v>Jul 25, 2022</c:v>
                </c:pt>
                <c:pt idx="670">
                  <c:v>Jul 22, 2022</c:v>
                </c:pt>
                <c:pt idx="671">
                  <c:v>Jul 21, 2022</c:v>
                </c:pt>
                <c:pt idx="672">
                  <c:v>Jul 20, 2022</c:v>
                </c:pt>
                <c:pt idx="673">
                  <c:v>Jul 19, 2022</c:v>
                </c:pt>
                <c:pt idx="674">
                  <c:v>Jul 18, 2022</c:v>
                </c:pt>
                <c:pt idx="675">
                  <c:v>Jul 15, 2022</c:v>
                </c:pt>
                <c:pt idx="676">
                  <c:v>Jul 14, 2022</c:v>
                </c:pt>
                <c:pt idx="677">
                  <c:v>Jul 13, 2022</c:v>
                </c:pt>
                <c:pt idx="678">
                  <c:v>Jul 12, 2022</c:v>
                </c:pt>
                <c:pt idx="679">
                  <c:v>Jul 11, 2022</c:v>
                </c:pt>
                <c:pt idx="680">
                  <c:v>Jul 8, 2022</c:v>
                </c:pt>
                <c:pt idx="681">
                  <c:v>Jul 7, 2022</c:v>
                </c:pt>
                <c:pt idx="682">
                  <c:v>Jul 6, 2022</c:v>
                </c:pt>
                <c:pt idx="683">
                  <c:v>Jul 5, 2022</c:v>
                </c:pt>
                <c:pt idx="684">
                  <c:v>Jul 4, 2022</c:v>
                </c:pt>
                <c:pt idx="685">
                  <c:v>Jul 1, 2022</c:v>
                </c:pt>
                <c:pt idx="686">
                  <c:v>Jun 30, 2022</c:v>
                </c:pt>
                <c:pt idx="687">
                  <c:v>Jun 29, 2022</c:v>
                </c:pt>
                <c:pt idx="688">
                  <c:v>Jun 28, 2022</c:v>
                </c:pt>
                <c:pt idx="689">
                  <c:v>Jun 27, 2022</c:v>
                </c:pt>
                <c:pt idx="690">
                  <c:v>Jun 24, 2022</c:v>
                </c:pt>
                <c:pt idx="691">
                  <c:v>Jun 23, 2022</c:v>
                </c:pt>
                <c:pt idx="692">
                  <c:v>Jun 22, 2022</c:v>
                </c:pt>
                <c:pt idx="693">
                  <c:v>Jun 21, 2022</c:v>
                </c:pt>
                <c:pt idx="694">
                  <c:v>Jun 20, 2022</c:v>
                </c:pt>
                <c:pt idx="695">
                  <c:v>Jun 17, 2022</c:v>
                </c:pt>
                <c:pt idx="696">
                  <c:v>Jun 16, 2022</c:v>
                </c:pt>
                <c:pt idx="697">
                  <c:v>Jun 15, 2022</c:v>
                </c:pt>
                <c:pt idx="698">
                  <c:v>Jun 14, 2022</c:v>
                </c:pt>
                <c:pt idx="699">
                  <c:v>Jun 13, 2022</c:v>
                </c:pt>
                <c:pt idx="700">
                  <c:v>Jun 10, 2022</c:v>
                </c:pt>
                <c:pt idx="701">
                  <c:v>Jun 9, 2022</c:v>
                </c:pt>
                <c:pt idx="702">
                  <c:v>Jun 8, 2022</c:v>
                </c:pt>
                <c:pt idx="703">
                  <c:v>Jun 7, 2022</c:v>
                </c:pt>
                <c:pt idx="704">
                  <c:v>Jun 6, 2022</c:v>
                </c:pt>
                <c:pt idx="705">
                  <c:v>Jun 3, 2022</c:v>
                </c:pt>
                <c:pt idx="706">
                  <c:v>Jun 2, 2022</c:v>
                </c:pt>
                <c:pt idx="707">
                  <c:v>Jun 1, 2022</c:v>
                </c:pt>
                <c:pt idx="708">
                  <c:v>May 31, 2022</c:v>
                </c:pt>
                <c:pt idx="709">
                  <c:v>May 30, 2022</c:v>
                </c:pt>
                <c:pt idx="710">
                  <c:v>May 27, 2022</c:v>
                </c:pt>
                <c:pt idx="711">
                  <c:v>May 26, 2022</c:v>
                </c:pt>
                <c:pt idx="712">
                  <c:v>May 25, 2022</c:v>
                </c:pt>
                <c:pt idx="713">
                  <c:v>May 24, 2022</c:v>
                </c:pt>
                <c:pt idx="714">
                  <c:v>May 23, 2022</c:v>
                </c:pt>
                <c:pt idx="715">
                  <c:v>May 20, 2022</c:v>
                </c:pt>
                <c:pt idx="716">
                  <c:v>May 19, 2022</c:v>
                </c:pt>
                <c:pt idx="717">
                  <c:v>May 18, 2022</c:v>
                </c:pt>
                <c:pt idx="718">
                  <c:v>May 17, 2022</c:v>
                </c:pt>
                <c:pt idx="719">
                  <c:v>May 16, 2022</c:v>
                </c:pt>
                <c:pt idx="720">
                  <c:v>May 13, 2022</c:v>
                </c:pt>
                <c:pt idx="721">
                  <c:v>May 12, 2022</c:v>
                </c:pt>
                <c:pt idx="722">
                  <c:v>May 11, 2022</c:v>
                </c:pt>
                <c:pt idx="723">
                  <c:v>May 10, 2022</c:v>
                </c:pt>
                <c:pt idx="724">
                  <c:v>May 9, 2022</c:v>
                </c:pt>
                <c:pt idx="725">
                  <c:v>May 6, 2022</c:v>
                </c:pt>
                <c:pt idx="726">
                  <c:v>May 5, 2022</c:v>
                </c:pt>
                <c:pt idx="727">
                  <c:v>May 4, 2022</c:v>
                </c:pt>
                <c:pt idx="728">
                  <c:v>May 2, 2022</c:v>
                </c:pt>
                <c:pt idx="729">
                  <c:v>Apr 29, 2022</c:v>
                </c:pt>
                <c:pt idx="730">
                  <c:v>Apr 28, 2022</c:v>
                </c:pt>
                <c:pt idx="731">
                  <c:v>Apr 27, 2022</c:v>
                </c:pt>
                <c:pt idx="732">
                  <c:v>Apr 26, 2022</c:v>
                </c:pt>
                <c:pt idx="733">
                  <c:v>Apr 25, 2022</c:v>
                </c:pt>
                <c:pt idx="734">
                  <c:v>Apr 22, 2022</c:v>
                </c:pt>
                <c:pt idx="735">
                  <c:v>Apr 21, 2022</c:v>
                </c:pt>
                <c:pt idx="736">
                  <c:v>Apr 20, 2022</c:v>
                </c:pt>
                <c:pt idx="737">
                  <c:v>Apr 19, 2022</c:v>
                </c:pt>
                <c:pt idx="738">
                  <c:v>Apr 18, 2022</c:v>
                </c:pt>
                <c:pt idx="739">
                  <c:v>Apr 13, 2022</c:v>
                </c:pt>
                <c:pt idx="740">
                  <c:v>Apr 12, 2022</c:v>
                </c:pt>
                <c:pt idx="741">
                  <c:v>Apr 11, 2022</c:v>
                </c:pt>
                <c:pt idx="742">
                  <c:v>Apr 8, 2022</c:v>
                </c:pt>
                <c:pt idx="743">
                  <c:v>Apr 7, 2022</c:v>
                </c:pt>
                <c:pt idx="744">
                  <c:v>Apr 6, 2022</c:v>
                </c:pt>
                <c:pt idx="745">
                  <c:v>Apr 5, 2022</c:v>
                </c:pt>
                <c:pt idx="746">
                  <c:v>Apr 4, 2022</c:v>
                </c:pt>
                <c:pt idx="747">
                  <c:v>Apr 1, 2022</c:v>
                </c:pt>
                <c:pt idx="748">
                  <c:v>Mar 31, 2022</c:v>
                </c:pt>
                <c:pt idx="749">
                  <c:v>Mar 30, 2022</c:v>
                </c:pt>
                <c:pt idx="750">
                  <c:v>Mar 29, 2022</c:v>
                </c:pt>
                <c:pt idx="751">
                  <c:v>Mar 28, 2022</c:v>
                </c:pt>
                <c:pt idx="752">
                  <c:v>Mar 25, 2022</c:v>
                </c:pt>
                <c:pt idx="753">
                  <c:v>Mar 24, 2022</c:v>
                </c:pt>
                <c:pt idx="754">
                  <c:v>Mar 23, 2022</c:v>
                </c:pt>
                <c:pt idx="755">
                  <c:v>Mar 22, 2022</c:v>
                </c:pt>
                <c:pt idx="756">
                  <c:v>Mar 21, 2022</c:v>
                </c:pt>
                <c:pt idx="757">
                  <c:v>Mar 17, 2022</c:v>
                </c:pt>
                <c:pt idx="758">
                  <c:v>Mar 16, 2022</c:v>
                </c:pt>
                <c:pt idx="759">
                  <c:v>Mar 15, 2022</c:v>
                </c:pt>
                <c:pt idx="760">
                  <c:v>Mar 14, 2022</c:v>
                </c:pt>
                <c:pt idx="761">
                  <c:v>Mar 11, 2022</c:v>
                </c:pt>
                <c:pt idx="762">
                  <c:v>Mar 10, 2022</c:v>
                </c:pt>
                <c:pt idx="763">
                  <c:v>Mar 9, 2022</c:v>
                </c:pt>
                <c:pt idx="764">
                  <c:v>Mar 8, 2022</c:v>
                </c:pt>
                <c:pt idx="765">
                  <c:v>Mar 7, 2022</c:v>
                </c:pt>
                <c:pt idx="766">
                  <c:v>Mar 4, 2022</c:v>
                </c:pt>
                <c:pt idx="767">
                  <c:v>Mar 3, 2022</c:v>
                </c:pt>
                <c:pt idx="768">
                  <c:v>Mar 2, 2022</c:v>
                </c:pt>
                <c:pt idx="769">
                  <c:v>Feb 28, 2022</c:v>
                </c:pt>
                <c:pt idx="770">
                  <c:v>Feb 25, 2022</c:v>
                </c:pt>
                <c:pt idx="771">
                  <c:v>Feb 24, 2022</c:v>
                </c:pt>
                <c:pt idx="772">
                  <c:v>Feb 23, 2022</c:v>
                </c:pt>
                <c:pt idx="773">
                  <c:v>Feb 22, 2022</c:v>
                </c:pt>
                <c:pt idx="774">
                  <c:v>Feb 21, 2022</c:v>
                </c:pt>
                <c:pt idx="775">
                  <c:v>Feb 18, 2022</c:v>
                </c:pt>
                <c:pt idx="776">
                  <c:v>Feb 17, 2022</c:v>
                </c:pt>
                <c:pt idx="777">
                  <c:v>Feb 16, 2022</c:v>
                </c:pt>
                <c:pt idx="778">
                  <c:v>Feb 15, 2022</c:v>
                </c:pt>
                <c:pt idx="779">
                  <c:v>Feb 14, 2022</c:v>
                </c:pt>
                <c:pt idx="780">
                  <c:v>Feb 11, 2022</c:v>
                </c:pt>
                <c:pt idx="781">
                  <c:v>Feb 10, 2022</c:v>
                </c:pt>
                <c:pt idx="782">
                  <c:v>Feb 9, 2022</c:v>
                </c:pt>
                <c:pt idx="783">
                  <c:v>Feb 8, 2022</c:v>
                </c:pt>
                <c:pt idx="784">
                  <c:v>Feb 7, 2022</c:v>
                </c:pt>
                <c:pt idx="785">
                  <c:v>Feb 4, 2022</c:v>
                </c:pt>
                <c:pt idx="786">
                  <c:v>Feb 3, 2022</c:v>
                </c:pt>
                <c:pt idx="787">
                  <c:v>Feb 2, 2022</c:v>
                </c:pt>
                <c:pt idx="788">
                  <c:v>Feb 1, 2022</c:v>
                </c:pt>
                <c:pt idx="789">
                  <c:v>Jan 31, 2022</c:v>
                </c:pt>
                <c:pt idx="790">
                  <c:v>Jan 28, 2022</c:v>
                </c:pt>
                <c:pt idx="791">
                  <c:v>Jan 27, 2022</c:v>
                </c:pt>
                <c:pt idx="792">
                  <c:v>Jan 25, 2022</c:v>
                </c:pt>
                <c:pt idx="793">
                  <c:v>Jan 24, 2022</c:v>
                </c:pt>
                <c:pt idx="794">
                  <c:v>Jan 21, 2022</c:v>
                </c:pt>
                <c:pt idx="795">
                  <c:v>Jan 20, 2022</c:v>
                </c:pt>
                <c:pt idx="796">
                  <c:v>Jan 19, 2022</c:v>
                </c:pt>
                <c:pt idx="797">
                  <c:v>Jan 18, 2022</c:v>
                </c:pt>
                <c:pt idx="798">
                  <c:v>Jan 17, 2022</c:v>
                </c:pt>
                <c:pt idx="799">
                  <c:v>Jan 14, 2022</c:v>
                </c:pt>
                <c:pt idx="800">
                  <c:v>Jan 13, 2022</c:v>
                </c:pt>
                <c:pt idx="801">
                  <c:v>Jan 12, 2022</c:v>
                </c:pt>
                <c:pt idx="802">
                  <c:v>Jan 11, 2022</c:v>
                </c:pt>
                <c:pt idx="803">
                  <c:v>Jan 10, 2022</c:v>
                </c:pt>
                <c:pt idx="804">
                  <c:v>Jan 7, 2022</c:v>
                </c:pt>
                <c:pt idx="805">
                  <c:v>Jan 6, 2022</c:v>
                </c:pt>
                <c:pt idx="806">
                  <c:v>Jan 5, 2022</c:v>
                </c:pt>
                <c:pt idx="807">
                  <c:v>Jan 4, 2022</c:v>
                </c:pt>
                <c:pt idx="808">
                  <c:v>Jan 3, 2022</c:v>
                </c:pt>
                <c:pt idx="809">
                  <c:v>Dec 31, 2021</c:v>
                </c:pt>
                <c:pt idx="810">
                  <c:v>Dec 30, 2021</c:v>
                </c:pt>
                <c:pt idx="811">
                  <c:v>Dec 29, 2021</c:v>
                </c:pt>
                <c:pt idx="812">
                  <c:v>Dec 28, 2021</c:v>
                </c:pt>
                <c:pt idx="813">
                  <c:v>Dec 27, 2021</c:v>
                </c:pt>
                <c:pt idx="814">
                  <c:v>Dec 24, 2021</c:v>
                </c:pt>
                <c:pt idx="815">
                  <c:v>Dec 23, 2021</c:v>
                </c:pt>
                <c:pt idx="816">
                  <c:v>Dec 22, 2021</c:v>
                </c:pt>
                <c:pt idx="817">
                  <c:v>Dec 21, 2021</c:v>
                </c:pt>
                <c:pt idx="818">
                  <c:v>Dec 20, 2021</c:v>
                </c:pt>
                <c:pt idx="819">
                  <c:v>Dec 17, 2021</c:v>
                </c:pt>
                <c:pt idx="820">
                  <c:v>Dec 16, 2021</c:v>
                </c:pt>
                <c:pt idx="821">
                  <c:v>Dec 15, 2021</c:v>
                </c:pt>
                <c:pt idx="822">
                  <c:v>Dec 14, 2021</c:v>
                </c:pt>
                <c:pt idx="823">
                  <c:v>Dec 13, 2021</c:v>
                </c:pt>
                <c:pt idx="824">
                  <c:v>Dec 10, 2021</c:v>
                </c:pt>
                <c:pt idx="825">
                  <c:v>Dec 9, 2021</c:v>
                </c:pt>
                <c:pt idx="826">
                  <c:v>Dec 8, 2021</c:v>
                </c:pt>
                <c:pt idx="827">
                  <c:v>Dec 7, 2021</c:v>
                </c:pt>
                <c:pt idx="828">
                  <c:v>Dec 6, 2021</c:v>
                </c:pt>
                <c:pt idx="829">
                  <c:v>Dec 3, 2021</c:v>
                </c:pt>
                <c:pt idx="830">
                  <c:v>Dec 2, 2021</c:v>
                </c:pt>
                <c:pt idx="831">
                  <c:v>Dec 1, 2021</c:v>
                </c:pt>
                <c:pt idx="832">
                  <c:v>Nov 30, 2021</c:v>
                </c:pt>
                <c:pt idx="833">
                  <c:v>Nov 29, 2021</c:v>
                </c:pt>
                <c:pt idx="834">
                  <c:v>Nov 26, 2021</c:v>
                </c:pt>
                <c:pt idx="835">
                  <c:v>Nov 25, 2021</c:v>
                </c:pt>
                <c:pt idx="836">
                  <c:v>Nov 24, 2021</c:v>
                </c:pt>
                <c:pt idx="837">
                  <c:v>Nov 23, 2021</c:v>
                </c:pt>
                <c:pt idx="838">
                  <c:v>Nov 22, 2021</c:v>
                </c:pt>
                <c:pt idx="839">
                  <c:v>Nov 18, 2021</c:v>
                </c:pt>
                <c:pt idx="840">
                  <c:v>Nov 17, 2021</c:v>
                </c:pt>
                <c:pt idx="841">
                  <c:v>Nov 16, 2021</c:v>
                </c:pt>
                <c:pt idx="842">
                  <c:v>Nov 15, 2021</c:v>
                </c:pt>
                <c:pt idx="843">
                  <c:v>Nov 12, 2021</c:v>
                </c:pt>
                <c:pt idx="844">
                  <c:v>Nov 11, 2021</c:v>
                </c:pt>
                <c:pt idx="845">
                  <c:v>Nov 10, 2021</c:v>
                </c:pt>
                <c:pt idx="846">
                  <c:v>Nov 9, 2021</c:v>
                </c:pt>
                <c:pt idx="847">
                  <c:v>Nov 8, 2021</c:v>
                </c:pt>
                <c:pt idx="848">
                  <c:v>Nov 4, 2021</c:v>
                </c:pt>
                <c:pt idx="849">
                  <c:v>Nov 3, 2021</c:v>
                </c:pt>
                <c:pt idx="850">
                  <c:v>Nov 2, 2021</c:v>
                </c:pt>
                <c:pt idx="851">
                  <c:v>Nov 1, 2021</c:v>
                </c:pt>
                <c:pt idx="852">
                  <c:v>Oct 29, 2021</c:v>
                </c:pt>
                <c:pt idx="853">
                  <c:v>Oct 28, 2021</c:v>
                </c:pt>
                <c:pt idx="854">
                  <c:v>Oct 27, 2021</c:v>
                </c:pt>
                <c:pt idx="855">
                  <c:v>Oct 26, 2021</c:v>
                </c:pt>
                <c:pt idx="856">
                  <c:v>Oct 25, 2021</c:v>
                </c:pt>
                <c:pt idx="857">
                  <c:v>Oct 22, 2021</c:v>
                </c:pt>
                <c:pt idx="858">
                  <c:v>Oct 21, 2021</c:v>
                </c:pt>
                <c:pt idx="859">
                  <c:v>Oct 20, 2021</c:v>
                </c:pt>
                <c:pt idx="860">
                  <c:v>Oct 19, 2021</c:v>
                </c:pt>
                <c:pt idx="861">
                  <c:v>Oct 18, 2021</c:v>
                </c:pt>
                <c:pt idx="862">
                  <c:v>Oct 14, 2021</c:v>
                </c:pt>
                <c:pt idx="863">
                  <c:v>Oct 13, 2021</c:v>
                </c:pt>
                <c:pt idx="864">
                  <c:v>Oct 12, 2021</c:v>
                </c:pt>
                <c:pt idx="865">
                  <c:v>Oct 11, 2021</c:v>
                </c:pt>
                <c:pt idx="866">
                  <c:v>Oct 8, 2021</c:v>
                </c:pt>
                <c:pt idx="867">
                  <c:v>Oct 7, 2021</c:v>
                </c:pt>
                <c:pt idx="868">
                  <c:v>Oct 6, 2021</c:v>
                </c:pt>
                <c:pt idx="869">
                  <c:v>Oct 5, 2021</c:v>
                </c:pt>
                <c:pt idx="870">
                  <c:v>Oct 4, 2021</c:v>
                </c:pt>
                <c:pt idx="871">
                  <c:v>Oct 1, 2021</c:v>
                </c:pt>
                <c:pt idx="872">
                  <c:v>Sep 30, 2021</c:v>
                </c:pt>
                <c:pt idx="873">
                  <c:v>Sep 29, 2021</c:v>
                </c:pt>
                <c:pt idx="874">
                  <c:v>Sep 28, 2021</c:v>
                </c:pt>
                <c:pt idx="875">
                  <c:v>Sep 27, 2021</c:v>
                </c:pt>
                <c:pt idx="876">
                  <c:v>Sep 24, 2021</c:v>
                </c:pt>
                <c:pt idx="877">
                  <c:v>Sep 23, 2021</c:v>
                </c:pt>
                <c:pt idx="878">
                  <c:v>Sep 22, 2021</c:v>
                </c:pt>
                <c:pt idx="879">
                  <c:v>Sep 21, 2021</c:v>
                </c:pt>
                <c:pt idx="880">
                  <c:v>Sep 20, 2021</c:v>
                </c:pt>
                <c:pt idx="881">
                  <c:v>Sep 17, 2021</c:v>
                </c:pt>
                <c:pt idx="882">
                  <c:v>Sep 16, 2021</c:v>
                </c:pt>
                <c:pt idx="883">
                  <c:v>Sep 15, 2021</c:v>
                </c:pt>
                <c:pt idx="884">
                  <c:v>Sep 14, 2021</c:v>
                </c:pt>
                <c:pt idx="885">
                  <c:v>Sep 13, 2021</c:v>
                </c:pt>
                <c:pt idx="886">
                  <c:v>Sep 9, 2021</c:v>
                </c:pt>
                <c:pt idx="887">
                  <c:v>Sep 8, 2021</c:v>
                </c:pt>
                <c:pt idx="888">
                  <c:v>Sep 7, 2021</c:v>
                </c:pt>
                <c:pt idx="889">
                  <c:v>Sep 6, 2021</c:v>
                </c:pt>
                <c:pt idx="890">
                  <c:v>Sep 3, 2021</c:v>
                </c:pt>
                <c:pt idx="891">
                  <c:v>Sep 2, 2021</c:v>
                </c:pt>
                <c:pt idx="892">
                  <c:v>Sep 1, 2021</c:v>
                </c:pt>
                <c:pt idx="893">
                  <c:v>Aug 31, 2021</c:v>
                </c:pt>
                <c:pt idx="894">
                  <c:v>Aug 30, 2021</c:v>
                </c:pt>
                <c:pt idx="895">
                  <c:v>Aug 27, 2021</c:v>
                </c:pt>
                <c:pt idx="896">
                  <c:v>Aug 26, 2021</c:v>
                </c:pt>
                <c:pt idx="897">
                  <c:v>Aug 25, 2021</c:v>
                </c:pt>
                <c:pt idx="898">
                  <c:v>Aug 24, 2021</c:v>
                </c:pt>
                <c:pt idx="899">
                  <c:v>Aug 23, 2021</c:v>
                </c:pt>
                <c:pt idx="900">
                  <c:v>Aug 20, 2021</c:v>
                </c:pt>
                <c:pt idx="901">
                  <c:v>Aug 18, 2021</c:v>
                </c:pt>
                <c:pt idx="902">
                  <c:v>Aug 17, 2021</c:v>
                </c:pt>
                <c:pt idx="903">
                  <c:v>Aug 16, 2021</c:v>
                </c:pt>
                <c:pt idx="904">
                  <c:v>Aug 13, 2021</c:v>
                </c:pt>
                <c:pt idx="905">
                  <c:v>Aug 12, 2021</c:v>
                </c:pt>
                <c:pt idx="906">
                  <c:v>Aug 11, 2021</c:v>
                </c:pt>
                <c:pt idx="907">
                  <c:v>Aug 10, 2021</c:v>
                </c:pt>
                <c:pt idx="908">
                  <c:v>Aug 9, 2021</c:v>
                </c:pt>
                <c:pt idx="909">
                  <c:v>Aug 6, 2021</c:v>
                </c:pt>
                <c:pt idx="910">
                  <c:v>Aug 5, 2021</c:v>
                </c:pt>
                <c:pt idx="911">
                  <c:v>Aug 4, 2021</c:v>
                </c:pt>
                <c:pt idx="912">
                  <c:v>Aug 3, 2021</c:v>
                </c:pt>
                <c:pt idx="913">
                  <c:v>Aug 2, 2021</c:v>
                </c:pt>
                <c:pt idx="914">
                  <c:v>Jul 30, 2021</c:v>
                </c:pt>
                <c:pt idx="915">
                  <c:v>Jul 29, 2021</c:v>
                </c:pt>
                <c:pt idx="916">
                  <c:v>Jul 28, 2021</c:v>
                </c:pt>
                <c:pt idx="917">
                  <c:v>Jul 27, 2021</c:v>
                </c:pt>
                <c:pt idx="918">
                  <c:v>Jul 26, 2021</c:v>
                </c:pt>
                <c:pt idx="919">
                  <c:v>Jul 23, 2021</c:v>
                </c:pt>
                <c:pt idx="920">
                  <c:v>Jul 22, 2021</c:v>
                </c:pt>
                <c:pt idx="921">
                  <c:v>Jul 20, 2021</c:v>
                </c:pt>
                <c:pt idx="922">
                  <c:v>Jul 19, 2021</c:v>
                </c:pt>
                <c:pt idx="923">
                  <c:v>Jul 16, 2021</c:v>
                </c:pt>
                <c:pt idx="924">
                  <c:v>Jul 15, 2021</c:v>
                </c:pt>
                <c:pt idx="925">
                  <c:v>Jul 14, 2021</c:v>
                </c:pt>
                <c:pt idx="926">
                  <c:v>Jul 13, 2021</c:v>
                </c:pt>
                <c:pt idx="927">
                  <c:v>Jul 12, 2021</c:v>
                </c:pt>
                <c:pt idx="928">
                  <c:v>Jul 9, 2021</c:v>
                </c:pt>
                <c:pt idx="929">
                  <c:v>Jul 8, 2021</c:v>
                </c:pt>
                <c:pt idx="930">
                  <c:v>Jul 7, 2021</c:v>
                </c:pt>
                <c:pt idx="931">
                  <c:v>Jul 6, 2021</c:v>
                </c:pt>
                <c:pt idx="932">
                  <c:v>Jul 5, 2021</c:v>
                </c:pt>
                <c:pt idx="933">
                  <c:v>Jul 2, 2021</c:v>
                </c:pt>
                <c:pt idx="934">
                  <c:v>Jul 1, 2021</c:v>
                </c:pt>
                <c:pt idx="935">
                  <c:v>Jun 30, 2021</c:v>
                </c:pt>
                <c:pt idx="936">
                  <c:v>Jun 29, 2021</c:v>
                </c:pt>
                <c:pt idx="937">
                  <c:v>Jun 28, 2021</c:v>
                </c:pt>
                <c:pt idx="938">
                  <c:v>Jun 25, 2021</c:v>
                </c:pt>
                <c:pt idx="939">
                  <c:v>Jun 24, 2021</c:v>
                </c:pt>
                <c:pt idx="940">
                  <c:v>Jun 23, 2021</c:v>
                </c:pt>
                <c:pt idx="941">
                  <c:v>Jun 22, 2021</c:v>
                </c:pt>
                <c:pt idx="942">
                  <c:v>Jun 21, 2021</c:v>
                </c:pt>
                <c:pt idx="943">
                  <c:v>Jun 18, 2021</c:v>
                </c:pt>
                <c:pt idx="944">
                  <c:v>Jun 17, 2021</c:v>
                </c:pt>
                <c:pt idx="945">
                  <c:v>Jun 16, 2021</c:v>
                </c:pt>
                <c:pt idx="946">
                  <c:v>Jun 15, 2021</c:v>
                </c:pt>
                <c:pt idx="947">
                  <c:v>Jun 14, 2021</c:v>
                </c:pt>
                <c:pt idx="948">
                  <c:v>Jun 11, 2021</c:v>
                </c:pt>
                <c:pt idx="949">
                  <c:v>Jun 10, 2021</c:v>
                </c:pt>
                <c:pt idx="950">
                  <c:v>Jun 9, 2021</c:v>
                </c:pt>
                <c:pt idx="951">
                  <c:v>Jun 8, 2021</c:v>
                </c:pt>
                <c:pt idx="952">
                  <c:v>Jun 7, 2021</c:v>
                </c:pt>
                <c:pt idx="953">
                  <c:v>Jun 4, 2021</c:v>
                </c:pt>
                <c:pt idx="954">
                  <c:v>Jun 3, 2021</c:v>
                </c:pt>
                <c:pt idx="955">
                  <c:v>Jun 2, 2021</c:v>
                </c:pt>
                <c:pt idx="956">
                  <c:v>Jun 1, 2021</c:v>
                </c:pt>
                <c:pt idx="957">
                  <c:v>May 31, 2021</c:v>
                </c:pt>
                <c:pt idx="958">
                  <c:v>May 28, 2021</c:v>
                </c:pt>
                <c:pt idx="959">
                  <c:v>May 27, 2021</c:v>
                </c:pt>
                <c:pt idx="960">
                  <c:v>May 26, 2021</c:v>
                </c:pt>
                <c:pt idx="961">
                  <c:v>May 25, 2021</c:v>
                </c:pt>
                <c:pt idx="962">
                  <c:v>May 24, 2021</c:v>
                </c:pt>
                <c:pt idx="963">
                  <c:v>May 21, 2021</c:v>
                </c:pt>
                <c:pt idx="964">
                  <c:v>May 20, 2021</c:v>
                </c:pt>
                <c:pt idx="965">
                  <c:v>May 19, 2021</c:v>
                </c:pt>
                <c:pt idx="966">
                  <c:v>May 18, 2021</c:v>
                </c:pt>
                <c:pt idx="967">
                  <c:v>May 17, 2021</c:v>
                </c:pt>
                <c:pt idx="968">
                  <c:v>May 14, 2021</c:v>
                </c:pt>
                <c:pt idx="969">
                  <c:v>May 12, 2021</c:v>
                </c:pt>
                <c:pt idx="970">
                  <c:v>May 11, 2021</c:v>
                </c:pt>
                <c:pt idx="971">
                  <c:v>May 10, 2021</c:v>
                </c:pt>
                <c:pt idx="972">
                  <c:v>May 7, 2021</c:v>
                </c:pt>
                <c:pt idx="973">
                  <c:v>May 6, 2021</c:v>
                </c:pt>
                <c:pt idx="974">
                  <c:v>May 5, 2021</c:v>
                </c:pt>
                <c:pt idx="975">
                  <c:v>May 4, 2021</c:v>
                </c:pt>
                <c:pt idx="976">
                  <c:v>May 3, 2021</c:v>
                </c:pt>
                <c:pt idx="977">
                  <c:v>Apr 30, 2021</c:v>
                </c:pt>
                <c:pt idx="978">
                  <c:v>Apr 29, 2021</c:v>
                </c:pt>
                <c:pt idx="979">
                  <c:v>Apr 28, 2021</c:v>
                </c:pt>
                <c:pt idx="980">
                  <c:v>Apr 27, 2021</c:v>
                </c:pt>
                <c:pt idx="981">
                  <c:v>Apr 26, 2021</c:v>
                </c:pt>
                <c:pt idx="982">
                  <c:v>Apr 23, 2021</c:v>
                </c:pt>
                <c:pt idx="983">
                  <c:v>Apr 22, 2021</c:v>
                </c:pt>
                <c:pt idx="984">
                  <c:v>Apr 20, 2021</c:v>
                </c:pt>
                <c:pt idx="985">
                  <c:v>Apr 19, 2021</c:v>
                </c:pt>
                <c:pt idx="986">
                  <c:v>Apr 16, 2021</c:v>
                </c:pt>
                <c:pt idx="987">
                  <c:v>Apr 15, 2021</c:v>
                </c:pt>
                <c:pt idx="988">
                  <c:v>Apr 13, 2021</c:v>
                </c:pt>
                <c:pt idx="989">
                  <c:v>Apr 12, 2021</c:v>
                </c:pt>
                <c:pt idx="990">
                  <c:v>Apr 9, 2021</c:v>
                </c:pt>
                <c:pt idx="991">
                  <c:v>Apr 8, 2021</c:v>
                </c:pt>
                <c:pt idx="992">
                  <c:v>Apr 7, 2021</c:v>
                </c:pt>
                <c:pt idx="993">
                  <c:v>Apr 6, 2021</c:v>
                </c:pt>
                <c:pt idx="994">
                  <c:v>Apr 5, 2021</c:v>
                </c:pt>
                <c:pt idx="995">
                  <c:v>Apr 1, 2021</c:v>
                </c:pt>
                <c:pt idx="996">
                  <c:v>Mar 31, 2021</c:v>
                </c:pt>
                <c:pt idx="997">
                  <c:v>Mar 30, 2021</c:v>
                </c:pt>
                <c:pt idx="998">
                  <c:v>Mar 26, 2021</c:v>
                </c:pt>
                <c:pt idx="999">
                  <c:v>Mar 25, 2021</c:v>
                </c:pt>
                <c:pt idx="1000">
                  <c:v>Mar 24, 2021</c:v>
                </c:pt>
                <c:pt idx="1001">
                  <c:v>Mar 23, 2021</c:v>
                </c:pt>
                <c:pt idx="1002">
                  <c:v>Mar 22, 2021</c:v>
                </c:pt>
                <c:pt idx="1003">
                  <c:v>Mar 19, 2021</c:v>
                </c:pt>
                <c:pt idx="1004">
                  <c:v>Mar 18, 2021</c:v>
                </c:pt>
                <c:pt idx="1005">
                  <c:v>Mar 17, 2021</c:v>
                </c:pt>
                <c:pt idx="1006">
                  <c:v>Mar 16, 2021</c:v>
                </c:pt>
                <c:pt idx="1007">
                  <c:v>Mar 15, 2021</c:v>
                </c:pt>
                <c:pt idx="1008">
                  <c:v>Mar 12, 2021</c:v>
                </c:pt>
                <c:pt idx="1009">
                  <c:v>Mar 10, 2021</c:v>
                </c:pt>
                <c:pt idx="1010">
                  <c:v>Mar 9, 2021</c:v>
                </c:pt>
                <c:pt idx="1011">
                  <c:v>Mar 8, 2021</c:v>
                </c:pt>
                <c:pt idx="1012">
                  <c:v>Mar 5, 2021</c:v>
                </c:pt>
                <c:pt idx="1013">
                  <c:v>Mar 4, 2021</c:v>
                </c:pt>
                <c:pt idx="1014">
                  <c:v>Mar 3, 2021</c:v>
                </c:pt>
                <c:pt idx="1015">
                  <c:v>Mar 2, 2021</c:v>
                </c:pt>
                <c:pt idx="1016">
                  <c:v>Mar 1, 2021</c:v>
                </c:pt>
                <c:pt idx="1017">
                  <c:v>Feb 26, 2021</c:v>
                </c:pt>
                <c:pt idx="1018">
                  <c:v>Feb 25, 2021</c:v>
                </c:pt>
                <c:pt idx="1019">
                  <c:v>Feb 24, 2021</c:v>
                </c:pt>
                <c:pt idx="1020">
                  <c:v>Feb 23, 2021</c:v>
                </c:pt>
                <c:pt idx="1021">
                  <c:v>Feb 22, 2021</c:v>
                </c:pt>
                <c:pt idx="1022">
                  <c:v>Feb 19, 2021</c:v>
                </c:pt>
                <c:pt idx="1023">
                  <c:v>Feb 18, 2021</c:v>
                </c:pt>
                <c:pt idx="1024">
                  <c:v>Feb 17, 2021</c:v>
                </c:pt>
                <c:pt idx="1025">
                  <c:v>Feb 16, 2021</c:v>
                </c:pt>
                <c:pt idx="1026">
                  <c:v>Feb 15, 2021</c:v>
                </c:pt>
                <c:pt idx="1027">
                  <c:v>Feb 12, 2021</c:v>
                </c:pt>
                <c:pt idx="1028">
                  <c:v>Feb 11, 2021</c:v>
                </c:pt>
                <c:pt idx="1029">
                  <c:v>Feb 10, 2021</c:v>
                </c:pt>
                <c:pt idx="1030">
                  <c:v>Feb 9, 2021</c:v>
                </c:pt>
                <c:pt idx="1031">
                  <c:v>Feb 8, 2021</c:v>
                </c:pt>
                <c:pt idx="1032">
                  <c:v>Feb 5, 2021</c:v>
                </c:pt>
                <c:pt idx="1033">
                  <c:v>Feb 4, 2021</c:v>
                </c:pt>
                <c:pt idx="1034">
                  <c:v>Feb 3, 2021</c:v>
                </c:pt>
                <c:pt idx="1035">
                  <c:v>Feb 2, 2021</c:v>
                </c:pt>
                <c:pt idx="1036">
                  <c:v>Feb 1, 2021</c:v>
                </c:pt>
                <c:pt idx="1037">
                  <c:v>Jan 29, 2021</c:v>
                </c:pt>
                <c:pt idx="1038">
                  <c:v>Jan 28, 2021</c:v>
                </c:pt>
                <c:pt idx="1039">
                  <c:v>Jan 27, 2021</c:v>
                </c:pt>
                <c:pt idx="1040">
                  <c:v>Jan 25, 2021</c:v>
                </c:pt>
                <c:pt idx="1041">
                  <c:v>Jan 22, 2021</c:v>
                </c:pt>
                <c:pt idx="1042">
                  <c:v>Jan 21, 2021</c:v>
                </c:pt>
                <c:pt idx="1043">
                  <c:v>Jan 20, 2021</c:v>
                </c:pt>
                <c:pt idx="1044">
                  <c:v>Jan 19, 2021</c:v>
                </c:pt>
                <c:pt idx="1045">
                  <c:v>Jan 18, 2021</c:v>
                </c:pt>
                <c:pt idx="1046">
                  <c:v>Jan 15, 2021</c:v>
                </c:pt>
                <c:pt idx="1047">
                  <c:v>Jan 14, 2021</c:v>
                </c:pt>
                <c:pt idx="1048">
                  <c:v>Jan 13, 2021</c:v>
                </c:pt>
                <c:pt idx="1049">
                  <c:v>Jan 12, 2021</c:v>
                </c:pt>
                <c:pt idx="1050">
                  <c:v>Jan 11, 2021</c:v>
                </c:pt>
                <c:pt idx="1051">
                  <c:v>Jan 8, 2021</c:v>
                </c:pt>
                <c:pt idx="1052">
                  <c:v>Jan 7, 2021</c:v>
                </c:pt>
                <c:pt idx="1053">
                  <c:v>Jan 6, 2021</c:v>
                </c:pt>
                <c:pt idx="1054">
                  <c:v>Jan 5, 2021</c:v>
                </c:pt>
                <c:pt idx="1055">
                  <c:v>Jan 4, 2021</c:v>
                </c:pt>
                <c:pt idx="1056">
                  <c:v>Jan 1, 2021</c:v>
                </c:pt>
                <c:pt idx="1057">
                  <c:v>Dec 31, 2020</c:v>
                </c:pt>
                <c:pt idx="1058">
                  <c:v>Dec 30, 2020</c:v>
                </c:pt>
                <c:pt idx="1059">
                  <c:v>Dec 29, 2020</c:v>
                </c:pt>
                <c:pt idx="1060">
                  <c:v>Dec 28, 2020</c:v>
                </c:pt>
                <c:pt idx="1061">
                  <c:v>Dec 24, 2020</c:v>
                </c:pt>
                <c:pt idx="1062">
                  <c:v>Dec 23, 2020</c:v>
                </c:pt>
                <c:pt idx="1063">
                  <c:v>Dec 22, 2020</c:v>
                </c:pt>
                <c:pt idx="1064">
                  <c:v>Dec 21, 2020</c:v>
                </c:pt>
                <c:pt idx="1065">
                  <c:v>Dec 18, 2020</c:v>
                </c:pt>
                <c:pt idx="1066">
                  <c:v>Dec 17, 2020</c:v>
                </c:pt>
                <c:pt idx="1067">
                  <c:v>Dec 16, 2020</c:v>
                </c:pt>
                <c:pt idx="1068">
                  <c:v>Dec 15, 2020</c:v>
                </c:pt>
                <c:pt idx="1069">
                  <c:v>Dec 14, 2020</c:v>
                </c:pt>
                <c:pt idx="1070">
                  <c:v>Dec 11, 2020</c:v>
                </c:pt>
                <c:pt idx="1071">
                  <c:v>Dec 10, 2020</c:v>
                </c:pt>
                <c:pt idx="1072">
                  <c:v>Dec 9, 2020</c:v>
                </c:pt>
                <c:pt idx="1073">
                  <c:v>Dec 8, 2020</c:v>
                </c:pt>
                <c:pt idx="1074">
                  <c:v>Dec 7, 2020</c:v>
                </c:pt>
                <c:pt idx="1075">
                  <c:v>Dec 4, 2020</c:v>
                </c:pt>
                <c:pt idx="1076">
                  <c:v>Dec 3, 2020</c:v>
                </c:pt>
                <c:pt idx="1077">
                  <c:v>Dec 2, 2020</c:v>
                </c:pt>
                <c:pt idx="1078">
                  <c:v>Dec 1, 2020</c:v>
                </c:pt>
                <c:pt idx="1079">
                  <c:v>Nov 27, 2020</c:v>
                </c:pt>
                <c:pt idx="1080">
                  <c:v>Nov 26, 2020</c:v>
                </c:pt>
                <c:pt idx="1081">
                  <c:v>Nov 25, 2020</c:v>
                </c:pt>
                <c:pt idx="1082">
                  <c:v>Nov 24, 2020</c:v>
                </c:pt>
                <c:pt idx="1083">
                  <c:v>Nov 23, 2020</c:v>
                </c:pt>
                <c:pt idx="1084">
                  <c:v>Nov 20, 2020</c:v>
                </c:pt>
                <c:pt idx="1085">
                  <c:v>Nov 19, 2020</c:v>
                </c:pt>
                <c:pt idx="1086">
                  <c:v>Nov 18, 2020</c:v>
                </c:pt>
                <c:pt idx="1087">
                  <c:v>Nov 17, 2020</c:v>
                </c:pt>
                <c:pt idx="1088">
                  <c:v>Nov 14, 2020</c:v>
                </c:pt>
                <c:pt idx="1089">
                  <c:v>Nov 13, 2020</c:v>
                </c:pt>
                <c:pt idx="1090">
                  <c:v>Nov 12, 2020</c:v>
                </c:pt>
                <c:pt idx="1091">
                  <c:v>Nov 11, 2020</c:v>
                </c:pt>
                <c:pt idx="1092">
                  <c:v>Nov 10, 2020</c:v>
                </c:pt>
                <c:pt idx="1093">
                  <c:v>Nov 9, 2020</c:v>
                </c:pt>
                <c:pt idx="1094">
                  <c:v>Nov 6, 2020</c:v>
                </c:pt>
                <c:pt idx="1095">
                  <c:v>Nov 5, 2020</c:v>
                </c:pt>
                <c:pt idx="1096">
                  <c:v>Nov 4, 2020</c:v>
                </c:pt>
                <c:pt idx="1097">
                  <c:v>Nov 3, 2020</c:v>
                </c:pt>
                <c:pt idx="1098">
                  <c:v>Nov 2, 2020</c:v>
                </c:pt>
                <c:pt idx="1099">
                  <c:v>Oct 30, 2020</c:v>
                </c:pt>
                <c:pt idx="1100">
                  <c:v>Oct 29, 2020</c:v>
                </c:pt>
                <c:pt idx="1101">
                  <c:v>Oct 28, 2020</c:v>
                </c:pt>
                <c:pt idx="1102">
                  <c:v>Oct 27, 2020</c:v>
                </c:pt>
                <c:pt idx="1103">
                  <c:v>Oct 26, 2020</c:v>
                </c:pt>
                <c:pt idx="1104">
                  <c:v>Oct 23, 2020</c:v>
                </c:pt>
                <c:pt idx="1105">
                  <c:v>Oct 22, 2020</c:v>
                </c:pt>
                <c:pt idx="1106">
                  <c:v>Oct 21, 2020</c:v>
                </c:pt>
                <c:pt idx="1107">
                  <c:v>Oct 20, 2020</c:v>
                </c:pt>
                <c:pt idx="1108">
                  <c:v>Oct 19, 2020</c:v>
                </c:pt>
                <c:pt idx="1109">
                  <c:v>Oct 16, 2020</c:v>
                </c:pt>
                <c:pt idx="1110">
                  <c:v>Oct 15, 2020</c:v>
                </c:pt>
                <c:pt idx="1111">
                  <c:v>Oct 14, 2020</c:v>
                </c:pt>
                <c:pt idx="1112">
                  <c:v>Oct 13, 2020</c:v>
                </c:pt>
                <c:pt idx="1113">
                  <c:v>Oct 12, 2020</c:v>
                </c:pt>
                <c:pt idx="1114">
                  <c:v>Oct 9, 2020</c:v>
                </c:pt>
                <c:pt idx="1115">
                  <c:v>Oct 8, 2020</c:v>
                </c:pt>
                <c:pt idx="1116">
                  <c:v>Oct 7, 2020</c:v>
                </c:pt>
                <c:pt idx="1117">
                  <c:v>Oct 6, 2020</c:v>
                </c:pt>
                <c:pt idx="1118">
                  <c:v>Oct 5, 2020</c:v>
                </c:pt>
                <c:pt idx="1119">
                  <c:v>Oct 1, 2020</c:v>
                </c:pt>
                <c:pt idx="1120">
                  <c:v>Sep 30, 2020</c:v>
                </c:pt>
                <c:pt idx="1121">
                  <c:v>Sep 29, 2020</c:v>
                </c:pt>
                <c:pt idx="1122">
                  <c:v>Sep 28, 2020</c:v>
                </c:pt>
                <c:pt idx="1123">
                  <c:v>Sep 25, 2020</c:v>
                </c:pt>
                <c:pt idx="1124">
                  <c:v>Sep 24, 2020</c:v>
                </c:pt>
                <c:pt idx="1125">
                  <c:v>Sep 23, 2020</c:v>
                </c:pt>
                <c:pt idx="1126">
                  <c:v>Sep 22, 2020</c:v>
                </c:pt>
                <c:pt idx="1127">
                  <c:v>Sep 21, 2020</c:v>
                </c:pt>
                <c:pt idx="1128">
                  <c:v>Sep 18, 2020</c:v>
                </c:pt>
                <c:pt idx="1129">
                  <c:v>Sep 17, 2020</c:v>
                </c:pt>
                <c:pt idx="1130">
                  <c:v>Sep 16, 2020</c:v>
                </c:pt>
                <c:pt idx="1131">
                  <c:v>Sep 15, 2020</c:v>
                </c:pt>
                <c:pt idx="1132">
                  <c:v>Sep 14, 2020</c:v>
                </c:pt>
                <c:pt idx="1133">
                  <c:v>Sep 11, 2020</c:v>
                </c:pt>
                <c:pt idx="1134">
                  <c:v>Sep 10, 2020</c:v>
                </c:pt>
                <c:pt idx="1135">
                  <c:v>Sep 9, 2020</c:v>
                </c:pt>
                <c:pt idx="1136">
                  <c:v>Sep 8, 2020</c:v>
                </c:pt>
                <c:pt idx="1137">
                  <c:v>Sep 7, 2020</c:v>
                </c:pt>
                <c:pt idx="1138">
                  <c:v>Sep 4, 2020</c:v>
                </c:pt>
                <c:pt idx="1139">
                  <c:v>Sep 3, 2020</c:v>
                </c:pt>
                <c:pt idx="1140">
                  <c:v>Sep 2, 2020</c:v>
                </c:pt>
                <c:pt idx="1141">
                  <c:v>Sep 1, 2020</c:v>
                </c:pt>
                <c:pt idx="1142">
                  <c:v>Aug 31, 2020</c:v>
                </c:pt>
                <c:pt idx="1143">
                  <c:v>Aug 28, 2020</c:v>
                </c:pt>
                <c:pt idx="1144">
                  <c:v>Aug 27, 2020</c:v>
                </c:pt>
                <c:pt idx="1145">
                  <c:v>Aug 26, 2020</c:v>
                </c:pt>
                <c:pt idx="1146">
                  <c:v>Aug 25, 2020</c:v>
                </c:pt>
                <c:pt idx="1147">
                  <c:v>Aug 24, 2020</c:v>
                </c:pt>
                <c:pt idx="1148">
                  <c:v>Aug 21, 2020</c:v>
                </c:pt>
                <c:pt idx="1149">
                  <c:v>Aug 20, 2020</c:v>
                </c:pt>
                <c:pt idx="1150">
                  <c:v>Aug 19, 2020</c:v>
                </c:pt>
                <c:pt idx="1151">
                  <c:v>Aug 18, 2020</c:v>
                </c:pt>
                <c:pt idx="1152">
                  <c:v>Aug 17, 2020</c:v>
                </c:pt>
                <c:pt idx="1153">
                  <c:v>Aug 14, 2020</c:v>
                </c:pt>
                <c:pt idx="1154">
                  <c:v>Aug 13, 2020</c:v>
                </c:pt>
                <c:pt idx="1155">
                  <c:v>Aug 12, 2020</c:v>
                </c:pt>
                <c:pt idx="1156">
                  <c:v>Aug 11, 2020</c:v>
                </c:pt>
                <c:pt idx="1157">
                  <c:v>Aug 10, 2020</c:v>
                </c:pt>
                <c:pt idx="1158">
                  <c:v>Aug 7, 2020</c:v>
                </c:pt>
                <c:pt idx="1159">
                  <c:v>Aug 6, 2020</c:v>
                </c:pt>
                <c:pt idx="1160">
                  <c:v>Aug 5, 2020</c:v>
                </c:pt>
                <c:pt idx="1161">
                  <c:v>Aug 4, 2020</c:v>
                </c:pt>
                <c:pt idx="1162">
                  <c:v>Aug 3, 2020</c:v>
                </c:pt>
                <c:pt idx="1163">
                  <c:v>Jul 31, 2020</c:v>
                </c:pt>
                <c:pt idx="1164">
                  <c:v>Jul 30, 2020</c:v>
                </c:pt>
                <c:pt idx="1165">
                  <c:v>Jul 29, 2020</c:v>
                </c:pt>
                <c:pt idx="1166">
                  <c:v>Jul 28, 2020</c:v>
                </c:pt>
                <c:pt idx="1167">
                  <c:v>Jul 27, 2020</c:v>
                </c:pt>
                <c:pt idx="1168">
                  <c:v>Jul 24, 2020</c:v>
                </c:pt>
                <c:pt idx="1169">
                  <c:v>Jul 23, 2020</c:v>
                </c:pt>
                <c:pt idx="1170">
                  <c:v>Jul 22, 2020</c:v>
                </c:pt>
                <c:pt idx="1171">
                  <c:v>Jul 21, 2020</c:v>
                </c:pt>
                <c:pt idx="1172">
                  <c:v>Jul 20, 2020</c:v>
                </c:pt>
                <c:pt idx="1173">
                  <c:v>Jul 17, 2020</c:v>
                </c:pt>
                <c:pt idx="1174">
                  <c:v>Jul 16, 2020</c:v>
                </c:pt>
                <c:pt idx="1175">
                  <c:v>Jul 15, 2020</c:v>
                </c:pt>
                <c:pt idx="1176">
                  <c:v>Jul 14, 2020</c:v>
                </c:pt>
                <c:pt idx="1177">
                  <c:v>Jul 13, 2020</c:v>
                </c:pt>
                <c:pt idx="1178">
                  <c:v>Jul 10, 2020</c:v>
                </c:pt>
                <c:pt idx="1179">
                  <c:v>Jul 9, 2020</c:v>
                </c:pt>
                <c:pt idx="1180">
                  <c:v>Jul 8, 2020</c:v>
                </c:pt>
                <c:pt idx="1181">
                  <c:v>Jul 7, 2020</c:v>
                </c:pt>
                <c:pt idx="1182">
                  <c:v>Jul 6, 2020</c:v>
                </c:pt>
                <c:pt idx="1183">
                  <c:v>Jul 3, 2020</c:v>
                </c:pt>
                <c:pt idx="1184">
                  <c:v>Jul 2, 2020</c:v>
                </c:pt>
                <c:pt idx="1185">
                  <c:v>Jul 1, 2020</c:v>
                </c:pt>
                <c:pt idx="1186">
                  <c:v>Jun 30, 2020</c:v>
                </c:pt>
                <c:pt idx="1187">
                  <c:v>Jun 29, 2020</c:v>
                </c:pt>
                <c:pt idx="1188">
                  <c:v>Jun 26, 2020</c:v>
                </c:pt>
                <c:pt idx="1189">
                  <c:v>Jun 25, 2020</c:v>
                </c:pt>
                <c:pt idx="1190">
                  <c:v>Jun 24, 2020</c:v>
                </c:pt>
                <c:pt idx="1191">
                  <c:v>Jun 23, 2020</c:v>
                </c:pt>
                <c:pt idx="1192">
                  <c:v>Jun 22, 2020</c:v>
                </c:pt>
                <c:pt idx="1193">
                  <c:v>Jun 19, 2020</c:v>
                </c:pt>
                <c:pt idx="1194">
                  <c:v>Jun 18, 2020</c:v>
                </c:pt>
                <c:pt idx="1195">
                  <c:v>Jun 17, 2020</c:v>
                </c:pt>
                <c:pt idx="1196">
                  <c:v>Jun 16, 2020</c:v>
                </c:pt>
                <c:pt idx="1197">
                  <c:v>Jun 15, 2020</c:v>
                </c:pt>
                <c:pt idx="1198">
                  <c:v>Jun 12, 2020</c:v>
                </c:pt>
                <c:pt idx="1199">
                  <c:v>Jun 11, 2020</c:v>
                </c:pt>
                <c:pt idx="1200">
                  <c:v>Jun 10, 2020</c:v>
                </c:pt>
                <c:pt idx="1201">
                  <c:v>Jun 9, 2020</c:v>
                </c:pt>
                <c:pt idx="1202">
                  <c:v>Jun 8, 2020</c:v>
                </c:pt>
                <c:pt idx="1203">
                  <c:v>Jun 5, 2020</c:v>
                </c:pt>
                <c:pt idx="1204">
                  <c:v>Jun 4, 2020</c:v>
                </c:pt>
                <c:pt idx="1205">
                  <c:v>Jun 3, 2020</c:v>
                </c:pt>
                <c:pt idx="1206">
                  <c:v>Jun 2, 2020</c:v>
                </c:pt>
                <c:pt idx="1207">
                  <c:v>Jun 1, 2020</c:v>
                </c:pt>
                <c:pt idx="1208">
                  <c:v>May 29, 2020</c:v>
                </c:pt>
                <c:pt idx="1209">
                  <c:v>May 28, 2020</c:v>
                </c:pt>
                <c:pt idx="1210">
                  <c:v>May 27, 2020</c:v>
                </c:pt>
                <c:pt idx="1211">
                  <c:v>May 26, 2020</c:v>
                </c:pt>
                <c:pt idx="1212">
                  <c:v>May 22, 2020</c:v>
                </c:pt>
                <c:pt idx="1213">
                  <c:v>May 21, 2020</c:v>
                </c:pt>
                <c:pt idx="1214">
                  <c:v>May 20, 2020</c:v>
                </c:pt>
                <c:pt idx="1215">
                  <c:v>May 19, 2020</c:v>
                </c:pt>
                <c:pt idx="1216">
                  <c:v>May 18, 2020</c:v>
                </c:pt>
                <c:pt idx="1217">
                  <c:v>May 15, 2020</c:v>
                </c:pt>
                <c:pt idx="1218">
                  <c:v>May 14, 2020</c:v>
                </c:pt>
                <c:pt idx="1219">
                  <c:v>May 13, 2020</c:v>
                </c:pt>
                <c:pt idx="1220">
                  <c:v>May 12, 2020</c:v>
                </c:pt>
                <c:pt idx="1221">
                  <c:v>May 11, 2020</c:v>
                </c:pt>
                <c:pt idx="1222">
                  <c:v>May 8, 2020</c:v>
                </c:pt>
                <c:pt idx="1223">
                  <c:v>May 7, 2020</c:v>
                </c:pt>
                <c:pt idx="1224">
                  <c:v>May 6, 2020</c:v>
                </c:pt>
                <c:pt idx="1225">
                  <c:v>May 5, 2020</c:v>
                </c:pt>
                <c:pt idx="1226">
                  <c:v>May 4, 2020</c:v>
                </c:pt>
                <c:pt idx="1227">
                  <c:v>Apr 30, 2020</c:v>
                </c:pt>
                <c:pt idx="1228">
                  <c:v>Apr 29, 2020</c:v>
                </c:pt>
                <c:pt idx="1229">
                  <c:v>Apr 28, 2020</c:v>
                </c:pt>
                <c:pt idx="1230">
                  <c:v>Apr 27, 2020</c:v>
                </c:pt>
                <c:pt idx="1231">
                  <c:v>Apr 24, 2020</c:v>
                </c:pt>
                <c:pt idx="1232">
                  <c:v>Apr 23, 2020</c:v>
                </c:pt>
                <c:pt idx="1233">
                  <c:v>Apr 22, 2020</c:v>
                </c:pt>
                <c:pt idx="1234">
                  <c:v>Apr 21, 2020</c:v>
                </c:pt>
                <c:pt idx="1235">
                  <c:v>Apr 20, 2020</c:v>
                </c:pt>
                <c:pt idx="1236">
                  <c:v>Apr 17, 2020</c:v>
                </c:pt>
                <c:pt idx="1237">
                  <c:v>Apr 16, 2020</c:v>
                </c:pt>
                <c:pt idx="1238">
                  <c:v>Apr 15, 2020</c:v>
                </c:pt>
                <c:pt idx="1239">
                  <c:v>Apr 13, 2020</c:v>
                </c:pt>
              </c:strCache>
            </c:strRef>
          </c:cat>
          <c:val>
            <c:numRef>
              <c:f>'[1]yahoo-2025-04-12'!$B$2:$B$1241</c:f>
              <c:numCache>
                <c:formatCode>General</c:formatCode>
                <c:ptCount val="1240"/>
                <c:pt idx="0">
                  <c:v>421.55</c:v>
                </c:pt>
                <c:pt idx="1">
                  <c:v>416.3</c:v>
                </c:pt>
                <c:pt idx="2">
                  <c:v>412.55</c:v>
                </c:pt>
                <c:pt idx="3">
                  <c:v>406.05</c:v>
                </c:pt>
                <c:pt idx="4">
                  <c:v>409.7</c:v>
                </c:pt>
                <c:pt idx="5">
                  <c:v>409.4</c:v>
                </c:pt>
                <c:pt idx="6">
                  <c:v>409.05</c:v>
                </c:pt>
                <c:pt idx="7">
                  <c:v>406.65</c:v>
                </c:pt>
                <c:pt idx="8">
                  <c:v>409.75</c:v>
                </c:pt>
                <c:pt idx="9">
                  <c:v>409.45</c:v>
                </c:pt>
                <c:pt idx="10">
                  <c:v>407.35</c:v>
                </c:pt>
                <c:pt idx="11">
                  <c:v>409.8</c:v>
                </c:pt>
                <c:pt idx="12">
                  <c:v>410.9</c:v>
                </c:pt>
                <c:pt idx="13">
                  <c:v>405.55</c:v>
                </c:pt>
                <c:pt idx="14">
                  <c:v>403.95</c:v>
                </c:pt>
                <c:pt idx="15">
                  <c:v>403.05</c:v>
                </c:pt>
                <c:pt idx="16">
                  <c:v>407.95</c:v>
                </c:pt>
                <c:pt idx="17">
                  <c:v>407.95</c:v>
                </c:pt>
                <c:pt idx="18">
                  <c:v>412.05</c:v>
                </c:pt>
                <c:pt idx="19">
                  <c:v>412.4</c:v>
                </c:pt>
                <c:pt idx="20">
                  <c:v>406.2</c:v>
                </c:pt>
                <c:pt idx="21">
                  <c:v>405</c:v>
                </c:pt>
                <c:pt idx="22">
                  <c:v>403.9</c:v>
                </c:pt>
                <c:pt idx="23">
                  <c:v>405.7</c:v>
                </c:pt>
                <c:pt idx="24">
                  <c:v>405.05</c:v>
                </c:pt>
                <c:pt idx="25">
                  <c:v>394.85</c:v>
                </c:pt>
                <c:pt idx="26">
                  <c:v>397.45</c:v>
                </c:pt>
                <c:pt idx="27">
                  <c:v>395</c:v>
                </c:pt>
                <c:pt idx="28">
                  <c:v>401.6</c:v>
                </c:pt>
                <c:pt idx="29">
                  <c:v>404.85</c:v>
                </c:pt>
                <c:pt idx="30">
                  <c:v>401.9</c:v>
                </c:pt>
                <c:pt idx="31">
                  <c:v>400.9</c:v>
                </c:pt>
                <c:pt idx="32">
                  <c:v>402.05</c:v>
                </c:pt>
                <c:pt idx="33">
                  <c:v>406.4</c:v>
                </c:pt>
                <c:pt idx="34">
                  <c:v>405.25</c:v>
                </c:pt>
                <c:pt idx="35">
                  <c:v>408.6</c:v>
                </c:pt>
                <c:pt idx="36">
                  <c:v>410.25</c:v>
                </c:pt>
                <c:pt idx="37">
                  <c:v>409.7</c:v>
                </c:pt>
                <c:pt idx="38">
                  <c:v>409.9</c:v>
                </c:pt>
                <c:pt idx="39">
                  <c:v>411.8</c:v>
                </c:pt>
                <c:pt idx="40">
                  <c:v>420.56</c:v>
                </c:pt>
                <c:pt idx="41">
                  <c:v>424.15</c:v>
                </c:pt>
                <c:pt idx="42">
                  <c:v>434.25</c:v>
                </c:pt>
                <c:pt idx="43">
                  <c:v>441.19</c:v>
                </c:pt>
                <c:pt idx="44">
                  <c:v>448.08</c:v>
                </c:pt>
                <c:pt idx="45">
                  <c:v>447.29</c:v>
                </c:pt>
                <c:pt idx="46">
                  <c:v>455.36</c:v>
                </c:pt>
                <c:pt idx="47">
                  <c:v>440.55</c:v>
                </c:pt>
                <c:pt idx="48">
                  <c:v>429.42</c:v>
                </c:pt>
                <c:pt idx="49">
                  <c:v>426.62</c:v>
                </c:pt>
                <c:pt idx="50">
                  <c:v>428.68</c:v>
                </c:pt>
                <c:pt idx="51">
                  <c:v>433.26</c:v>
                </c:pt>
                <c:pt idx="52">
                  <c:v>434.74</c:v>
                </c:pt>
                <c:pt idx="53">
                  <c:v>433.36</c:v>
                </c:pt>
                <c:pt idx="54">
                  <c:v>430.21</c:v>
                </c:pt>
                <c:pt idx="55">
                  <c:v>430.75</c:v>
                </c:pt>
                <c:pt idx="56">
                  <c:v>430.9</c:v>
                </c:pt>
                <c:pt idx="57">
                  <c:v>433.36</c:v>
                </c:pt>
                <c:pt idx="58">
                  <c:v>426.12</c:v>
                </c:pt>
                <c:pt idx="59">
                  <c:v>430.55</c:v>
                </c:pt>
                <c:pt idx="60">
                  <c:v>429.82</c:v>
                </c:pt>
                <c:pt idx="61">
                  <c:v>432.23</c:v>
                </c:pt>
                <c:pt idx="62">
                  <c:v>437.99</c:v>
                </c:pt>
                <c:pt idx="63">
                  <c:v>443.11</c:v>
                </c:pt>
                <c:pt idx="64">
                  <c:v>442.56</c:v>
                </c:pt>
                <c:pt idx="65">
                  <c:v>434.25</c:v>
                </c:pt>
                <c:pt idx="66">
                  <c:v>435.77</c:v>
                </c:pt>
                <c:pt idx="67">
                  <c:v>474.12</c:v>
                </c:pt>
                <c:pt idx="68">
                  <c:v>481.45</c:v>
                </c:pt>
                <c:pt idx="69">
                  <c:v>476.43</c:v>
                </c:pt>
                <c:pt idx="70">
                  <c:v>476.13</c:v>
                </c:pt>
                <c:pt idx="71">
                  <c:v>469.59</c:v>
                </c:pt>
                <c:pt idx="72">
                  <c:v>471.16</c:v>
                </c:pt>
                <c:pt idx="73">
                  <c:v>469.54</c:v>
                </c:pt>
                <c:pt idx="74">
                  <c:v>471.02</c:v>
                </c:pt>
                <c:pt idx="75">
                  <c:v>466.88</c:v>
                </c:pt>
                <c:pt idx="76">
                  <c:v>457.43</c:v>
                </c:pt>
                <c:pt idx="77">
                  <c:v>459.3</c:v>
                </c:pt>
                <c:pt idx="78">
                  <c:v>463.19</c:v>
                </c:pt>
                <c:pt idx="79">
                  <c:v>462.25</c:v>
                </c:pt>
                <c:pt idx="80">
                  <c:v>462.8</c:v>
                </c:pt>
                <c:pt idx="81">
                  <c:v>462.7</c:v>
                </c:pt>
                <c:pt idx="82">
                  <c:v>453.44</c:v>
                </c:pt>
                <c:pt idx="83">
                  <c:v>458.02</c:v>
                </c:pt>
                <c:pt idx="84">
                  <c:v>458.22</c:v>
                </c:pt>
                <c:pt idx="85">
                  <c:v>457.73</c:v>
                </c:pt>
                <c:pt idx="86">
                  <c:v>463.83</c:v>
                </c:pt>
                <c:pt idx="87">
                  <c:v>460.24</c:v>
                </c:pt>
                <c:pt idx="88">
                  <c:v>459.84</c:v>
                </c:pt>
                <c:pt idx="89">
                  <c:v>465.21</c:v>
                </c:pt>
                <c:pt idx="90">
                  <c:v>469.78</c:v>
                </c:pt>
                <c:pt idx="91">
                  <c:v>469.34</c:v>
                </c:pt>
                <c:pt idx="92">
                  <c:v>467.52</c:v>
                </c:pt>
                <c:pt idx="93">
                  <c:v>469.54</c:v>
                </c:pt>
                <c:pt idx="94">
                  <c:v>469.59</c:v>
                </c:pt>
                <c:pt idx="95">
                  <c:v>469.39</c:v>
                </c:pt>
                <c:pt idx="96">
                  <c:v>467.27</c:v>
                </c:pt>
                <c:pt idx="97">
                  <c:v>450.05</c:v>
                </c:pt>
                <c:pt idx="98">
                  <c:v>460.09</c:v>
                </c:pt>
                <c:pt idx="99">
                  <c:v>459.3</c:v>
                </c:pt>
                <c:pt idx="100">
                  <c:v>458.71</c:v>
                </c:pt>
                <c:pt idx="101">
                  <c:v>464.86</c:v>
                </c:pt>
                <c:pt idx="102">
                  <c:v>465.5</c:v>
                </c:pt>
                <c:pt idx="103">
                  <c:v>469.54</c:v>
                </c:pt>
                <c:pt idx="104">
                  <c:v>470.62</c:v>
                </c:pt>
                <c:pt idx="105">
                  <c:v>470.47</c:v>
                </c:pt>
                <c:pt idx="106">
                  <c:v>473.62</c:v>
                </c:pt>
                <c:pt idx="107">
                  <c:v>472.74</c:v>
                </c:pt>
                <c:pt idx="108">
                  <c:v>477.07</c:v>
                </c:pt>
                <c:pt idx="109">
                  <c:v>482.68</c:v>
                </c:pt>
                <c:pt idx="110">
                  <c:v>481.2</c:v>
                </c:pt>
                <c:pt idx="111">
                  <c:v>483.91</c:v>
                </c:pt>
                <c:pt idx="112">
                  <c:v>480.37</c:v>
                </c:pt>
                <c:pt idx="113">
                  <c:v>476.63</c:v>
                </c:pt>
                <c:pt idx="114">
                  <c:v>474.81</c:v>
                </c:pt>
                <c:pt idx="115">
                  <c:v>464.37</c:v>
                </c:pt>
                <c:pt idx="116">
                  <c:v>472.89</c:v>
                </c:pt>
                <c:pt idx="117">
                  <c:v>474.31</c:v>
                </c:pt>
                <c:pt idx="118">
                  <c:v>476.13</c:v>
                </c:pt>
                <c:pt idx="119">
                  <c:v>479.14</c:v>
                </c:pt>
                <c:pt idx="120">
                  <c:v>481.3</c:v>
                </c:pt>
                <c:pt idx="121">
                  <c:v>485.54</c:v>
                </c:pt>
                <c:pt idx="122">
                  <c:v>490.8</c:v>
                </c:pt>
                <c:pt idx="123">
                  <c:v>489.23</c:v>
                </c:pt>
                <c:pt idx="124">
                  <c:v>480.61</c:v>
                </c:pt>
                <c:pt idx="125">
                  <c:v>484.4</c:v>
                </c:pt>
                <c:pt idx="126">
                  <c:v>484.06</c:v>
                </c:pt>
                <c:pt idx="127">
                  <c:v>500.06</c:v>
                </c:pt>
                <c:pt idx="128">
                  <c:v>502.27</c:v>
                </c:pt>
                <c:pt idx="129">
                  <c:v>495.73</c:v>
                </c:pt>
                <c:pt idx="130">
                  <c:v>504.78</c:v>
                </c:pt>
                <c:pt idx="131">
                  <c:v>508.18</c:v>
                </c:pt>
                <c:pt idx="132">
                  <c:v>510.1</c:v>
                </c:pt>
                <c:pt idx="133">
                  <c:v>514.58000000000004</c:v>
                </c:pt>
                <c:pt idx="134">
                  <c:v>514.63</c:v>
                </c:pt>
                <c:pt idx="135">
                  <c:v>509.51</c:v>
                </c:pt>
                <c:pt idx="136">
                  <c:v>507.24</c:v>
                </c:pt>
                <c:pt idx="137">
                  <c:v>508.92</c:v>
                </c:pt>
                <c:pt idx="138">
                  <c:v>506.41</c:v>
                </c:pt>
                <c:pt idx="139">
                  <c:v>500.35</c:v>
                </c:pt>
                <c:pt idx="140">
                  <c:v>499.47</c:v>
                </c:pt>
                <c:pt idx="141">
                  <c:v>499.86</c:v>
                </c:pt>
                <c:pt idx="142">
                  <c:v>503.16</c:v>
                </c:pt>
                <c:pt idx="143">
                  <c:v>505.87</c:v>
                </c:pt>
                <c:pt idx="144">
                  <c:v>511.43</c:v>
                </c:pt>
                <c:pt idx="145">
                  <c:v>506.36</c:v>
                </c:pt>
                <c:pt idx="146">
                  <c:v>505.62</c:v>
                </c:pt>
                <c:pt idx="147">
                  <c:v>503.8</c:v>
                </c:pt>
                <c:pt idx="148">
                  <c:v>493.9</c:v>
                </c:pt>
                <c:pt idx="149">
                  <c:v>503.26</c:v>
                </c:pt>
                <c:pt idx="150">
                  <c:v>498.48</c:v>
                </c:pt>
                <c:pt idx="151">
                  <c:v>501.48</c:v>
                </c:pt>
                <c:pt idx="152">
                  <c:v>502.12</c:v>
                </c:pt>
                <c:pt idx="153">
                  <c:v>494.1</c:v>
                </c:pt>
                <c:pt idx="154">
                  <c:v>497.25</c:v>
                </c:pt>
                <c:pt idx="155">
                  <c:v>489.57</c:v>
                </c:pt>
                <c:pt idx="156">
                  <c:v>492.82</c:v>
                </c:pt>
                <c:pt idx="157">
                  <c:v>497.84</c:v>
                </c:pt>
                <c:pt idx="158">
                  <c:v>497.94</c:v>
                </c:pt>
                <c:pt idx="159">
                  <c:v>496.71</c:v>
                </c:pt>
                <c:pt idx="160">
                  <c:v>497.55</c:v>
                </c:pt>
                <c:pt idx="161">
                  <c:v>491.05</c:v>
                </c:pt>
                <c:pt idx="162">
                  <c:v>493.66</c:v>
                </c:pt>
                <c:pt idx="163">
                  <c:v>494.84</c:v>
                </c:pt>
                <c:pt idx="164">
                  <c:v>484.55</c:v>
                </c:pt>
                <c:pt idx="165">
                  <c:v>482.39</c:v>
                </c:pt>
                <c:pt idx="166">
                  <c:v>486.91</c:v>
                </c:pt>
                <c:pt idx="167">
                  <c:v>488.19</c:v>
                </c:pt>
                <c:pt idx="168">
                  <c:v>487.06</c:v>
                </c:pt>
                <c:pt idx="169">
                  <c:v>484.99</c:v>
                </c:pt>
                <c:pt idx="170">
                  <c:v>478.74</c:v>
                </c:pt>
                <c:pt idx="171">
                  <c:v>478.45</c:v>
                </c:pt>
                <c:pt idx="172">
                  <c:v>481.5</c:v>
                </c:pt>
                <c:pt idx="173">
                  <c:v>486.03</c:v>
                </c:pt>
                <c:pt idx="174">
                  <c:v>487.65</c:v>
                </c:pt>
                <c:pt idx="175">
                  <c:v>482.29</c:v>
                </c:pt>
                <c:pt idx="176">
                  <c:v>488.34</c:v>
                </c:pt>
                <c:pt idx="177">
                  <c:v>494.4</c:v>
                </c:pt>
                <c:pt idx="178">
                  <c:v>482.34</c:v>
                </c:pt>
                <c:pt idx="179">
                  <c:v>486.37</c:v>
                </c:pt>
                <c:pt idx="180">
                  <c:v>484.55</c:v>
                </c:pt>
                <c:pt idx="181">
                  <c:v>459.3</c:v>
                </c:pt>
                <c:pt idx="182">
                  <c:v>467.18</c:v>
                </c:pt>
                <c:pt idx="183">
                  <c:v>462.94</c:v>
                </c:pt>
                <c:pt idx="184">
                  <c:v>458.32</c:v>
                </c:pt>
                <c:pt idx="185">
                  <c:v>456.2</c:v>
                </c:pt>
                <c:pt idx="186">
                  <c:v>451.92</c:v>
                </c:pt>
                <c:pt idx="187">
                  <c:v>451.52</c:v>
                </c:pt>
                <c:pt idx="188">
                  <c:v>444.43</c:v>
                </c:pt>
                <c:pt idx="189">
                  <c:v>445.57</c:v>
                </c:pt>
                <c:pt idx="190">
                  <c:v>436.71</c:v>
                </c:pt>
                <c:pt idx="191">
                  <c:v>426.91</c:v>
                </c:pt>
                <c:pt idx="192">
                  <c:v>422.38</c:v>
                </c:pt>
                <c:pt idx="193">
                  <c:v>421.64</c:v>
                </c:pt>
                <c:pt idx="194">
                  <c:v>418.89</c:v>
                </c:pt>
                <c:pt idx="195">
                  <c:v>422.38</c:v>
                </c:pt>
                <c:pt idx="196">
                  <c:v>418.3</c:v>
                </c:pt>
                <c:pt idx="197">
                  <c:v>418.99</c:v>
                </c:pt>
                <c:pt idx="198">
                  <c:v>417.36</c:v>
                </c:pt>
                <c:pt idx="199">
                  <c:v>416.72</c:v>
                </c:pt>
                <c:pt idx="200">
                  <c:v>416.72</c:v>
                </c:pt>
                <c:pt idx="201">
                  <c:v>413.08</c:v>
                </c:pt>
                <c:pt idx="202">
                  <c:v>416.72</c:v>
                </c:pt>
                <c:pt idx="203">
                  <c:v>417.07</c:v>
                </c:pt>
                <c:pt idx="204">
                  <c:v>422.09</c:v>
                </c:pt>
                <c:pt idx="205">
                  <c:v>424.45</c:v>
                </c:pt>
                <c:pt idx="206">
                  <c:v>423.61</c:v>
                </c:pt>
                <c:pt idx="207">
                  <c:v>425.58</c:v>
                </c:pt>
                <c:pt idx="208">
                  <c:v>426.27</c:v>
                </c:pt>
                <c:pt idx="209">
                  <c:v>430.11</c:v>
                </c:pt>
                <c:pt idx="210">
                  <c:v>432.33</c:v>
                </c:pt>
                <c:pt idx="211">
                  <c:v>428.63</c:v>
                </c:pt>
                <c:pt idx="212">
                  <c:v>423.61</c:v>
                </c:pt>
                <c:pt idx="213">
                  <c:v>408.75</c:v>
                </c:pt>
                <c:pt idx="214">
                  <c:v>416.28</c:v>
                </c:pt>
                <c:pt idx="215">
                  <c:v>412.51</c:v>
                </c:pt>
                <c:pt idx="216">
                  <c:v>409.99</c:v>
                </c:pt>
                <c:pt idx="217">
                  <c:v>416.86</c:v>
                </c:pt>
                <c:pt idx="218">
                  <c:v>414.97</c:v>
                </c:pt>
                <c:pt idx="219">
                  <c:v>417.39</c:v>
                </c:pt>
                <c:pt idx="220">
                  <c:v>421.94</c:v>
                </c:pt>
                <c:pt idx="221">
                  <c:v>426.92</c:v>
                </c:pt>
                <c:pt idx="222">
                  <c:v>425.52</c:v>
                </c:pt>
                <c:pt idx="223">
                  <c:v>420.58</c:v>
                </c:pt>
                <c:pt idx="224">
                  <c:v>422.03</c:v>
                </c:pt>
                <c:pt idx="225">
                  <c:v>417.34</c:v>
                </c:pt>
                <c:pt idx="226">
                  <c:v>413.81</c:v>
                </c:pt>
                <c:pt idx="227">
                  <c:v>415.65</c:v>
                </c:pt>
                <c:pt idx="228">
                  <c:v>417.73</c:v>
                </c:pt>
                <c:pt idx="229">
                  <c:v>419.18</c:v>
                </c:pt>
                <c:pt idx="230">
                  <c:v>411.2</c:v>
                </c:pt>
                <c:pt idx="231">
                  <c:v>426.58</c:v>
                </c:pt>
                <c:pt idx="232">
                  <c:v>425.95</c:v>
                </c:pt>
                <c:pt idx="233">
                  <c:v>420.54</c:v>
                </c:pt>
                <c:pt idx="234">
                  <c:v>422.18</c:v>
                </c:pt>
                <c:pt idx="235">
                  <c:v>424.65</c:v>
                </c:pt>
                <c:pt idx="236">
                  <c:v>421.41</c:v>
                </c:pt>
                <c:pt idx="237">
                  <c:v>423.87</c:v>
                </c:pt>
                <c:pt idx="238">
                  <c:v>425.61</c:v>
                </c:pt>
                <c:pt idx="239">
                  <c:v>423.24</c:v>
                </c:pt>
                <c:pt idx="240">
                  <c:v>414.88</c:v>
                </c:pt>
                <c:pt idx="241">
                  <c:v>415.17</c:v>
                </c:pt>
                <c:pt idx="242">
                  <c:v>411.39</c:v>
                </c:pt>
                <c:pt idx="243">
                  <c:v>410.86</c:v>
                </c:pt>
                <c:pt idx="244">
                  <c:v>405.16</c:v>
                </c:pt>
                <c:pt idx="245">
                  <c:v>411.97</c:v>
                </c:pt>
                <c:pt idx="246">
                  <c:v>411.97</c:v>
                </c:pt>
                <c:pt idx="247">
                  <c:v>416.04</c:v>
                </c:pt>
                <c:pt idx="248">
                  <c:v>422.66</c:v>
                </c:pt>
                <c:pt idx="249">
                  <c:v>412.41</c:v>
                </c:pt>
                <c:pt idx="250">
                  <c:v>415.07</c:v>
                </c:pt>
                <c:pt idx="251">
                  <c:v>413.57</c:v>
                </c:pt>
                <c:pt idx="252">
                  <c:v>408.93</c:v>
                </c:pt>
                <c:pt idx="253">
                  <c:v>411.3</c:v>
                </c:pt>
                <c:pt idx="254">
                  <c:v>411.93</c:v>
                </c:pt>
                <c:pt idx="255">
                  <c:v>412.75</c:v>
                </c:pt>
                <c:pt idx="256">
                  <c:v>414.34</c:v>
                </c:pt>
                <c:pt idx="257">
                  <c:v>414.01</c:v>
                </c:pt>
                <c:pt idx="258">
                  <c:v>413.67</c:v>
                </c:pt>
                <c:pt idx="259">
                  <c:v>414.59</c:v>
                </c:pt>
                <c:pt idx="260">
                  <c:v>407.48</c:v>
                </c:pt>
                <c:pt idx="261">
                  <c:v>402.11</c:v>
                </c:pt>
                <c:pt idx="262">
                  <c:v>396.16</c:v>
                </c:pt>
                <c:pt idx="263">
                  <c:v>403.8</c:v>
                </c:pt>
                <c:pt idx="264">
                  <c:v>405.4</c:v>
                </c:pt>
                <c:pt idx="265">
                  <c:v>405.93</c:v>
                </c:pt>
                <c:pt idx="266">
                  <c:v>408.64</c:v>
                </c:pt>
                <c:pt idx="267">
                  <c:v>391.23</c:v>
                </c:pt>
                <c:pt idx="268">
                  <c:v>396.01</c:v>
                </c:pt>
                <c:pt idx="269">
                  <c:v>400.03</c:v>
                </c:pt>
                <c:pt idx="270">
                  <c:v>394.51</c:v>
                </c:pt>
                <c:pt idx="271">
                  <c:v>392.87</c:v>
                </c:pt>
                <c:pt idx="272">
                  <c:v>395.72</c:v>
                </c:pt>
                <c:pt idx="273">
                  <c:v>396.11</c:v>
                </c:pt>
                <c:pt idx="274">
                  <c:v>393.02</c:v>
                </c:pt>
                <c:pt idx="275">
                  <c:v>394.95</c:v>
                </c:pt>
                <c:pt idx="276">
                  <c:v>397.71</c:v>
                </c:pt>
                <c:pt idx="277">
                  <c:v>395.82</c:v>
                </c:pt>
                <c:pt idx="278">
                  <c:v>397.95</c:v>
                </c:pt>
                <c:pt idx="279">
                  <c:v>400.9</c:v>
                </c:pt>
                <c:pt idx="280">
                  <c:v>390.16</c:v>
                </c:pt>
                <c:pt idx="281">
                  <c:v>392.82</c:v>
                </c:pt>
                <c:pt idx="282">
                  <c:v>395.87</c:v>
                </c:pt>
                <c:pt idx="283">
                  <c:v>391.37</c:v>
                </c:pt>
                <c:pt idx="284">
                  <c:v>390.69</c:v>
                </c:pt>
                <c:pt idx="285">
                  <c:v>398.09</c:v>
                </c:pt>
                <c:pt idx="286">
                  <c:v>393.45</c:v>
                </c:pt>
                <c:pt idx="287">
                  <c:v>393.55</c:v>
                </c:pt>
                <c:pt idx="288">
                  <c:v>401.91</c:v>
                </c:pt>
                <c:pt idx="289">
                  <c:v>401</c:v>
                </c:pt>
                <c:pt idx="290">
                  <c:v>411.64</c:v>
                </c:pt>
                <c:pt idx="291">
                  <c:v>411.25</c:v>
                </c:pt>
                <c:pt idx="292">
                  <c:v>417.59</c:v>
                </c:pt>
                <c:pt idx="293">
                  <c:v>419.55</c:v>
                </c:pt>
                <c:pt idx="294">
                  <c:v>422.22</c:v>
                </c:pt>
                <c:pt idx="295">
                  <c:v>420.93</c:v>
                </c:pt>
                <c:pt idx="296">
                  <c:v>417.59</c:v>
                </c:pt>
                <c:pt idx="297">
                  <c:v>428.8</c:v>
                </c:pt>
                <c:pt idx="298">
                  <c:v>434.37</c:v>
                </c:pt>
                <c:pt idx="299">
                  <c:v>441.95</c:v>
                </c:pt>
                <c:pt idx="300">
                  <c:v>437.85</c:v>
                </c:pt>
                <c:pt idx="301">
                  <c:v>449.48</c:v>
                </c:pt>
                <c:pt idx="302">
                  <c:v>443.76</c:v>
                </c:pt>
                <c:pt idx="303">
                  <c:v>444.81</c:v>
                </c:pt>
                <c:pt idx="304">
                  <c:v>450.25</c:v>
                </c:pt>
                <c:pt idx="305">
                  <c:v>445.76</c:v>
                </c:pt>
                <c:pt idx="306">
                  <c:v>444.91</c:v>
                </c:pt>
                <c:pt idx="307">
                  <c:v>441.05</c:v>
                </c:pt>
                <c:pt idx="308">
                  <c:v>441.67</c:v>
                </c:pt>
                <c:pt idx="309">
                  <c:v>442.86</c:v>
                </c:pt>
                <c:pt idx="310">
                  <c:v>443.76</c:v>
                </c:pt>
                <c:pt idx="311">
                  <c:v>451.82</c:v>
                </c:pt>
                <c:pt idx="312">
                  <c:v>454.15</c:v>
                </c:pt>
                <c:pt idx="313">
                  <c:v>454.96</c:v>
                </c:pt>
                <c:pt idx="314">
                  <c:v>448.39</c:v>
                </c:pt>
                <c:pt idx="315">
                  <c:v>446.19</c:v>
                </c:pt>
                <c:pt idx="316">
                  <c:v>440.52</c:v>
                </c:pt>
                <c:pt idx="317">
                  <c:v>442.43</c:v>
                </c:pt>
                <c:pt idx="318">
                  <c:v>435.75</c:v>
                </c:pt>
                <c:pt idx="319">
                  <c:v>435.14</c:v>
                </c:pt>
                <c:pt idx="320">
                  <c:v>433.94</c:v>
                </c:pt>
                <c:pt idx="321">
                  <c:v>430.37</c:v>
                </c:pt>
                <c:pt idx="322">
                  <c:v>429.94</c:v>
                </c:pt>
                <c:pt idx="323">
                  <c:v>434.8</c:v>
                </c:pt>
                <c:pt idx="324">
                  <c:v>430.56</c:v>
                </c:pt>
                <c:pt idx="325">
                  <c:v>436.8</c:v>
                </c:pt>
                <c:pt idx="326">
                  <c:v>438.61</c:v>
                </c:pt>
                <c:pt idx="327">
                  <c:v>434.37</c:v>
                </c:pt>
                <c:pt idx="328">
                  <c:v>431.94</c:v>
                </c:pt>
                <c:pt idx="329">
                  <c:v>431.32</c:v>
                </c:pt>
                <c:pt idx="330">
                  <c:v>428.18</c:v>
                </c:pt>
                <c:pt idx="331">
                  <c:v>436.71</c:v>
                </c:pt>
                <c:pt idx="332">
                  <c:v>441.62</c:v>
                </c:pt>
                <c:pt idx="333">
                  <c:v>430.65</c:v>
                </c:pt>
                <c:pt idx="334">
                  <c:v>432.85</c:v>
                </c:pt>
                <c:pt idx="335">
                  <c:v>428.8</c:v>
                </c:pt>
                <c:pt idx="336">
                  <c:v>415.45</c:v>
                </c:pt>
                <c:pt idx="337">
                  <c:v>416.78</c:v>
                </c:pt>
                <c:pt idx="338">
                  <c:v>414.93</c:v>
                </c:pt>
                <c:pt idx="339">
                  <c:v>417.36</c:v>
                </c:pt>
                <c:pt idx="340">
                  <c:v>419.79</c:v>
                </c:pt>
                <c:pt idx="341">
                  <c:v>419.17</c:v>
                </c:pt>
                <c:pt idx="342">
                  <c:v>415.88</c:v>
                </c:pt>
                <c:pt idx="343">
                  <c:v>416.4</c:v>
                </c:pt>
                <c:pt idx="344">
                  <c:v>418.74</c:v>
                </c:pt>
                <c:pt idx="345">
                  <c:v>418.17</c:v>
                </c:pt>
                <c:pt idx="346">
                  <c:v>421.31</c:v>
                </c:pt>
                <c:pt idx="347">
                  <c:v>415.64</c:v>
                </c:pt>
                <c:pt idx="348">
                  <c:v>416.16</c:v>
                </c:pt>
                <c:pt idx="349">
                  <c:v>414.11</c:v>
                </c:pt>
                <c:pt idx="350">
                  <c:v>416.55</c:v>
                </c:pt>
                <c:pt idx="351">
                  <c:v>412.49</c:v>
                </c:pt>
                <c:pt idx="352">
                  <c:v>415.02</c:v>
                </c:pt>
                <c:pt idx="353">
                  <c:v>413.02</c:v>
                </c:pt>
                <c:pt idx="354">
                  <c:v>411.02</c:v>
                </c:pt>
                <c:pt idx="355">
                  <c:v>408.11</c:v>
                </c:pt>
                <c:pt idx="356">
                  <c:v>408.39</c:v>
                </c:pt>
                <c:pt idx="357">
                  <c:v>410.35</c:v>
                </c:pt>
                <c:pt idx="358">
                  <c:v>413.5</c:v>
                </c:pt>
                <c:pt idx="359">
                  <c:v>414.07</c:v>
                </c:pt>
                <c:pt idx="360">
                  <c:v>412.49</c:v>
                </c:pt>
                <c:pt idx="361">
                  <c:v>415.54</c:v>
                </c:pt>
                <c:pt idx="362">
                  <c:v>417.83</c:v>
                </c:pt>
                <c:pt idx="363">
                  <c:v>429.37</c:v>
                </c:pt>
                <c:pt idx="364">
                  <c:v>430.56</c:v>
                </c:pt>
                <c:pt idx="365">
                  <c:v>432.28</c:v>
                </c:pt>
                <c:pt idx="366">
                  <c:v>427.99</c:v>
                </c:pt>
                <c:pt idx="367">
                  <c:v>427.41</c:v>
                </c:pt>
                <c:pt idx="368">
                  <c:v>429.65</c:v>
                </c:pt>
                <c:pt idx="369">
                  <c:v>427.32</c:v>
                </c:pt>
                <c:pt idx="370">
                  <c:v>423.65</c:v>
                </c:pt>
                <c:pt idx="371">
                  <c:v>419.88</c:v>
                </c:pt>
                <c:pt idx="372">
                  <c:v>421.5</c:v>
                </c:pt>
                <c:pt idx="373">
                  <c:v>415.69</c:v>
                </c:pt>
                <c:pt idx="374">
                  <c:v>415.74</c:v>
                </c:pt>
                <c:pt idx="375">
                  <c:v>419.21</c:v>
                </c:pt>
                <c:pt idx="376">
                  <c:v>423.65</c:v>
                </c:pt>
                <c:pt idx="377">
                  <c:v>420.17</c:v>
                </c:pt>
                <c:pt idx="378">
                  <c:v>428.18</c:v>
                </c:pt>
                <c:pt idx="379">
                  <c:v>421.79</c:v>
                </c:pt>
                <c:pt idx="380">
                  <c:v>421.93</c:v>
                </c:pt>
                <c:pt idx="381">
                  <c:v>422.41</c:v>
                </c:pt>
                <c:pt idx="382">
                  <c:v>426.6</c:v>
                </c:pt>
                <c:pt idx="383">
                  <c:v>431.8</c:v>
                </c:pt>
                <c:pt idx="384">
                  <c:v>430.94</c:v>
                </c:pt>
                <c:pt idx="385">
                  <c:v>427.41</c:v>
                </c:pt>
                <c:pt idx="386">
                  <c:v>428.94</c:v>
                </c:pt>
                <c:pt idx="387">
                  <c:v>432.32</c:v>
                </c:pt>
                <c:pt idx="388">
                  <c:v>430.08</c:v>
                </c:pt>
                <c:pt idx="389">
                  <c:v>426.32</c:v>
                </c:pt>
                <c:pt idx="390">
                  <c:v>421.98</c:v>
                </c:pt>
                <c:pt idx="391">
                  <c:v>425.08</c:v>
                </c:pt>
                <c:pt idx="392">
                  <c:v>426.56</c:v>
                </c:pt>
                <c:pt idx="393">
                  <c:v>422.41</c:v>
                </c:pt>
                <c:pt idx="394">
                  <c:v>417.07</c:v>
                </c:pt>
                <c:pt idx="395">
                  <c:v>420.45</c:v>
                </c:pt>
                <c:pt idx="396">
                  <c:v>419.17</c:v>
                </c:pt>
                <c:pt idx="397">
                  <c:v>422.12</c:v>
                </c:pt>
                <c:pt idx="398">
                  <c:v>419.55</c:v>
                </c:pt>
                <c:pt idx="399">
                  <c:v>420.79</c:v>
                </c:pt>
                <c:pt idx="400">
                  <c:v>422.65</c:v>
                </c:pt>
                <c:pt idx="401">
                  <c:v>429.84</c:v>
                </c:pt>
                <c:pt idx="402">
                  <c:v>429.42</c:v>
                </c:pt>
                <c:pt idx="403">
                  <c:v>433.04</c:v>
                </c:pt>
                <c:pt idx="404">
                  <c:v>426.89</c:v>
                </c:pt>
                <c:pt idx="405">
                  <c:v>421.03</c:v>
                </c:pt>
                <c:pt idx="406">
                  <c:v>420.41</c:v>
                </c:pt>
                <c:pt idx="407">
                  <c:v>429.22</c:v>
                </c:pt>
                <c:pt idx="408">
                  <c:v>428.22</c:v>
                </c:pt>
                <c:pt idx="409">
                  <c:v>427.79</c:v>
                </c:pt>
                <c:pt idx="410">
                  <c:v>430.65</c:v>
                </c:pt>
                <c:pt idx="411">
                  <c:v>437.23</c:v>
                </c:pt>
                <c:pt idx="412">
                  <c:v>431.23</c:v>
                </c:pt>
                <c:pt idx="413">
                  <c:v>433.66</c:v>
                </c:pt>
                <c:pt idx="414">
                  <c:v>433.71</c:v>
                </c:pt>
                <c:pt idx="415">
                  <c:v>434.75</c:v>
                </c:pt>
                <c:pt idx="416">
                  <c:v>438.61</c:v>
                </c:pt>
                <c:pt idx="417">
                  <c:v>443.1</c:v>
                </c:pt>
                <c:pt idx="418">
                  <c:v>443.95</c:v>
                </c:pt>
                <c:pt idx="419">
                  <c:v>446.57</c:v>
                </c:pt>
                <c:pt idx="420">
                  <c:v>443.33</c:v>
                </c:pt>
                <c:pt idx="421">
                  <c:v>450.2</c:v>
                </c:pt>
                <c:pt idx="422">
                  <c:v>440.71</c:v>
                </c:pt>
                <c:pt idx="423">
                  <c:v>449.34</c:v>
                </c:pt>
                <c:pt idx="424">
                  <c:v>467.55</c:v>
                </c:pt>
                <c:pt idx="425">
                  <c:v>469.17</c:v>
                </c:pt>
                <c:pt idx="426">
                  <c:v>456.49</c:v>
                </c:pt>
                <c:pt idx="427">
                  <c:v>450.44</c:v>
                </c:pt>
                <c:pt idx="428">
                  <c:v>450.29</c:v>
                </c:pt>
                <c:pt idx="429">
                  <c:v>450.82</c:v>
                </c:pt>
                <c:pt idx="430">
                  <c:v>449.96</c:v>
                </c:pt>
                <c:pt idx="431">
                  <c:v>450.25</c:v>
                </c:pt>
                <c:pt idx="432">
                  <c:v>451.06</c:v>
                </c:pt>
                <c:pt idx="433">
                  <c:v>444.1</c:v>
                </c:pt>
                <c:pt idx="434">
                  <c:v>446.53</c:v>
                </c:pt>
                <c:pt idx="435">
                  <c:v>451.77</c:v>
                </c:pt>
                <c:pt idx="436">
                  <c:v>452.91</c:v>
                </c:pt>
                <c:pt idx="437">
                  <c:v>444.57</c:v>
                </c:pt>
                <c:pt idx="438">
                  <c:v>441.62</c:v>
                </c:pt>
                <c:pt idx="439">
                  <c:v>430.51</c:v>
                </c:pt>
                <c:pt idx="440">
                  <c:v>428.37</c:v>
                </c:pt>
                <c:pt idx="441">
                  <c:v>424.32</c:v>
                </c:pt>
                <c:pt idx="442">
                  <c:v>424.89</c:v>
                </c:pt>
                <c:pt idx="443">
                  <c:v>423.98</c:v>
                </c:pt>
                <c:pt idx="444">
                  <c:v>426.75</c:v>
                </c:pt>
                <c:pt idx="445">
                  <c:v>426.17</c:v>
                </c:pt>
                <c:pt idx="446">
                  <c:v>431.7</c:v>
                </c:pt>
                <c:pt idx="447">
                  <c:v>432.42</c:v>
                </c:pt>
                <c:pt idx="448">
                  <c:v>431.94</c:v>
                </c:pt>
                <c:pt idx="449">
                  <c:v>427.18</c:v>
                </c:pt>
                <c:pt idx="450">
                  <c:v>423.74</c:v>
                </c:pt>
                <c:pt idx="451">
                  <c:v>424.6</c:v>
                </c:pt>
                <c:pt idx="452">
                  <c:v>416.55</c:v>
                </c:pt>
                <c:pt idx="453">
                  <c:v>417.98</c:v>
                </c:pt>
                <c:pt idx="454">
                  <c:v>422.22</c:v>
                </c:pt>
                <c:pt idx="455">
                  <c:v>423.22</c:v>
                </c:pt>
                <c:pt idx="456">
                  <c:v>422.12</c:v>
                </c:pt>
                <c:pt idx="457">
                  <c:v>420.07</c:v>
                </c:pt>
                <c:pt idx="458">
                  <c:v>422.69</c:v>
                </c:pt>
                <c:pt idx="459">
                  <c:v>419.17</c:v>
                </c:pt>
                <c:pt idx="460">
                  <c:v>424.7</c:v>
                </c:pt>
                <c:pt idx="461">
                  <c:v>428.89</c:v>
                </c:pt>
                <c:pt idx="462">
                  <c:v>421.69</c:v>
                </c:pt>
                <c:pt idx="463">
                  <c:v>416.53</c:v>
                </c:pt>
                <c:pt idx="464">
                  <c:v>414.23</c:v>
                </c:pt>
                <c:pt idx="465">
                  <c:v>407.05</c:v>
                </c:pt>
                <c:pt idx="466">
                  <c:v>402.96</c:v>
                </c:pt>
                <c:pt idx="467">
                  <c:v>398.83</c:v>
                </c:pt>
                <c:pt idx="468">
                  <c:v>394.23</c:v>
                </c:pt>
                <c:pt idx="469">
                  <c:v>394.09</c:v>
                </c:pt>
                <c:pt idx="470">
                  <c:v>401.51</c:v>
                </c:pt>
                <c:pt idx="471">
                  <c:v>398.08</c:v>
                </c:pt>
                <c:pt idx="472">
                  <c:v>401.69</c:v>
                </c:pt>
                <c:pt idx="473">
                  <c:v>394.79</c:v>
                </c:pt>
                <c:pt idx="474">
                  <c:v>394.74</c:v>
                </c:pt>
                <c:pt idx="475">
                  <c:v>399.39</c:v>
                </c:pt>
                <c:pt idx="476">
                  <c:v>397.94</c:v>
                </c:pt>
                <c:pt idx="477">
                  <c:v>405.12</c:v>
                </c:pt>
                <c:pt idx="478">
                  <c:v>402.59</c:v>
                </c:pt>
                <c:pt idx="479">
                  <c:v>398.69</c:v>
                </c:pt>
                <c:pt idx="480">
                  <c:v>401.08</c:v>
                </c:pt>
                <c:pt idx="481">
                  <c:v>398.55</c:v>
                </c:pt>
                <c:pt idx="482">
                  <c:v>399.58</c:v>
                </c:pt>
                <c:pt idx="483">
                  <c:v>390.61</c:v>
                </c:pt>
                <c:pt idx="484">
                  <c:v>387.09</c:v>
                </c:pt>
                <c:pt idx="485">
                  <c:v>386.44</c:v>
                </c:pt>
                <c:pt idx="486">
                  <c:v>383.76</c:v>
                </c:pt>
                <c:pt idx="487">
                  <c:v>383.34</c:v>
                </c:pt>
                <c:pt idx="488">
                  <c:v>375.87</c:v>
                </c:pt>
                <c:pt idx="489">
                  <c:v>374.42</c:v>
                </c:pt>
                <c:pt idx="490">
                  <c:v>374.18</c:v>
                </c:pt>
                <c:pt idx="491">
                  <c:v>375.73</c:v>
                </c:pt>
                <c:pt idx="492">
                  <c:v>371.46</c:v>
                </c:pt>
                <c:pt idx="493">
                  <c:v>369.53</c:v>
                </c:pt>
                <c:pt idx="494">
                  <c:v>371.83</c:v>
                </c:pt>
                <c:pt idx="495">
                  <c:v>364.84</c:v>
                </c:pt>
                <c:pt idx="496">
                  <c:v>363.71</c:v>
                </c:pt>
                <c:pt idx="497">
                  <c:v>362.82</c:v>
                </c:pt>
                <c:pt idx="498">
                  <c:v>355.78</c:v>
                </c:pt>
                <c:pt idx="499">
                  <c:v>360.1</c:v>
                </c:pt>
                <c:pt idx="500">
                  <c:v>359.39</c:v>
                </c:pt>
                <c:pt idx="501">
                  <c:v>356.58</c:v>
                </c:pt>
                <c:pt idx="502">
                  <c:v>357</c:v>
                </c:pt>
                <c:pt idx="503">
                  <c:v>355.59</c:v>
                </c:pt>
                <c:pt idx="504">
                  <c:v>357.42</c:v>
                </c:pt>
                <c:pt idx="505">
                  <c:v>354.7</c:v>
                </c:pt>
                <c:pt idx="506">
                  <c:v>353.95</c:v>
                </c:pt>
                <c:pt idx="507">
                  <c:v>355.68</c:v>
                </c:pt>
                <c:pt idx="508">
                  <c:v>352.63</c:v>
                </c:pt>
                <c:pt idx="509">
                  <c:v>358.17</c:v>
                </c:pt>
                <c:pt idx="510">
                  <c:v>356.25</c:v>
                </c:pt>
                <c:pt idx="511">
                  <c:v>356.53</c:v>
                </c:pt>
                <c:pt idx="512">
                  <c:v>360.24</c:v>
                </c:pt>
                <c:pt idx="513">
                  <c:v>364.32</c:v>
                </c:pt>
                <c:pt idx="514">
                  <c:v>363.85</c:v>
                </c:pt>
                <c:pt idx="515">
                  <c:v>368.45</c:v>
                </c:pt>
                <c:pt idx="516">
                  <c:v>364.46</c:v>
                </c:pt>
                <c:pt idx="517">
                  <c:v>361.46</c:v>
                </c:pt>
                <c:pt idx="518">
                  <c:v>352.63</c:v>
                </c:pt>
                <c:pt idx="519">
                  <c:v>355.59</c:v>
                </c:pt>
                <c:pt idx="520">
                  <c:v>353.71</c:v>
                </c:pt>
                <c:pt idx="521">
                  <c:v>358.88</c:v>
                </c:pt>
                <c:pt idx="522">
                  <c:v>361.6</c:v>
                </c:pt>
                <c:pt idx="523">
                  <c:v>363.95</c:v>
                </c:pt>
                <c:pt idx="524">
                  <c:v>360.43</c:v>
                </c:pt>
                <c:pt idx="525">
                  <c:v>358.92</c:v>
                </c:pt>
                <c:pt idx="526">
                  <c:v>360.61</c:v>
                </c:pt>
                <c:pt idx="527">
                  <c:v>360</c:v>
                </c:pt>
                <c:pt idx="528">
                  <c:v>359.2</c:v>
                </c:pt>
                <c:pt idx="529">
                  <c:v>358.88</c:v>
                </c:pt>
                <c:pt idx="530">
                  <c:v>357.23</c:v>
                </c:pt>
                <c:pt idx="531">
                  <c:v>345.91</c:v>
                </c:pt>
                <c:pt idx="532">
                  <c:v>343.27</c:v>
                </c:pt>
                <c:pt idx="533">
                  <c:v>345.96</c:v>
                </c:pt>
                <c:pt idx="534">
                  <c:v>347.16</c:v>
                </c:pt>
                <c:pt idx="535">
                  <c:v>345.03</c:v>
                </c:pt>
                <c:pt idx="536">
                  <c:v>354.41</c:v>
                </c:pt>
                <c:pt idx="537">
                  <c:v>351.87</c:v>
                </c:pt>
                <c:pt idx="538">
                  <c:v>349.98</c:v>
                </c:pt>
                <c:pt idx="539">
                  <c:v>334.08</c:v>
                </c:pt>
                <c:pt idx="540">
                  <c:v>325.70999999999998</c:v>
                </c:pt>
                <c:pt idx="541">
                  <c:v>318.73</c:v>
                </c:pt>
                <c:pt idx="542">
                  <c:v>319.83999999999997</c:v>
                </c:pt>
                <c:pt idx="543">
                  <c:v>313.60000000000002</c:v>
                </c:pt>
                <c:pt idx="544">
                  <c:v>313.32</c:v>
                </c:pt>
                <c:pt idx="545">
                  <c:v>312.20999999999998</c:v>
                </c:pt>
                <c:pt idx="546">
                  <c:v>309.3</c:v>
                </c:pt>
                <c:pt idx="547">
                  <c:v>307.04000000000002</c:v>
                </c:pt>
                <c:pt idx="548">
                  <c:v>309.35000000000002</c:v>
                </c:pt>
                <c:pt idx="549">
                  <c:v>307.13</c:v>
                </c:pt>
                <c:pt idx="550">
                  <c:v>305.24</c:v>
                </c:pt>
                <c:pt idx="551">
                  <c:v>303.89999999999998</c:v>
                </c:pt>
                <c:pt idx="552">
                  <c:v>304.91000000000003</c:v>
                </c:pt>
                <c:pt idx="553">
                  <c:v>306.70999999999998</c:v>
                </c:pt>
                <c:pt idx="554">
                  <c:v>308.19</c:v>
                </c:pt>
                <c:pt idx="555">
                  <c:v>312.49</c:v>
                </c:pt>
                <c:pt idx="556">
                  <c:v>309.72000000000003</c:v>
                </c:pt>
                <c:pt idx="557">
                  <c:v>308.24</c:v>
                </c:pt>
                <c:pt idx="558">
                  <c:v>302.27999999999997</c:v>
                </c:pt>
                <c:pt idx="559">
                  <c:v>306.07</c:v>
                </c:pt>
                <c:pt idx="560">
                  <c:v>307.69</c:v>
                </c:pt>
                <c:pt idx="561">
                  <c:v>306.48</c:v>
                </c:pt>
                <c:pt idx="562">
                  <c:v>310</c:v>
                </c:pt>
                <c:pt idx="563">
                  <c:v>309.12</c:v>
                </c:pt>
                <c:pt idx="564">
                  <c:v>307.95999999999998</c:v>
                </c:pt>
                <c:pt idx="565">
                  <c:v>309.3</c:v>
                </c:pt>
                <c:pt idx="566">
                  <c:v>302</c:v>
                </c:pt>
                <c:pt idx="567">
                  <c:v>307.32</c:v>
                </c:pt>
                <c:pt idx="568">
                  <c:v>309.81</c:v>
                </c:pt>
                <c:pt idx="569">
                  <c:v>314.43</c:v>
                </c:pt>
                <c:pt idx="570">
                  <c:v>314.76</c:v>
                </c:pt>
                <c:pt idx="571">
                  <c:v>309.77</c:v>
                </c:pt>
                <c:pt idx="572">
                  <c:v>313.23</c:v>
                </c:pt>
                <c:pt idx="573">
                  <c:v>319.29000000000002</c:v>
                </c:pt>
                <c:pt idx="574">
                  <c:v>319.47000000000003</c:v>
                </c:pt>
                <c:pt idx="575">
                  <c:v>317.25</c:v>
                </c:pt>
                <c:pt idx="576">
                  <c:v>315.58999999999997</c:v>
                </c:pt>
                <c:pt idx="577">
                  <c:v>312.82</c:v>
                </c:pt>
                <c:pt idx="578">
                  <c:v>314.39</c:v>
                </c:pt>
                <c:pt idx="579">
                  <c:v>311.8</c:v>
                </c:pt>
                <c:pt idx="580">
                  <c:v>311.29000000000002</c:v>
                </c:pt>
                <c:pt idx="581">
                  <c:v>311.66000000000003</c:v>
                </c:pt>
                <c:pt idx="582">
                  <c:v>313.88</c:v>
                </c:pt>
                <c:pt idx="583">
                  <c:v>314.29000000000002</c:v>
                </c:pt>
                <c:pt idx="584">
                  <c:v>316.42</c:v>
                </c:pt>
                <c:pt idx="585">
                  <c:v>314.33999999999997</c:v>
                </c:pt>
                <c:pt idx="586">
                  <c:v>314.57</c:v>
                </c:pt>
                <c:pt idx="587">
                  <c:v>314.99</c:v>
                </c:pt>
                <c:pt idx="588">
                  <c:v>314.11</c:v>
                </c:pt>
                <c:pt idx="589">
                  <c:v>314.52999999999997</c:v>
                </c:pt>
                <c:pt idx="590">
                  <c:v>311.70999999999998</c:v>
                </c:pt>
                <c:pt idx="591">
                  <c:v>315.27</c:v>
                </c:pt>
                <c:pt idx="592">
                  <c:v>317.72000000000003</c:v>
                </c:pt>
                <c:pt idx="593">
                  <c:v>318.08</c:v>
                </c:pt>
                <c:pt idx="594">
                  <c:v>319.14999999999998</c:v>
                </c:pt>
                <c:pt idx="595">
                  <c:v>320.95</c:v>
                </c:pt>
                <c:pt idx="596">
                  <c:v>329.41</c:v>
                </c:pt>
                <c:pt idx="597">
                  <c:v>329.09</c:v>
                </c:pt>
                <c:pt idx="598">
                  <c:v>333.43</c:v>
                </c:pt>
                <c:pt idx="599">
                  <c:v>326.77</c:v>
                </c:pt>
                <c:pt idx="600">
                  <c:v>326.87</c:v>
                </c:pt>
                <c:pt idx="601">
                  <c:v>326.95999999999998</c:v>
                </c:pt>
                <c:pt idx="602">
                  <c:v>327.84</c:v>
                </c:pt>
                <c:pt idx="603">
                  <c:v>323.08</c:v>
                </c:pt>
                <c:pt idx="604">
                  <c:v>322.33999999999997</c:v>
                </c:pt>
                <c:pt idx="605">
                  <c:v>319.66000000000003</c:v>
                </c:pt>
                <c:pt idx="606">
                  <c:v>319.66000000000003</c:v>
                </c:pt>
                <c:pt idx="607">
                  <c:v>320.12</c:v>
                </c:pt>
                <c:pt idx="608">
                  <c:v>321.41000000000003</c:v>
                </c:pt>
                <c:pt idx="609">
                  <c:v>319.47000000000003</c:v>
                </c:pt>
                <c:pt idx="610">
                  <c:v>323.26</c:v>
                </c:pt>
                <c:pt idx="611">
                  <c:v>320.16000000000003</c:v>
                </c:pt>
                <c:pt idx="612">
                  <c:v>314.57</c:v>
                </c:pt>
                <c:pt idx="613">
                  <c:v>307.13</c:v>
                </c:pt>
                <c:pt idx="614">
                  <c:v>306.99</c:v>
                </c:pt>
                <c:pt idx="615">
                  <c:v>303.8</c:v>
                </c:pt>
                <c:pt idx="616">
                  <c:v>305.14</c:v>
                </c:pt>
                <c:pt idx="617">
                  <c:v>301.63</c:v>
                </c:pt>
                <c:pt idx="618">
                  <c:v>303.06</c:v>
                </c:pt>
                <c:pt idx="619">
                  <c:v>308.83999999999997</c:v>
                </c:pt>
                <c:pt idx="620">
                  <c:v>311.2</c:v>
                </c:pt>
                <c:pt idx="621">
                  <c:v>307.69</c:v>
                </c:pt>
                <c:pt idx="622">
                  <c:v>299.87</c:v>
                </c:pt>
                <c:pt idx="623">
                  <c:v>307.08</c:v>
                </c:pt>
                <c:pt idx="624">
                  <c:v>307.87</c:v>
                </c:pt>
                <c:pt idx="625">
                  <c:v>300.38</c:v>
                </c:pt>
                <c:pt idx="626">
                  <c:v>309.52999999999997</c:v>
                </c:pt>
                <c:pt idx="627">
                  <c:v>307.45</c:v>
                </c:pt>
                <c:pt idx="628">
                  <c:v>320.20999999999998</c:v>
                </c:pt>
                <c:pt idx="629">
                  <c:v>318.95999999999998</c:v>
                </c:pt>
                <c:pt idx="630">
                  <c:v>315.17</c:v>
                </c:pt>
                <c:pt idx="631">
                  <c:v>310.60000000000002</c:v>
                </c:pt>
                <c:pt idx="632">
                  <c:v>310.23</c:v>
                </c:pt>
                <c:pt idx="633">
                  <c:v>306.25</c:v>
                </c:pt>
                <c:pt idx="634">
                  <c:v>308.83999999999997</c:v>
                </c:pt>
                <c:pt idx="635">
                  <c:v>310</c:v>
                </c:pt>
                <c:pt idx="636">
                  <c:v>309.12</c:v>
                </c:pt>
                <c:pt idx="637">
                  <c:v>305.88</c:v>
                </c:pt>
                <c:pt idx="638">
                  <c:v>305.51</c:v>
                </c:pt>
                <c:pt idx="639">
                  <c:v>304.95999999999998</c:v>
                </c:pt>
                <c:pt idx="640">
                  <c:v>301.45</c:v>
                </c:pt>
                <c:pt idx="641">
                  <c:v>302.42</c:v>
                </c:pt>
                <c:pt idx="642">
                  <c:v>303.99</c:v>
                </c:pt>
                <c:pt idx="643">
                  <c:v>298.72000000000003</c:v>
                </c:pt>
                <c:pt idx="644">
                  <c:v>293.58999999999997</c:v>
                </c:pt>
                <c:pt idx="645">
                  <c:v>296.27</c:v>
                </c:pt>
                <c:pt idx="646">
                  <c:v>289.83999999999997</c:v>
                </c:pt>
                <c:pt idx="647">
                  <c:v>289.24</c:v>
                </c:pt>
                <c:pt idx="648">
                  <c:v>288.74</c:v>
                </c:pt>
                <c:pt idx="649">
                  <c:v>290.35000000000002</c:v>
                </c:pt>
                <c:pt idx="650">
                  <c:v>292.02</c:v>
                </c:pt>
                <c:pt idx="651">
                  <c:v>290.63</c:v>
                </c:pt>
                <c:pt idx="652">
                  <c:v>288.41000000000003</c:v>
                </c:pt>
                <c:pt idx="653">
                  <c:v>291.79000000000002</c:v>
                </c:pt>
                <c:pt idx="654">
                  <c:v>288.92</c:v>
                </c:pt>
                <c:pt idx="655">
                  <c:v>287.07</c:v>
                </c:pt>
                <c:pt idx="656">
                  <c:v>285.22000000000003</c:v>
                </c:pt>
                <c:pt idx="657">
                  <c:v>283.10000000000002</c:v>
                </c:pt>
                <c:pt idx="658">
                  <c:v>287.67</c:v>
                </c:pt>
                <c:pt idx="659">
                  <c:v>289.47000000000003</c:v>
                </c:pt>
                <c:pt idx="660">
                  <c:v>287.35000000000002</c:v>
                </c:pt>
                <c:pt idx="661">
                  <c:v>286.10000000000002</c:v>
                </c:pt>
                <c:pt idx="662">
                  <c:v>284.85000000000002</c:v>
                </c:pt>
                <c:pt idx="663">
                  <c:v>286.52</c:v>
                </c:pt>
                <c:pt idx="664">
                  <c:v>284.25</c:v>
                </c:pt>
                <c:pt idx="665">
                  <c:v>280.14</c:v>
                </c:pt>
                <c:pt idx="666">
                  <c:v>280.51</c:v>
                </c:pt>
                <c:pt idx="667">
                  <c:v>281.16000000000003</c:v>
                </c:pt>
                <c:pt idx="668">
                  <c:v>279.58</c:v>
                </c:pt>
                <c:pt idx="669">
                  <c:v>278.33999999999997</c:v>
                </c:pt>
                <c:pt idx="670">
                  <c:v>277.83</c:v>
                </c:pt>
                <c:pt idx="671">
                  <c:v>276.89999999999998</c:v>
                </c:pt>
                <c:pt idx="672">
                  <c:v>275.64999999999998</c:v>
                </c:pt>
                <c:pt idx="673">
                  <c:v>272.33</c:v>
                </c:pt>
                <c:pt idx="674">
                  <c:v>272.97000000000003</c:v>
                </c:pt>
                <c:pt idx="675">
                  <c:v>271.36</c:v>
                </c:pt>
                <c:pt idx="676">
                  <c:v>268.86</c:v>
                </c:pt>
                <c:pt idx="677">
                  <c:v>271.82</c:v>
                </c:pt>
                <c:pt idx="678">
                  <c:v>270.57</c:v>
                </c:pt>
                <c:pt idx="679">
                  <c:v>272.7</c:v>
                </c:pt>
                <c:pt idx="680">
                  <c:v>270.89</c:v>
                </c:pt>
                <c:pt idx="681">
                  <c:v>269.88</c:v>
                </c:pt>
                <c:pt idx="682">
                  <c:v>267.43</c:v>
                </c:pt>
                <c:pt idx="683">
                  <c:v>265.20999999999998</c:v>
                </c:pt>
                <c:pt idx="684">
                  <c:v>269.83</c:v>
                </c:pt>
                <c:pt idx="685">
                  <c:v>262.85000000000002</c:v>
                </c:pt>
                <c:pt idx="686">
                  <c:v>252.82</c:v>
                </c:pt>
                <c:pt idx="687">
                  <c:v>253.33</c:v>
                </c:pt>
                <c:pt idx="688">
                  <c:v>251.3</c:v>
                </c:pt>
                <c:pt idx="689">
                  <c:v>249.54</c:v>
                </c:pt>
                <c:pt idx="690">
                  <c:v>245.75</c:v>
                </c:pt>
                <c:pt idx="691">
                  <c:v>245.43</c:v>
                </c:pt>
                <c:pt idx="692">
                  <c:v>245.24</c:v>
                </c:pt>
                <c:pt idx="693">
                  <c:v>249.49</c:v>
                </c:pt>
                <c:pt idx="694">
                  <c:v>244.13</c:v>
                </c:pt>
                <c:pt idx="695">
                  <c:v>243.39</c:v>
                </c:pt>
                <c:pt idx="696">
                  <c:v>240.99</c:v>
                </c:pt>
                <c:pt idx="697">
                  <c:v>243.49</c:v>
                </c:pt>
                <c:pt idx="698">
                  <c:v>245.38</c:v>
                </c:pt>
                <c:pt idx="699">
                  <c:v>244.64</c:v>
                </c:pt>
                <c:pt idx="700">
                  <c:v>249.73</c:v>
                </c:pt>
                <c:pt idx="701">
                  <c:v>250.37</c:v>
                </c:pt>
                <c:pt idx="702">
                  <c:v>247.65</c:v>
                </c:pt>
                <c:pt idx="703">
                  <c:v>253.19</c:v>
                </c:pt>
                <c:pt idx="704">
                  <c:v>254.02</c:v>
                </c:pt>
                <c:pt idx="705">
                  <c:v>252.08</c:v>
                </c:pt>
                <c:pt idx="706">
                  <c:v>252.82</c:v>
                </c:pt>
                <c:pt idx="707">
                  <c:v>251.3</c:v>
                </c:pt>
                <c:pt idx="708">
                  <c:v>250.19</c:v>
                </c:pt>
                <c:pt idx="709">
                  <c:v>248.71</c:v>
                </c:pt>
                <c:pt idx="710">
                  <c:v>248.85</c:v>
                </c:pt>
                <c:pt idx="711">
                  <c:v>246.54</c:v>
                </c:pt>
                <c:pt idx="712">
                  <c:v>246.31</c:v>
                </c:pt>
                <c:pt idx="713">
                  <c:v>244.63</c:v>
                </c:pt>
                <c:pt idx="714">
                  <c:v>247.93</c:v>
                </c:pt>
                <c:pt idx="715">
                  <c:v>252.9</c:v>
                </c:pt>
                <c:pt idx="716">
                  <c:v>248.97</c:v>
                </c:pt>
                <c:pt idx="717">
                  <c:v>240.98</c:v>
                </c:pt>
                <c:pt idx="718">
                  <c:v>239.08</c:v>
                </c:pt>
                <c:pt idx="719">
                  <c:v>229.51</c:v>
                </c:pt>
                <c:pt idx="720">
                  <c:v>233.57</c:v>
                </c:pt>
                <c:pt idx="721">
                  <c:v>228.42</c:v>
                </c:pt>
                <c:pt idx="722">
                  <c:v>230.91</c:v>
                </c:pt>
                <c:pt idx="723">
                  <c:v>234.61</c:v>
                </c:pt>
                <c:pt idx="724">
                  <c:v>237.5</c:v>
                </c:pt>
                <c:pt idx="725">
                  <c:v>240.84</c:v>
                </c:pt>
                <c:pt idx="726">
                  <c:v>236.69</c:v>
                </c:pt>
                <c:pt idx="727">
                  <c:v>234.61</c:v>
                </c:pt>
                <c:pt idx="728">
                  <c:v>237.68</c:v>
                </c:pt>
                <c:pt idx="729">
                  <c:v>234.43</c:v>
                </c:pt>
                <c:pt idx="730">
                  <c:v>235.83</c:v>
                </c:pt>
                <c:pt idx="731">
                  <c:v>232.58</c:v>
                </c:pt>
                <c:pt idx="732">
                  <c:v>233.89</c:v>
                </c:pt>
                <c:pt idx="733">
                  <c:v>230.54</c:v>
                </c:pt>
                <c:pt idx="734">
                  <c:v>235.83</c:v>
                </c:pt>
                <c:pt idx="735">
                  <c:v>235.2</c:v>
                </c:pt>
                <c:pt idx="736">
                  <c:v>234.43</c:v>
                </c:pt>
                <c:pt idx="737">
                  <c:v>236.23</c:v>
                </c:pt>
                <c:pt idx="738">
                  <c:v>243.96</c:v>
                </c:pt>
                <c:pt idx="739">
                  <c:v>243.46</c:v>
                </c:pt>
                <c:pt idx="740">
                  <c:v>239.17</c:v>
                </c:pt>
                <c:pt idx="741">
                  <c:v>241.61</c:v>
                </c:pt>
                <c:pt idx="742">
                  <c:v>241.88</c:v>
                </c:pt>
                <c:pt idx="743">
                  <c:v>231.81</c:v>
                </c:pt>
                <c:pt idx="744">
                  <c:v>234.47</c:v>
                </c:pt>
                <c:pt idx="745">
                  <c:v>234.34</c:v>
                </c:pt>
                <c:pt idx="746">
                  <c:v>230.73</c:v>
                </c:pt>
                <c:pt idx="747">
                  <c:v>228.78</c:v>
                </c:pt>
                <c:pt idx="748">
                  <c:v>226.39</c:v>
                </c:pt>
                <c:pt idx="749">
                  <c:v>225.08</c:v>
                </c:pt>
                <c:pt idx="750">
                  <c:v>229.96</c:v>
                </c:pt>
                <c:pt idx="751">
                  <c:v>232.17</c:v>
                </c:pt>
                <c:pt idx="752">
                  <c:v>228.83</c:v>
                </c:pt>
                <c:pt idx="753">
                  <c:v>230.18</c:v>
                </c:pt>
                <c:pt idx="754">
                  <c:v>227.61</c:v>
                </c:pt>
                <c:pt idx="755">
                  <c:v>225.58</c:v>
                </c:pt>
                <c:pt idx="756">
                  <c:v>220.83</c:v>
                </c:pt>
                <c:pt idx="757">
                  <c:v>221.2</c:v>
                </c:pt>
                <c:pt idx="758">
                  <c:v>219.12</c:v>
                </c:pt>
                <c:pt idx="759">
                  <c:v>214.83</c:v>
                </c:pt>
                <c:pt idx="760">
                  <c:v>215.87</c:v>
                </c:pt>
                <c:pt idx="761">
                  <c:v>213.47</c:v>
                </c:pt>
                <c:pt idx="762">
                  <c:v>209.54</c:v>
                </c:pt>
                <c:pt idx="763">
                  <c:v>207.06</c:v>
                </c:pt>
                <c:pt idx="764">
                  <c:v>204.94</c:v>
                </c:pt>
                <c:pt idx="765">
                  <c:v>203.18</c:v>
                </c:pt>
                <c:pt idx="766">
                  <c:v>203.67</c:v>
                </c:pt>
                <c:pt idx="767">
                  <c:v>198.16</c:v>
                </c:pt>
                <c:pt idx="768">
                  <c:v>194.46</c:v>
                </c:pt>
                <c:pt idx="769">
                  <c:v>194.96</c:v>
                </c:pt>
                <c:pt idx="770">
                  <c:v>193.24</c:v>
                </c:pt>
                <c:pt idx="771">
                  <c:v>188.32</c:v>
                </c:pt>
                <c:pt idx="772">
                  <c:v>195.05</c:v>
                </c:pt>
                <c:pt idx="773">
                  <c:v>194.05</c:v>
                </c:pt>
                <c:pt idx="774">
                  <c:v>196.9</c:v>
                </c:pt>
                <c:pt idx="775">
                  <c:v>200.42</c:v>
                </c:pt>
                <c:pt idx="776">
                  <c:v>201.1</c:v>
                </c:pt>
                <c:pt idx="777">
                  <c:v>201.19</c:v>
                </c:pt>
                <c:pt idx="778">
                  <c:v>201.42</c:v>
                </c:pt>
                <c:pt idx="779">
                  <c:v>198.21</c:v>
                </c:pt>
                <c:pt idx="780">
                  <c:v>205.21</c:v>
                </c:pt>
                <c:pt idx="781">
                  <c:v>205.03</c:v>
                </c:pt>
                <c:pt idx="782">
                  <c:v>203.18</c:v>
                </c:pt>
                <c:pt idx="783">
                  <c:v>204.15</c:v>
                </c:pt>
                <c:pt idx="784">
                  <c:v>203.22</c:v>
                </c:pt>
                <c:pt idx="785">
                  <c:v>206.84</c:v>
                </c:pt>
                <c:pt idx="786">
                  <c:v>206.97</c:v>
                </c:pt>
                <c:pt idx="787">
                  <c:v>204.94</c:v>
                </c:pt>
                <c:pt idx="788">
                  <c:v>201.06</c:v>
                </c:pt>
                <c:pt idx="789">
                  <c:v>194.39</c:v>
                </c:pt>
                <c:pt idx="790">
                  <c:v>192.1</c:v>
                </c:pt>
                <c:pt idx="791">
                  <c:v>189.45</c:v>
                </c:pt>
                <c:pt idx="792">
                  <c:v>189.19</c:v>
                </c:pt>
                <c:pt idx="793">
                  <c:v>186.98</c:v>
                </c:pt>
                <c:pt idx="794">
                  <c:v>191.61</c:v>
                </c:pt>
                <c:pt idx="795">
                  <c:v>193.11</c:v>
                </c:pt>
                <c:pt idx="796">
                  <c:v>194.53</c:v>
                </c:pt>
                <c:pt idx="797">
                  <c:v>194.88</c:v>
                </c:pt>
                <c:pt idx="798">
                  <c:v>198.28</c:v>
                </c:pt>
                <c:pt idx="799">
                  <c:v>196.51</c:v>
                </c:pt>
                <c:pt idx="800">
                  <c:v>197.71</c:v>
                </c:pt>
                <c:pt idx="801">
                  <c:v>196.65</c:v>
                </c:pt>
                <c:pt idx="802">
                  <c:v>195.94</c:v>
                </c:pt>
                <c:pt idx="803">
                  <c:v>197.13</c:v>
                </c:pt>
                <c:pt idx="804">
                  <c:v>192.81</c:v>
                </c:pt>
                <c:pt idx="805">
                  <c:v>193.07</c:v>
                </c:pt>
                <c:pt idx="806">
                  <c:v>194.7</c:v>
                </c:pt>
                <c:pt idx="807">
                  <c:v>194.44</c:v>
                </c:pt>
                <c:pt idx="808">
                  <c:v>193.42</c:v>
                </c:pt>
                <c:pt idx="809">
                  <c:v>192.5</c:v>
                </c:pt>
                <c:pt idx="810">
                  <c:v>190.69</c:v>
                </c:pt>
                <c:pt idx="811">
                  <c:v>191.35</c:v>
                </c:pt>
                <c:pt idx="812">
                  <c:v>194.26</c:v>
                </c:pt>
                <c:pt idx="813">
                  <c:v>192.06</c:v>
                </c:pt>
                <c:pt idx="814">
                  <c:v>192.45</c:v>
                </c:pt>
                <c:pt idx="815">
                  <c:v>191.83</c:v>
                </c:pt>
                <c:pt idx="816">
                  <c:v>187.16</c:v>
                </c:pt>
                <c:pt idx="817">
                  <c:v>187.6</c:v>
                </c:pt>
                <c:pt idx="818">
                  <c:v>187.51</c:v>
                </c:pt>
                <c:pt idx="819">
                  <c:v>192.41</c:v>
                </c:pt>
                <c:pt idx="820">
                  <c:v>196.78</c:v>
                </c:pt>
                <c:pt idx="821">
                  <c:v>197.79</c:v>
                </c:pt>
                <c:pt idx="822">
                  <c:v>201.81</c:v>
                </c:pt>
                <c:pt idx="823">
                  <c:v>207.11</c:v>
                </c:pt>
                <c:pt idx="824">
                  <c:v>208.43</c:v>
                </c:pt>
                <c:pt idx="825">
                  <c:v>207.81</c:v>
                </c:pt>
                <c:pt idx="826">
                  <c:v>198.59</c:v>
                </c:pt>
                <c:pt idx="827">
                  <c:v>194.79</c:v>
                </c:pt>
                <c:pt idx="828">
                  <c:v>192.36</c:v>
                </c:pt>
                <c:pt idx="829">
                  <c:v>195.67</c:v>
                </c:pt>
                <c:pt idx="830">
                  <c:v>199.03</c:v>
                </c:pt>
                <c:pt idx="831">
                  <c:v>195.9</c:v>
                </c:pt>
                <c:pt idx="832">
                  <c:v>195.23</c:v>
                </c:pt>
                <c:pt idx="833">
                  <c:v>195.54</c:v>
                </c:pt>
                <c:pt idx="834">
                  <c:v>197.75</c:v>
                </c:pt>
                <c:pt idx="835">
                  <c:v>204.19</c:v>
                </c:pt>
                <c:pt idx="836">
                  <c:v>201.02</c:v>
                </c:pt>
                <c:pt idx="837">
                  <c:v>204.46</c:v>
                </c:pt>
                <c:pt idx="838">
                  <c:v>203.84</c:v>
                </c:pt>
                <c:pt idx="839">
                  <c:v>209.67</c:v>
                </c:pt>
                <c:pt idx="840">
                  <c:v>211.43</c:v>
                </c:pt>
                <c:pt idx="841">
                  <c:v>207.86</c:v>
                </c:pt>
                <c:pt idx="842">
                  <c:v>210.2</c:v>
                </c:pt>
                <c:pt idx="843">
                  <c:v>205.61</c:v>
                </c:pt>
                <c:pt idx="844">
                  <c:v>203.05</c:v>
                </c:pt>
                <c:pt idx="845">
                  <c:v>203.8</c:v>
                </c:pt>
                <c:pt idx="846">
                  <c:v>201.94</c:v>
                </c:pt>
                <c:pt idx="847">
                  <c:v>202.87</c:v>
                </c:pt>
                <c:pt idx="848">
                  <c:v>200</c:v>
                </c:pt>
                <c:pt idx="849">
                  <c:v>196.38</c:v>
                </c:pt>
                <c:pt idx="850">
                  <c:v>199.16</c:v>
                </c:pt>
                <c:pt idx="851">
                  <c:v>200.27</c:v>
                </c:pt>
                <c:pt idx="852">
                  <c:v>197.04</c:v>
                </c:pt>
                <c:pt idx="853">
                  <c:v>198.72</c:v>
                </c:pt>
                <c:pt idx="854">
                  <c:v>210.51</c:v>
                </c:pt>
                <c:pt idx="855">
                  <c:v>208.96</c:v>
                </c:pt>
                <c:pt idx="856">
                  <c:v>206.05</c:v>
                </c:pt>
                <c:pt idx="857">
                  <c:v>208.87</c:v>
                </c:pt>
                <c:pt idx="858">
                  <c:v>216.02</c:v>
                </c:pt>
                <c:pt idx="859">
                  <c:v>217.7</c:v>
                </c:pt>
                <c:pt idx="860">
                  <c:v>217.13</c:v>
                </c:pt>
                <c:pt idx="861">
                  <c:v>231.78</c:v>
                </c:pt>
                <c:pt idx="862">
                  <c:v>226.49</c:v>
                </c:pt>
                <c:pt idx="863">
                  <c:v>220</c:v>
                </c:pt>
                <c:pt idx="864">
                  <c:v>213.02</c:v>
                </c:pt>
                <c:pt idx="865">
                  <c:v>210.15</c:v>
                </c:pt>
                <c:pt idx="866">
                  <c:v>204.55</c:v>
                </c:pt>
                <c:pt idx="867">
                  <c:v>205.65</c:v>
                </c:pt>
                <c:pt idx="868">
                  <c:v>204.15</c:v>
                </c:pt>
                <c:pt idx="869">
                  <c:v>207.2</c:v>
                </c:pt>
                <c:pt idx="870">
                  <c:v>208.87</c:v>
                </c:pt>
                <c:pt idx="871">
                  <c:v>207.77</c:v>
                </c:pt>
                <c:pt idx="872">
                  <c:v>208.48</c:v>
                </c:pt>
                <c:pt idx="873">
                  <c:v>210.2</c:v>
                </c:pt>
                <c:pt idx="874">
                  <c:v>209.89</c:v>
                </c:pt>
                <c:pt idx="875">
                  <c:v>210.73</c:v>
                </c:pt>
                <c:pt idx="876">
                  <c:v>210.51</c:v>
                </c:pt>
                <c:pt idx="877">
                  <c:v>214.08</c:v>
                </c:pt>
                <c:pt idx="878">
                  <c:v>214.96</c:v>
                </c:pt>
                <c:pt idx="879">
                  <c:v>213.2</c:v>
                </c:pt>
                <c:pt idx="880">
                  <c:v>206.36</c:v>
                </c:pt>
                <c:pt idx="881">
                  <c:v>204.06</c:v>
                </c:pt>
                <c:pt idx="882">
                  <c:v>203.71</c:v>
                </c:pt>
                <c:pt idx="883">
                  <c:v>190.69</c:v>
                </c:pt>
                <c:pt idx="884">
                  <c:v>190.78</c:v>
                </c:pt>
                <c:pt idx="885">
                  <c:v>189.05</c:v>
                </c:pt>
                <c:pt idx="886">
                  <c:v>187.73</c:v>
                </c:pt>
                <c:pt idx="887">
                  <c:v>186.49</c:v>
                </c:pt>
                <c:pt idx="888">
                  <c:v>186.94</c:v>
                </c:pt>
                <c:pt idx="889">
                  <c:v>184.77</c:v>
                </c:pt>
                <c:pt idx="890">
                  <c:v>185.92</c:v>
                </c:pt>
                <c:pt idx="891">
                  <c:v>185.17</c:v>
                </c:pt>
                <c:pt idx="892">
                  <c:v>184.95</c:v>
                </c:pt>
                <c:pt idx="893">
                  <c:v>186.54</c:v>
                </c:pt>
                <c:pt idx="894">
                  <c:v>183.62</c:v>
                </c:pt>
                <c:pt idx="895">
                  <c:v>181.77</c:v>
                </c:pt>
                <c:pt idx="896">
                  <c:v>180.62</c:v>
                </c:pt>
                <c:pt idx="897">
                  <c:v>182.21</c:v>
                </c:pt>
                <c:pt idx="898">
                  <c:v>181.64</c:v>
                </c:pt>
                <c:pt idx="899">
                  <c:v>182.12</c:v>
                </c:pt>
                <c:pt idx="900">
                  <c:v>184.42</c:v>
                </c:pt>
                <c:pt idx="901">
                  <c:v>184.46</c:v>
                </c:pt>
                <c:pt idx="902">
                  <c:v>184.68</c:v>
                </c:pt>
                <c:pt idx="903">
                  <c:v>186.18</c:v>
                </c:pt>
                <c:pt idx="904">
                  <c:v>186.67</c:v>
                </c:pt>
                <c:pt idx="905">
                  <c:v>184.42</c:v>
                </c:pt>
                <c:pt idx="906">
                  <c:v>184.2</c:v>
                </c:pt>
                <c:pt idx="907">
                  <c:v>185.26</c:v>
                </c:pt>
                <c:pt idx="908">
                  <c:v>188.74</c:v>
                </c:pt>
                <c:pt idx="909">
                  <c:v>189.14</c:v>
                </c:pt>
                <c:pt idx="910">
                  <c:v>190.02</c:v>
                </c:pt>
                <c:pt idx="911">
                  <c:v>184.15</c:v>
                </c:pt>
                <c:pt idx="912">
                  <c:v>185.3</c:v>
                </c:pt>
                <c:pt idx="913">
                  <c:v>183.01</c:v>
                </c:pt>
                <c:pt idx="914">
                  <c:v>180.93</c:v>
                </c:pt>
                <c:pt idx="915">
                  <c:v>181.9</c:v>
                </c:pt>
                <c:pt idx="916">
                  <c:v>184.6</c:v>
                </c:pt>
                <c:pt idx="917">
                  <c:v>184.2</c:v>
                </c:pt>
                <c:pt idx="918">
                  <c:v>186.41</c:v>
                </c:pt>
                <c:pt idx="919">
                  <c:v>187.51</c:v>
                </c:pt>
                <c:pt idx="920">
                  <c:v>182.74</c:v>
                </c:pt>
                <c:pt idx="921">
                  <c:v>182.57</c:v>
                </c:pt>
                <c:pt idx="922">
                  <c:v>183.4</c:v>
                </c:pt>
                <c:pt idx="923">
                  <c:v>183.54</c:v>
                </c:pt>
                <c:pt idx="924">
                  <c:v>182.08</c:v>
                </c:pt>
                <c:pt idx="925">
                  <c:v>180.18</c:v>
                </c:pt>
                <c:pt idx="926">
                  <c:v>178.2</c:v>
                </c:pt>
                <c:pt idx="927">
                  <c:v>177.53</c:v>
                </c:pt>
                <c:pt idx="928">
                  <c:v>177.75</c:v>
                </c:pt>
                <c:pt idx="929">
                  <c:v>178.33</c:v>
                </c:pt>
                <c:pt idx="930">
                  <c:v>179.87</c:v>
                </c:pt>
                <c:pt idx="931">
                  <c:v>178.77</c:v>
                </c:pt>
                <c:pt idx="932">
                  <c:v>179.78</c:v>
                </c:pt>
                <c:pt idx="933">
                  <c:v>178.68</c:v>
                </c:pt>
                <c:pt idx="934">
                  <c:v>179.21</c:v>
                </c:pt>
                <c:pt idx="935">
                  <c:v>178.95</c:v>
                </c:pt>
                <c:pt idx="936">
                  <c:v>179.48</c:v>
                </c:pt>
                <c:pt idx="937">
                  <c:v>179.74</c:v>
                </c:pt>
                <c:pt idx="938">
                  <c:v>181.02</c:v>
                </c:pt>
                <c:pt idx="939">
                  <c:v>179.43</c:v>
                </c:pt>
                <c:pt idx="940">
                  <c:v>180.05</c:v>
                </c:pt>
                <c:pt idx="941">
                  <c:v>181.06</c:v>
                </c:pt>
                <c:pt idx="942">
                  <c:v>180.49</c:v>
                </c:pt>
                <c:pt idx="943">
                  <c:v>180.58</c:v>
                </c:pt>
                <c:pt idx="944">
                  <c:v>181.55</c:v>
                </c:pt>
                <c:pt idx="945">
                  <c:v>183.49</c:v>
                </c:pt>
                <c:pt idx="946">
                  <c:v>182.79</c:v>
                </c:pt>
                <c:pt idx="947">
                  <c:v>183.01</c:v>
                </c:pt>
                <c:pt idx="948">
                  <c:v>183.54</c:v>
                </c:pt>
                <c:pt idx="949">
                  <c:v>184.77</c:v>
                </c:pt>
                <c:pt idx="950">
                  <c:v>182.52</c:v>
                </c:pt>
                <c:pt idx="951">
                  <c:v>183.51</c:v>
                </c:pt>
                <c:pt idx="952">
                  <c:v>181.62</c:v>
                </c:pt>
                <c:pt idx="953">
                  <c:v>179.3</c:v>
                </c:pt>
                <c:pt idx="954">
                  <c:v>179.56</c:v>
                </c:pt>
                <c:pt idx="955">
                  <c:v>179.51</c:v>
                </c:pt>
                <c:pt idx="956">
                  <c:v>184.88</c:v>
                </c:pt>
                <c:pt idx="957">
                  <c:v>186.04</c:v>
                </c:pt>
                <c:pt idx="958">
                  <c:v>182.86</c:v>
                </c:pt>
                <c:pt idx="959">
                  <c:v>181.36</c:v>
                </c:pt>
                <c:pt idx="960">
                  <c:v>180.89</c:v>
                </c:pt>
                <c:pt idx="961">
                  <c:v>181.15</c:v>
                </c:pt>
                <c:pt idx="962">
                  <c:v>181.66</c:v>
                </c:pt>
                <c:pt idx="963">
                  <c:v>179.56</c:v>
                </c:pt>
                <c:pt idx="964">
                  <c:v>177.8</c:v>
                </c:pt>
                <c:pt idx="965">
                  <c:v>178.44</c:v>
                </c:pt>
                <c:pt idx="966">
                  <c:v>180.42</c:v>
                </c:pt>
                <c:pt idx="967">
                  <c:v>182.61</c:v>
                </c:pt>
                <c:pt idx="968">
                  <c:v>182.31</c:v>
                </c:pt>
                <c:pt idx="969">
                  <c:v>174.58</c:v>
                </c:pt>
                <c:pt idx="970">
                  <c:v>175.22</c:v>
                </c:pt>
                <c:pt idx="971">
                  <c:v>176.55</c:v>
                </c:pt>
                <c:pt idx="972">
                  <c:v>176.38</c:v>
                </c:pt>
                <c:pt idx="973">
                  <c:v>174.15</c:v>
                </c:pt>
                <c:pt idx="974">
                  <c:v>172.99</c:v>
                </c:pt>
                <c:pt idx="975">
                  <c:v>171.44</c:v>
                </c:pt>
                <c:pt idx="976">
                  <c:v>172.6</c:v>
                </c:pt>
                <c:pt idx="977">
                  <c:v>174.02</c:v>
                </c:pt>
                <c:pt idx="978">
                  <c:v>175.48</c:v>
                </c:pt>
                <c:pt idx="979">
                  <c:v>176.51</c:v>
                </c:pt>
                <c:pt idx="980">
                  <c:v>176.42</c:v>
                </c:pt>
                <c:pt idx="981">
                  <c:v>176.34</c:v>
                </c:pt>
                <c:pt idx="982">
                  <c:v>176.38</c:v>
                </c:pt>
                <c:pt idx="983">
                  <c:v>176.85</c:v>
                </c:pt>
                <c:pt idx="984">
                  <c:v>174.83</c:v>
                </c:pt>
                <c:pt idx="985">
                  <c:v>176.59</c:v>
                </c:pt>
                <c:pt idx="986">
                  <c:v>178.61</c:v>
                </c:pt>
                <c:pt idx="987">
                  <c:v>177.54</c:v>
                </c:pt>
                <c:pt idx="988">
                  <c:v>179.26</c:v>
                </c:pt>
                <c:pt idx="989">
                  <c:v>176.34</c:v>
                </c:pt>
                <c:pt idx="990">
                  <c:v>183.04</c:v>
                </c:pt>
                <c:pt idx="991">
                  <c:v>183.17</c:v>
                </c:pt>
                <c:pt idx="992">
                  <c:v>183.64</c:v>
                </c:pt>
                <c:pt idx="993">
                  <c:v>182.65</c:v>
                </c:pt>
                <c:pt idx="994">
                  <c:v>182.56</c:v>
                </c:pt>
                <c:pt idx="995">
                  <c:v>189.01</c:v>
                </c:pt>
                <c:pt idx="996">
                  <c:v>187.67</c:v>
                </c:pt>
                <c:pt idx="997">
                  <c:v>184.28</c:v>
                </c:pt>
                <c:pt idx="998">
                  <c:v>181.15</c:v>
                </c:pt>
                <c:pt idx="999">
                  <c:v>181.75</c:v>
                </c:pt>
                <c:pt idx="1000">
                  <c:v>185.48</c:v>
                </c:pt>
                <c:pt idx="1001">
                  <c:v>190.85</c:v>
                </c:pt>
                <c:pt idx="1002">
                  <c:v>194.12</c:v>
                </c:pt>
                <c:pt idx="1003">
                  <c:v>191.5</c:v>
                </c:pt>
                <c:pt idx="1004">
                  <c:v>186.94</c:v>
                </c:pt>
                <c:pt idx="1005">
                  <c:v>180.89</c:v>
                </c:pt>
                <c:pt idx="1006">
                  <c:v>178.53</c:v>
                </c:pt>
                <c:pt idx="1007">
                  <c:v>176.47</c:v>
                </c:pt>
                <c:pt idx="1008">
                  <c:v>176.25</c:v>
                </c:pt>
                <c:pt idx="1009">
                  <c:v>177.37</c:v>
                </c:pt>
                <c:pt idx="1010">
                  <c:v>178.48</c:v>
                </c:pt>
                <c:pt idx="1011">
                  <c:v>178.66</c:v>
                </c:pt>
                <c:pt idx="1012">
                  <c:v>179.13</c:v>
                </c:pt>
                <c:pt idx="1013">
                  <c:v>180.12</c:v>
                </c:pt>
                <c:pt idx="1014">
                  <c:v>180.33</c:v>
                </c:pt>
                <c:pt idx="1015">
                  <c:v>180.29</c:v>
                </c:pt>
                <c:pt idx="1016">
                  <c:v>177.71</c:v>
                </c:pt>
                <c:pt idx="1017">
                  <c:v>175.09</c:v>
                </c:pt>
                <c:pt idx="1018">
                  <c:v>179.64</c:v>
                </c:pt>
                <c:pt idx="1019">
                  <c:v>179.39</c:v>
                </c:pt>
                <c:pt idx="1020">
                  <c:v>179.09</c:v>
                </c:pt>
                <c:pt idx="1021">
                  <c:v>177.84</c:v>
                </c:pt>
                <c:pt idx="1022">
                  <c:v>181.19</c:v>
                </c:pt>
                <c:pt idx="1023">
                  <c:v>183.62</c:v>
                </c:pt>
                <c:pt idx="1024">
                  <c:v>182.7</c:v>
                </c:pt>
                <c:pt idx="1025">
                  <c:v>183.12</c:v>
                </c:pt>
                <c:pt idx="1026">
                  <c:v>183.41</c:v>
                </c:pt>
                <c:pt idx="1027">
                  <c:v>182.45</c:v>
                </c:pt>
                <c:pt idx="1028">
                  <c:v>190</c:v>
                </c:pt>
                <c:pt idx="1029">
                  <c:v>190.92</c:v>
                </c:pt>
                <c:pt idx="1030">
                  <c:v>192.14</c:v>
                </c:pt>
                <c:pt idx="1031">
                  <c:v>195.58</c:v>
                </c:pt>
                <c:pt idx="1032">
                  <c:v>196.63</c:v>
                </c:pt>
                <c:pt idx="1033">
                  <c:v>192.94</c:v>
                </c:pt>
                <c:pt idx="1034">
                  <c:v>181.86</c:v>
                </c:pt>
                <c:pt idx="1035">
                  <c:v>183.08</c:v>
                </c:pt>
                <c:pt idx="1036">
                  <c:v>181.19</c:v>
                </c:pt>
                <c:pt idx="1037">
                  <c:v>170.53</c:v>
                </c:pt>
                <c:pt idx="1038">
                  <c:v>173.34</c:v>
                </c:pt>
                <c:pt idx="1039">
                  <c:v>176.74</c:v>
                </c:pt>
                <c:pt idx="1040">
                  <c:v>174.35</c:v>
                </c:pt>
                <c:pt idx="1041">
                  <c:v>176.78</c:v>
                </c:pt>
                <c:pt idx="1042">
                  <c:v>179.3</c:v>
                </c:pt>
                <c:pt idx="1043">
                  <c:v>182.62</c:v>
                </c:pt>
                <c:pt idx="1044">
                  <c:v>183.62</c:v>
                </c:pt>
                <c:pt idx="1045">
                  <c:v>184.38</c:v>
                </c:pt>
                <c:pt idx="1046">
                  <c:v>182.78</c:v>
                </c:pt>
                <c:pt idx="1047">
                  <c:v>179.68</c:v>
                </c:pt>
                <c:pt idx="1048">
                  <c:v>177.25</c:v>
                </c:pt>
                <c:pt idx="1049">
                  <c:v>173.22</c:v>
                </c:pt>
                <c:pt idx="1050">
                  <c:v>169.9</c:v>
                </c:pt>
                <c:pt idx="1051">
                  <c:v>169.07</c:v>
                </c:pt>
                <c:pt idx="1052">
                  <c:v>170.16</c:v>
                </c:pt>
                <c:pt idx="1053">
                  <c:v>172.34</c:v>
                </c:pt>
                <c:pt idx="1054">
                  <c:v>177.41</c:v>
                </c:pt>
                <c:pt idx="1055">
                  <c:v>179.05</c:v>
                </c:pt>
                <c:pt idx="1056">
                  <c:v>179.43</c:v>
                </c:pt>
                <c:pt idx="1057">
                  <c:v>175.36</c:v>
                </c:pt>
                <c:pt idx="1058">
                  <c:v>177.16</c:v>
                </c:pt>
                <c:pt idx="1059">
                  <c:v>177.5</c:v>
                </c:pt>
                <c:pt idx="1060">
                  <c:v>175.78</c:v>
                </c:pt>
                <c:pt idx="1061">
                  <c:v>175.02</c:v>
                </c:pt>
                <c:pt idx="1062">
                  <c:v>174.31</c:v>
                </c:pt>
                <c:pt idx="1063">
                  <c:v>170.66</c:v>
                </c:pt>
                <c:pt idx="1064">
                  <c:v>170.28</c:v>
                </c:pt>
                <c:pt idx="1065">
                  <c:v>179.97</c:v>
                </c:pt>
                <c:pt idx="1066">
                  <c:v>178.76</c:v>
                </c:pt>
                <c:pt idx="1067">
                  <c:v>179.55</c:v>
                </c:pt>
                <c:pt idx="1068">
                  <c:v>179.18</c:v>
                </c:pt>
                <c:pt idx="1069">
                  <c:v>181.15</c:v>
                </c:pt>
                <c:pt idx="1070">
                  <c:v>181.48</c:v>
                </c:pt>
                <c:pt idx="1071">
                  <c:v>178.46</c:v>
                </c:pt>
                <c:pt idx="1072">
                  <c:v>172.34</c:v>
                </c:pt>
                <c:pt idx="1073">
                  <c:v>169.86</c:v>
                </c:pt>
                <c:pt idx="1074">
                  <c:v>170.45</c:v>
                </c:pt>
                <c:pt idx="1075">
                  <c:v>166.3</c:v>
                </c:pt>
                <c:pt idx="1076">
                  <c:v>164.62</c:v>
                </c:pt>
                <c:pt idx="1077">
                  <c:v>164.41</c:v>
                </c:pt>
                <c:pt idx="1078">
                  <c:v>163.11000000000001</c:v>
                </c:pt>
                <c:pt idx="1079">
                  <c:v>162.47999999999999</c:v>
                </c:pt>
                <c:pt idx="1080">
                  <c:v>163.44</c:v>
                </c:pt>
                <c:pt idx="1081">
                  <c:v>162.65</c:v>
                </c:pt>
                <c:pt idx="1082">
                  <c:v>164.07</c:v>
                </c:pt>
                <c:pt idx="1083">
                  <c:v>160.13</c:v>
                </c:pt>
                <c:pt idx="1084">
                  <c:v>160.84</c:v>
                </c:pt>
                <c:pt idx="1085">
                  <c:v>157.65</c:v>
                </c:pt>
                <c:pt idx="1086">
                  <c:v>154.41999999999999</c:v>
                </c:pt>
                <c:pt idx="1087">
                  <c:v>157.19</c:v>
                </c:pt>
                <c:pt idx="1088">
                  <c:v>158.24</c:v>
                </c:pt>
                <c:pt idx="1089">
                  <c:v>156.97999999999999</c:v>
                </c:pt>
                <c:pt idx="1090">
                  <c:v>157.74</c:v>
                </c:pt>
                <c:pt idx="1091">
                  <c:v>155.47</c:v>
                </c:pt>
                <c:pt idx="1092">
                  <c:v>149.63999999999999</c:v>
                </c:pt>
                <c:pt idx="1093">
                  <c:v>144.99</c:v>
                </c:pt>
                <c:pt idx="1094">
                  <c:v>145.94999999999999</c:v>
                </c:pt>
                <c:pt idx="1095">
                  <c:v>146.62</c:v>
                </c:pt>
                <c:pt idx="1096">
                  <c:v>142.47</c:v>
                </c:pt>
                <c:pt idx="1097">
                  <c:v>142.72</c:v>
                </c:pt>
                <c:pt idx="1098">
                  <c:v>139.91</c:v>
                </c:pt>
                <c:pt idx="1099">
                  <c:v>138.65</c:v>
                </c:pt>
                <c:pt idx="1100">
                  <c:v>137.47999999999999</c:v>
                </c:pt>
                <c:pt idx="1101">
                  <c:v>138.86000000000001</c:v>
                </c:pt>
                <c:pt idx="1102">
                  <c:v>140.29</c:v>
                </c:pt>
                <c:pt idx="1103">
                  <c:v>141.41999999999999</c:v>
                </c:pt>
                <c:pt idx="1104">
                  <c:v>143.27000000000001</c:v>
                </c:pt>
                <c:pt idx="1105">
                  <c:v>141.41999999999999</c:v>
                </c:pt>
                <c:pt idx="1106">
                  <c:v>140.66</c:v>
                </c:pt>
                <c:pt idx="1107">
                  <c:v>140.5</c:v>
                </c:pt>
                <c:pt idx="1108">
                  <c:v>141.16999999999999</c:v>
                </c:pt>
                <c:pt idx="1109">
                  <c:v>139.03</c:v>
                </c:pt>
                <c:pt idx="1110">
                  <c:v>138.47999999999999</c:v>
                </c:pt>
                <c:pt idx="1111">
                  <c:v>140.79</c:v>
                </c:pt>
                <c:pt idx="1112">
                  <c:v>142.76</c:v>
                </c:pt>
                <c:pt idx="1113">
                  <c:v>144.47999999999999</c:v>
                </c:pt>
                <c:pt idx="1114">
                  <c:v>140.83000000000001</c:v>
                </c:pt>
                <c:pt idx="1115">
                  <c:v>140.24</c:v>
                </c:pt>
                <c:pt idx="1116">
                  <c:v>142.22</c:v>
                </c:pt>
                <c:pt idx="1117">
                  <c:v>142.55000000000001</c:v>
                </c:pt>
                <c:pt idx="1118">
                  <c:v>142.01</c:v>
                </c:pt>
                <c:pt idx="1119">
                  <c:v>143.35</c:v>
                </c:pt>
                <c:pt idx="1120">
                  <c:v>144.06</c:v>
                </c:pt>
                <c:pt idx="1121">
                  <c:v>142.13</c:v>
                </c:pt>
                <c:pt idx="1122">
                  <c:v>145.4</c:v>
                </c:pt>
                <c:pt idx="1123">
                  <c:v>143.27000000000001</c:v>
                </c:pt>
                <c:pt idx="1124">
                  <c:v>139.74</c:v>
                </c:pt>
                <c:pt idx="1125">
                  <c:v>144.72999999999999</c:v>
                </c:pt>
                <c:pt idx="1126">
                  <c:v>146.16</c:v>
                </c:pt>
                <c:pt idx="1127">
                  <c:v>147.46</c:v>
                </c:pt>
                <c:pt idx="1128">
                  <c:v>150.27000000000001</c:v>
                </c:pt>
                <c:pt idx="1129">
                  <c:v>149.85</c:v>
                </c:pt>
                <c:pt idx="1130">
                  <c:v>151.57</c:v>
                </c:pt>
                <c:pt idx="1131">
                  <c:v>152.54</c:v>
                </c:pt>
                <c:pt idx="1132">
                  <c:v>153.84</c:v>
                </c:pt>
                <c:pt idx="1133">
                  <c:v>154.34</c:v>
                </c:pt>
                <c:pt idx="1134">
                  <c:v>155.13999999999999</c:v>
                </c:pt>
                <c:pt idx="1135">
                  <c:v>154.21</c:v>
                </c:pt>
                <c:pt idx="1136">
                  <c:v>157.86000000000001</c:v>
                </c:pt>
                <c:pt idx="1137">
                  <c:v>158.66</c:v>
                </c:pt>
                <c:pt idx="1138">
                  <c:v>156.65</c:v>
                </c:pt>
                <c:pt idx="1139">
                  <c:v>160.76</c:v>
                </c:pt>
                <c:pt idx="1140">
                  <c:v>160.55000000000001</c:v>
                </c:pt>
                <c:pt idx="1141">
                  <c:v>159.58000000000001</c:v>
                </c:pt>
                <c:pt idx="1142">
                  <c:v>160.34</c:v>
                </c:pt>
                <c:pt idx="1143">
                  <c:v>164.07</c:v>
                </c:pt>
                <c:pt idx="1144">
                  <c:v>162.97999999999999</c:v>
                </c:pt>
                <c:pt idx="1145">
                  <c:v>163.57</c:v>
                </c:pt>
                <c:pt idx="1146">
                  <c:v>163.95</c:v>
                </c:pt>
                <c:pt idx="1147">
                  <c:v>165.04</c:v>
                </c:pt>
                <c:pt idx="1148">
                  <c:v>165.12</c:v>
                </c:pt>
                <c:pt idx="1149">
                  <c:v>164.28</c:v>
                </c:pt>
                <c:pt idx="1150">
                  <c:v>166.51</c:v>
                </c:pt>
                <c:pt idx="1151">
                  <c:v>166.59</c:v>
                </c:pt>
                <c:pt idx="1152">
                  <c:v>166.76</c:v>
                </c:pt>
                <c:pt idx="1153">
                  <c:v>164.79</c:v>
                </c:pt>
                <c:pt idx="1154">
                  <c:v>169.02</c:v>
                </c:pt>
                <c:pt idx="1155">
                  <c:v>171.33</c:v>
                </c:pt>
                <c:pt idx="1156">
                  <c:v>170.37</c:v>
                </c:pt>
                <c:pt idx="1157">
                  <c:v>166.84</c:v>
                </c:pt>
                <c:pt idx="1158">
                  <c:v>164.49</c:v>
                </c:pt>
                <c:pt idx="1159">
                  <c:v>163.91</c:v>
                </c:pt>
                <c:pt idx="1160">
                  <c:v>161.77000000000001</c:v>
                </c:pt>
                <c:pt idx="1161">
                  <c:v>162.47999999999999</c:v>
                </c:pt>
                <c:pt idx="1162">
                  <c:v>161.6</c:v>
                </c:pt>
                <c:pt idx="1163">
                  <c:v>162.9</c:v>
                </c:pt>
                <c:pt idx="1164">
                  <c:v>162.22999999999999</c:v>
                </c:pt>
                <c:pt idx="1165">
                  <c:v>165.04</c:v>
                </c:pt>
                <c:pt idx="1166">
                  <c:v>163.95</c:v>
                </c:pt>
                <c:pt idx="1167">
                  <c:v>164.79</c:v>
                </c:pt>
                <c:pt idx="1168">
                  <c:v>167.47</c:v>
                </c:pt>
                <c:pt idx="1169">
                  <c:v>168.39</c:v>
                </c:pt>
                <c:pt idx="1170">
                  <c:v>164.91</c:v>
                </c:pt>
                <c:pt idx="1171">
                  <c:v>161.30000000000001</c:v>
                </c:pt>
                <c:pt idx="1172">
                  <c:v>161.68</c:v>
                </c:pt>
                <c:pt idx="1173">
                  <c:v>162.81</c:v>
                </c:pt>
                <c:pt idx="1174">
                  <c:v>162.65</c:v>
                </c:pt>
                <c:pt idx="1175">
                  <c:v>166.72</c:v>
                </c:pt>
                <c:pt idx="1176">
                  <c:v>164.37</c:v>
                </c:pt>
                <c:pt idx="1177">
                  <c:v>165.75</c:v>
                </c:pt>
                <c:pt idx="1178">
                  <c:v>163.07</c:v>
                </c:pt>
                <c:pt idx="1179">
                  <c:v>163.99</c:v>
                </c:pt>
                <c:pt idx="1180">
                  <c:v>164.7</c:v>
                </c:pt>
                <c:pt idx="1181">
                  <c:v>162.97999999999999</c:v>
                </c:pt>
                <c:pt idx="1182">
                  <c:v>167.64</c:v>
                </c:pt>
                <c:pt idx="1183">
                  <c:v>165.63</c:v>
                </c:pt>
                <c:pt idx="1184">
                  <c:v>164.27</c:v>
                </c:pt>
                <c:pt idx="1185">
                  <c:v>161.91</c:v>
                </c:pt>
                <c:pt idx="1186">
                  <c:v>155.33000000000001</c:v>
                </c:pt>
                <c:pt idx="1187">
                  <c:v>157.41</c:v>
                </c:pt>
                <c:pt idx="1188">
                  <c:v>155.77000000000001</c:v>
                </c:pt>
                <c:pt idx="1189">
                  <c:v>161.28</c:v>
                </c:pt>
                <c:pt idx="1190">
                  <c:v>153.1</c:v>
                </c:pt>
                <c:pt idx="1191">
                  <c:v>148.31</c:v>
                </c:pt>
                <c:pt idx="1192">
                  <c:v>147.63</c:v>
                </c:pt>
                <c:pt idx="1193">
                  <c:v>146.87</c:v>
                </c:pt>
                <c:pt idx="1194">
                  <c:v>148.91</c:v>
                </c:pt>
                <c:pt idx="1195">
                  <c:v>144.6</c:v>
                </c:pt>
                <c:pt idx="1196">
                  <c:v>147.63</c:v>
                </c:pt>
                <c:pt idx="1197">
                  <c:v>149.38999999999999</c:v>
                </c:pt>
                <c:pt idx="1198">
                  <c:v>154.72999999999999</c:v>
                </c:pt>
                <c:pt idx="1199">
                  <c:v>155.01</c:v>
                </c:pt>
                <c:pt idx="1200">
                  <c:v>158.84</c:v>
                </c:pt>
                <c:pt idx="1201">
                  <c:v>158.4</c:v>
                </c:pt>
                <c:pt idx="1202">
                  <c:v>157.72999999999999</c:v>
                </c:pt>
                <c:pt idx="1203">
                  <c:v>159.6</c:v>
                </c:pt>
                <c:pt idx="1204">
                  <c:v>159.72</c:v>
                </c:pt>
                <c:pt idx="1205">
                  <c:v>156.97</c:v>
                </c:pt>
                <c:pt idx="1206">
                  <c:v>157.41</c:v>
                </c:pt>
                <c:pt idx="1207">
                  <c:v>160.04</c:v>
                </c:pt>
                <c:pt idx="1208">
                  <c:v>157.49</c:v>
                </c:pt>
                <c:pt idx="1209">
                  <c:v>152.13999999999999</c:v>
                </c:pt>
                <c:pt idx="1210">
                  <c:v>153.34</c:v>
                </c:pt>
                <c:pt idx="1211">
                  <c:v>152.97999999999999</c:v>
                </c:pt>
                <c:pt idx="1212">
                  <c:v>148.71</c:v>
                </c:pt>
                <c:pt idx="1213">
                  <c:v>150.78</c:v>
                </c:pt>
                <c:pt idx="1214">
                  <c:v>140.25</c:v>
                </c:pt>
                <c:pt idx="1215">
                  <c:v>136.26</c:v>
                </c:pt>
                <c:pt idx="1216">
                  <c:v>131.47</c:v>
                </c:pt>
                <c:pt idx="1217">
                  <c:v>131.38999999999999</c:v>
                </c:pt>
                <c:pt idx="1218">
                  <c:v>130.71</c:v>
                </c:pt>
                <c:pt idx="1219">
                  <c:v>131.99</c:v>
                </c:pt>
                <c:pt idx="1220">
                  <c:v>131.71</c:v>
                </c:pt>
                <c:pt idx="1221">
                  <c:v>126.44</c:v>
                </c:pt>
                <c:pt idx="1222">
                  <c:v>126.28</c:v>
                </c:pt>
                <c:pt idx="1223">
                  <c:v>128.47999999999999</c:v>
                </c:pt>
                <c:pt idx="1224">
                  <c:v>130.79</c:v>
                </c:pt>
                <c:pt idx="1225">
                  <c:v>138.77000000000001</c:v>
                </c:pt>
                <c:pt idx="1226">
                  <c:v>138.88999999999999</c:v>
                </c:pt>
                <c:pt idx="1227">
                  <c:v>145.28</c:v>
                </c:pt>
                <c:pt idx="1228">
                  <c:v>145.36000000000001</c:v>
                </c:pt>
                <c:pt idx="1229">
                  <c:v>143.19999999999999</c:v>
                </c:pt>
                <c:pt idx="1230">
                  <c:v>143.52000000000001</c:v>
                </c:pt>
                <c:pt idx="1231">
                  <c:v>143.68</c:v>
                </c:pt>
                <c:pt idx="1232">
                  <c:v>144.08000000000001</c:v>
                </c:pt>
                <c:pt idx="1233">
                  <c:v>145.44</c:v>
                </c:pt>
                <c:pt idx="1234">
                  <c:v>143.32</c:v>
                </c:pt>
                <c:pt idx="1235">
                  <c:v>144.19999999999999</c:v>
                </c:pt>
                <c:pt idx="1236">
                  <c:v>150.1</c:v>
                </c:pt>
                <c:pt idx="1237">
                  <c:v>148.71</c:v>
                </c:pt>
                <c:pt idx="1238">
                  <c:v>151.1</c:v>
                </c:pt>
                <c:pt idx="1239">
                  <c:v>144.91999999999999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C-4FBC-BF5D-9E6BB3D72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953568"/>
        <c:axId val="1417940128"/>
      </c:lineChart>
      <c:catAx>
        <c:axId val="141795356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40128"/>
        <c:crosses val="autoZero"/>
        <c:auto val="1"/>
        <c:lblAlgn val="ctr"/>
        <c:lblOffset val="100"/>
        <c:noMultiLvlLbl val="0"/>
      </c:catAx>
      <c:valAx>
        <c:axId val="141794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'[1]yahoo-2025-04-12'!$C$1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'[1]yahoo-2025-04-12'!$A$2:$A$1241</c:f>
              <c:strCache>
                <c:ptCount val="1240"/>
                <c:pt idx="0">
                  <c:v>Apr 11, 2025</c:v>
                </c:pt>
                <c:pt idx="1">
                  <c:v>Apr 9, 2025</c:v>
                </c:pt>
                <c:pt idx="2">
                  <c:v>Apr 8, 2025</c:v>
                </c:pt>
                <c:pt idx="3">
                  <c:v>Apr 7, 2025</c:v>
                </c:pt>
                <c:pt idx="4">
                  <c:v>Apr 4, 2025</c:v>
                </c:pt>
                <c:pt idx="5">
                  <c:v>Apr 3, 2025</c:v>
                </c:pt>
                <c:pt idx="6">
                  <c:v>Apr 2, 2025</c:v>
                </c:pt>
                <c:pt idx="7">
                  <c:v>Apr 1, 2025</c:v>
                </c:pt>
                <c:pt idx="8">
                  <c:v>Mar 28, 2025</c:v>
                </c:pt>
                <c:pt idx="9">
                  <c:v>Mar 27, 2025</c:v>
                </c:pt>
                <c:pt idx="10">
                  <c:v>Mar 26, 2025</c:v>
                </c:pt>
                <c:pt idx="11">
                  <c:v>Mar 25, 2025</c:v>
                </c:pt>
                <c:pt idx="12">
                  <c:v>Mar 24, 2025</c:v>
                </c:pt>
                <c:pt idx="13">
                  <c:v>Mar 21, 2025</c:v>
                </c:pt>
                <c:pt idx="14">
                  <c:v>Mar 20, 2025</c:v>
                </c:pt>
                <c:pt idx="15">
                  <c:v>Mar 19, 2025</c:v>
                </c:pt>
                <c:pt idx="16">
                  <c:v>Mar 18, 2025</c:v>
                </c:pt>
                <c:pt idx="17">
                  <c:v>Mar 17, 2025</c:v>
                </c:pt>
                <c:pt idx="18">
                  <c:v>Mar 13, 2025</c:v>
                </c:pt>
                <c:pt idx="19">
                  <c:v>Mar 12, 2025</c:v>
                </c:pt>
                <c:pt idx="20">
                  <c:v>Mar 11, 2025</c:v>
                </c:pt>
                <c:pt idx="21">
                  <c:v>Mar 10, 2025</c:v>
                </c:pt>
                <c:pt idx="22">
                  <c:v>Mar 7, 2025</c:v>
                </c:pt>
                <c:pt idx="23">
                  <c:v>Mar 6, 2025</c:v>
                </c:pt>
                <c:pt idx="24">
                  <c:v>Mar 5, 2025</c:v>
                </c:pt>
                <c:pt idx="25">
                  <c:v>Mar 4, 2025</c:v>
                </c:pt>
                <c:pt idx="26">
                  <c:v>Mar 3, 2025</c:v>
                </c:pt>
                <c:pt idx="27">
                  <c:v>Feb 28, 2025</c:v>
                </c:pt>
                <c:pt idx="28">
                  <c:v>Feb 27, 2025</c:v>
                </c:pt>
                <c:pt idx="29">
                  <c:v>Feb 25, 2025</c:v>
                </c:pt>
                <c:pt idx="30">
                  <c:v>Feb 24, 2025</c:v>
                </c:pt>
                <c:pt idx="31">
                  <c:v>Feb 21, 2025</c:v>
                </c:pt>
                <c:pt idx="32">
                  <c:v>Feb 20, 2025</c:v>
                </c:pt>
                <c:pt idx="33">
                  <c:v>Feb 19, 2025</c:v>
                </c:pt>
                <c:pt idx="34">
                  <c:v>Feb 18, 2025</c:v>
                </c:pt>
                <c:pt idx="35">
                  <c:v>Feb 17, 2025</c:v>
                </c:pt>
                <c:pt idx="36">
                  <c:v>Feb 14, 2025</c:v>
                </c:pt>
                <c:pt idx="37">
                  <c:v>Feb 13, 2025</c:v>
                </c:pt>
                <c:pt idx="38">
                  <c:v>Feb 12, 2025</c:v>
                </c:pt>
                <c:pt idx="39">
                  <c:v>Feb 11, 2025</c:v>
                </c:pt>
                <c:pt idx="40">
                  <c:v>Feb 10, 2025</c:v>
                </c:pt>
                <c:pt idx="41">
                  <c:v>Feb 7, 2025</c:v>
                </c:pt>
                <c:pt idx="42">
                  <c:v>Feb 6, 2025</c:v>
                </c:pt>
                <c:pt idx="43">
                  <c:v>Feb 5, 2025</c:v>
                </c:pt>
                <c:pt idx="44">
                  <c:v>Feb 4, 2025</c:v>
                </c:pt>
                <c:pt idx="45">
                  <c:v>Feb 3, 2025</c:v>
                </c:pt>
                <c:pt idx="46">
                  <c:v>Feb 1, 2025</c:v>
                </c:pt>
                <c:pt idx="47">
                  <c:v>Jan 31, 2025</c:v>
                </c:pt>
                <c:pt idx="48">
                  <c:v>Jan 30, 2025</c:v>
                </c:pt>
                <c:pt idx="49">
                  <c:v>Jan 29, 2025</c:v>
                </c:pt>
                <c:pt idx="50">
                  <c:v>Jan 28, 2025</c:v>
                </c:pt>
                <c:pt idx="51">
                  <c:v>Jan 27, 2025</c:v>
                </c:pt>
                <c:pt idx="52">
                  <c:v>Jan 24, 2025</c:v>
                </c:pt>
                <c:pt idx="53">
                  <c:v>Jan 23, 2025</c:v>
                </c:pt>
                <c:pt idx="54">
                  <c:v>Jan 22, 2025</c:v>
                </c:pt>
                <c:pt idx="55">
                  <c:v>Jan 21, 2025</c:v>
                </c:pt>
                <c:pt idx="56">
                  <c:v>Jan 20, 2025</c:v>
                </c:pt>
                <c:pt idx="57">
                  <c:v>Jan 17, 2025</c:v>
                </c:pt>
                <c:pt idx="58">
                  <c:v>Jan 16, 2025</c:v>
                </c:pt>
                <c:pt idx="59">
                  <c:v>Jan 15, 2025</c:v>
                </c:pt>
                <c:pt idx="60">
                  <c:v>Jan 14, 2025</c:v>
                </c:pt>
                <c:pt idx="61">
                  <c:v>Jan 13, 2025</c:v>
                </c:pt>
                <c:pt idx="62">
                  <c:v>Jan 10, 2025</c:v>
                </c:pt>
                <c:pt idx="63">
                  <c:v>Jan 9, 2025</c:v>
                </c:pt>
                <c:pt idx="64">
                  <c:v>Jan 8, 2025</c:v>
                </c:pt>
                <c:pt idx="65">
                  <c:v>Jan 7, 2025</c:v>
                </c:pt>
                <c:pt idx="66">
                  <c:v>Jan 6, 2025</c:v>
                </c:pt>
                <c:pt idx="67">
                  <c:v>Jan 3, 2025</c:v>
                </c:pt>
                <c:pt idx="68">
                  <c:v>Jan 2, 2025</c:v>
                </c:pt>
                <c:pt idx="69">
                  <c:v>Jan 1, 2025</c:v>
                </c:pt>
                <c:pt idx="70">
                  <c:v>Dec 31, 2024</c:v>
                </c:pt>
                <c:pt idx="71">
                  <c:v>Dec 30, 2024</c:v>
                </c:pt>
                <c:pt idx="72">
                  <c:v>Dec 27, 2024</c:v>
                </c:pt>
                <c:pt idx="73">
                  <c:v>Dec 26, 2024</c:v>
                </c:pt>
                <c:pt idx="74">
                  <c:v>Dec 24, 2024</c:v>
                </c:pt>
                <c:pt idx="75">
                  <c:v>Dec 23, 2024</c:v>
                </c:pt>
                <c:pt idx="76">
                  <c:v>Dec 20, 2024</c:v>
                </c:pt>
                <c:pt idx="77">
                  <c:v>Dec 19, 2024</c:v>
                </c:pt>
                <c:pt idx="78">
                  <c:v>Dec 18, 2024</c:v>
                </c:pt>
                <c:pt idx="79">
                  <c:v>Dec 17, 2024</c:v>
                </c:pt>
                <c:pt idx="80">
                  <c:v>Dec 16, 2024</c:v>
                </c:pt>
                <c:pt idx="81">
                  <c:v>Dec 13, 2024</c:v>
                </c:pt>
                <c:pt idx="82">
                  <c:v>Dec 12, 2024</c:v>
                </c:pt>
                <c:pt idx="83">
                  <c:v>Dec 11, 2024</c:v>
                </c:pt>
                <c:pt idx="84">
                  <c:v>Dec 10, 2024</c:v>
                </c:pt>
                <c:pt idx="85">
                  <c:v>Dec 9, 2024</c:v>
                </c:pt>
                <c:pt idx="86">
                  <c:v>Dec 6, 2024</c:v>
                </c:pt>
                <c:pt idx="87">
                  <c:v>Dec 5, 2024</c:v>
                </c:pt>
                <c:pt idx="88">
                  <c:v>Dec 4, 2024</c:v>
                </c:pt>
                <c:pt idx="89">
                  <c:v>Dec 3, 2024</c:v>
                </c:pt>
                <c:pt idx="90">
                  <c:v>Dec 2, 2024</c:v>
                </c:pt>
                <c:pt idx="91">
                  <c:v>Nov 29, 2024</c:v>
                </c:pt>
                <c:pt idx="92">
                  <c:v>Nov 28, 2024</c:v>
                </c:pt>
                <c:pt idx="93">
                  <c:v>Nov 27, 2024</c:v>
                </c:pt>
                <c:pt idx="94">
                  <c:v>Nov 26, 2024</c:v>
                </c:pt>
                <c:pt idx="95">
                  <c:v>Nov 25, 2024</c:v>
                </c:pt>
                <c:pt idx="96">
                  <c:v>Nov 22, 2024</c:v>
                </c:pt>
                <c:pt idx="97">
                  <c:v>Nov 21, 2024</c:v>
                </c:pt>
                <c:pt idx="98">
                  <c:v>Nov 19, 2024</c:v>
                </c:pt>
                <c:pt idx="99">
                  <c:v>Nov 18, 2024</c:v>
                </c:pt>
                <c:pt idx="100">
                  <c:v>Nov 14, 2024</c:v>
                </c:pt>
                <c:pt idx="101">
                  <c:v>Nov 13, 2024</c:v>
                </c:pt>
                <c:pt idx="102">
                  <c:v>Nov 12, 2024</c:v>
                </c:pt>
                <c:pt idx="103">
                  <c:v>Nov 11, 2024</c:v>
                </c:pt>
                <c:pt idx="104">
                  <c:v>Nov 8, 2024</c:v>
                </c:pt>
                <c:pt idx="105">
                  <c:v>Nov 7, 2024</c:v>
                </c:pt>
                <c:pt idx="106">
                  <c:v>Nov 6, 2024</c:v>
                </c:pt>
                <c:pt idx="107">
                  <c:v>Nov 5, 2024</c:v>
                </c:pt>
                <c:pt idx="108">
                  <c:v>Nov 4, 2024</c:v>
                </c:pt>
                <c:pt idx="109">
                  <c:v>Nov 1, 2024</c:v>
                </c:pt>
                <c:pt idx="110">
                  <c:v>Oct 31, 2024</c:v>
                </c:pt>
                <c:pt idx="111">
                  <c:v>Oct 30, 2024</c:v>
                </c:pt>
                <c:pt idx="112">
                  <c:v>Oct 29, 2024</c:v>
                </c:pt>
                <c:pt idx="113">
                  <c:v>Oct 28, 2024</c:v>
                </c:pt>
                <c:pt idx="114">
                  <c:v>Oct 25, 2024</c:v>
                </c:pt>
                <c:pt idx="115">
                  <c:v>Oct 24, 2024</c:v>
                </c:pt>
                <c:pt idx="116">
                  <c:v>Oct 23, 2024</c:v>
                </c:pt>
                <c:pt idx="117">
                  <c:v>Oct 22, 2024</c:v>
                </c:pt>
                <c:pt idx="118">
                  <c:v>Oct 21, 2024</c:v>
                </c:pt>
                <c:pt idx="119">
                  <c:v>Oct 18, 2024</c:v>
                </c:pt>
                <c:pt idx="120">
                  <c:v>Oct 17, 2024</c:v>
                </c:pt>
                <c:pt idx="121">
                  <c:v>Oct 16, 2024</c:v>
                </c:pt>
                <c:pt idx="122">
                  <c:v>Oct 15, 2024</c:v>
                </c:pt>
                <c:pt idx="123">
                  <c:v>Oct 14, 2024</c:v>
                </c:pt>
                <c:pt idx="124">
                  <c:v>Oct 11, 2024</c:v>
                </c:pt>
                <c:pt idx="125">
                  <c:v>Oct 10, 2024</c:v>
                </c:pt>
                <c:pt idx="126">
                  <c:v>Oct 9, 2024</c:v>
                </c:pt>
                <c:pt idx="127">
                  <c:v>Oct 8, 2024</c:v>
                </c:pt>
                <c:pt idx="128">
                  <c:v>Oct 7, 2024</c:v>
                </c:pt>
                <c:pt idx="129">
                  <c:v>Oct 4, 2024</c:v>
                </c:pt>
                <c:pt idx="130">
                  <c:v>Oct 3, 2024</c:v>
                </c:pt>
                <c:pt idx="131">
                  <c:v>Oct 1, 2024</c:v>
                </c:pt>
                <c:pt idx="132">
                  <c:v>Sep 30, 2024</c:v>
                </c:pt>
                <c:pt idx="133">
                  <c:v>Sep 27, 2024</c:v>
                </c:pt>
                <c:pt idx="134">
                  <c:v>Sep 26, 2024</c:v>
                </c:pt>
                <c:pt idx="135">
                  <c:v>Sep 25, 2024</c:v>
                </c:pt>
                <c:pt idx="136">
                  <c:v>Sep 24, 2024</c:v>
                </c:pt>
                <c:pt idx="137">
                  <c:v>Sep 23, 2024</c:v>
                </c:pt>
                <c:pt idx="138">
                  <c:v>Sep 20, 2024</c:v>
                </c:pt>
                <c:pt idx="139">
                  <c:v>Sep 19, 2024</c:v>
                </c:pt>
                <c:pt idx="140">
                  <c:v>Sep 18, 2024</c:v>
                </c:pt>
                <c:pt idx="141">
                  <c:v>Sep 17, 2024</c:v>
                </c:pt>
                <c:pt idx="142">
                  <c:v>Sep 16, 2024</c:v>
                </c:pt>
                <c:pt idx="143">
                  <c:v>Sep 13, 2024</c:v>
                </c:pt>
                <c:pt idx="144">
                  <c:v>Sep 12, 2024</c:v>
                </c:pt>
                <c:pt idx="145">
                  <c:v>Sep 11, 2024</c:v>
                </c:pt>
                <c:pt idx="146">
                  <c:v>Sep 10, 2024</c:v>
                </c:pt>
                <c:pt idx="147">
                  <c:v>Sep 9, 2024</c:v>
                </c:pt>
                <c:pt idx="148">
                  <c:v>Sep 6, 2024</c:v>
                </c:pt>
                <c:pt idx="149">
                  <c:v>Sep 5, 2024</c:v>
                </c:pt>
                <c:pt idx="150">
                  <c:v>Sep 4, 2024</c:v>
                </c:pt>
                <c:pt idx="151">
                  <c:v>Sep 3, 2024</c:v>
                </c:pt>
                <c:pt idx="152">
                  <c:v>Sep 2, 2024</c:v>
                </c:pt>
                <c:pt idx="153">
                  <c:v>Aug 30, 2024</c:v>
                </c:pt>
                <c:pt idx="154">
                  <c:v>Aug 29, 2024</c:v>
                </c:pt>
                <c:pt idx="155">
                  <c:v>Aug 28, 2024</c:v>
                </c:pt>
                <c:pt idx="156">
                  <c:v>Aug 27, 2024</c:v>
                </c:pt>
                <c:pt idx="157">
                  <c:v>Aug 26, 2024</c:v>
                </c:pt>
                <c:pt idx="158">
                  <c:v>Aug 23, 2024</c:v>
                </c:pt>
                <c:pt idx="159">
                  <c:v>Aug 22, 2024</c:v>
                </c:pt>
                <c:pt idx="160">
                  <c:v>Aug 21, 2024</c:v>
                </c:pt>
                <c:pt idx="161">
                  <c:v>Aug 20, 2024</c:v>
                </c:pt>
                <c:pt idx="162">
                  <c:v>Aug 19, 2024</c:v>
                </c:pt>
                <c:pt idx="163">
                  <c:v>Aug 16, 2024</c:v>
                </c:pt>
                <c:pt idx="164">
                  <c:v>Aug 14, 2024</c:v>
                </c:pt>
                <c:pt idx="165">
                  <c:v>Aug 13, 2024</c:v>
                </c:pt>
                <c:pt idx="166">
                  <c:v>Aug 12, 2024</c:v>
                </c:pt>
                <c:pt idx="167">
                  <c:v>Aug 9, 2024</c:v>
                </c:pt>
                <c:pt idx="168">
                  <c:v>Aug 8, 2024</c:v>
                </c:pt>
                <c:pt idx="169">
                  <c:v>Aug 7, 2024</c:v>
                </c:pt>
                <c:pt idx="170">
                  <c:v>Aug 6, 2024</c:v>
                </c:pt>
                <c:pt idx="171">
                  <c:v>Aug 5, 2024</c:v>
                </c:pt>
                <c:pt idx="172">
                  <c:v>Aug 2, 2024</c:v>
                </c:pt>
                <c:pt idx="173">
                  <c:v>Aug 1, 2024</c:v>
                </c:pt>
                <c:pt idx="174">
                  <c:v>Jul 31, 2024</c:v>
                </c:pt>
                <c:pt idx="175">
                  <c:v>Jul 30, 2024</c:v>
                </c:pt>
                <c:pt idx="176">
                  <c:v>Jul 29, 2024</c:v>
                </c:pt>
                <c:pt idx="177">
                  <c:v>Jul 26, 2024</c:v>
                </c:pt>
                <c:pt idx="178">
                  <c:v>Jul 25, 2024</c:v>
                </c:pt>
                <c:pt idx="179">
                  <c:v>Jul 24, 2024</c:v>
                </c:pt>
                <c:pt idx="180">
                  <c:v>Jul 23, 2024</c:v>
                </c:pt>
                <c:pt idx="181">
                  <c:v>Jul 22, 2024</c:v>
                </c:pt>
                <c:pt idx="182">
                  <c:v>Jul 19, 2024</c:v>
                </c:pt>
                <c:pt idx="183">
                  <c:v>Jul 18, 2024</c:v>
                </c:pt>
                <c:pt idx="184">
                  <c:v>Jul 16, 2024</c:v>
                </c:pt>
                <c:pt idx="185">
                  <c:v>Jul 15, 2024</c:v>
                </c:pt>
                <c:pt idx="186">
                  <c:v>Jul 12, 2024</c:v>
                </c:pt>
                <c:pt idx="187">
                  <c:v>Jul 11, 2024</c:v>
                </c:pt>
                <c:pt idx="188">
                  <c:v>Jul 10, 2024</c:v>
                </c:pt>
                <c:pt idx="189">
                  <c:v>Jul 9, 2024</c:v>
                </c:pt>
                <c:pt idx="190">
                  <c:v>Jul 8, 2024</c:v>
                </c:pt>
                <c:pt idx="191">
                  <c:v>Jul 5, 2024</c:v>
                </c:pt>
                <c:pt idx="192">
                  <c:v>Jul 4, 2024</c:v>
                </c:pt>
                <c:pt idx="193">
                  <c:v>Jul 3, 2024</c:v>
                </c:pt>
                <c:pt idx="194">
                  <c:v>Jul 2, 2024</c:v>
                </c:pt>
                <c:pt idx="195">
                  <c:v>Jul 1, 2024</c:v>
                </c:pt>
                <c:pt idx="196">
                  <c:v>Jun 28, 2024</c:v>
                </c:pt>
                <c:pt idx="197">
                  <c:v>Jun 27, 2024</c:v>
                </c:pt>
                <c:pt idx="198">
                  <c:v>Jun 26, 2024</c:v>
                </c:pt>
                <c:pt idx="199">
                  <c:v>Jun 25, 2024</c:v>
                </c:pt>
                <c:pt idx="200">
                  <c:v>Jun 24, 2024</c:v>
                </c:pt>
                <c:pt idx="201">
                  <c:v>Jun 21, 2024</c:v>
                </c:pt>
                <c:pt idx="202">
                  <c:v>Jun 20, 2024</c:v>
                </c:pt>
                <c:pt idx="203">
                  <c:v>Jun 19, 2024</c:v>
                </c:pt>
                <c:pt idx="204">
                  <c:v>Jun 18, 2024</c:v>
                </c:pt>
                <c:pt idx="205">
                  <c:v>Jun 14, 2024</c:v>
                </c:pt>
                <c:pt idx="206">
                  <c:v>Jun 13, 2024</c:v>
                </c:pt>
                <c:pt idx="207">
                  <c:v>Jun 12, 2024</c:v>
                </c:pt>
                <c:pt idx="208">
                  <c:v>Jun 11, 2024</c:v>
                </c:pt>
                <c:pt idx="209">
                  <c:v>Jun 10, 2024</c:v>
                </c:pt>
                <c:pt idx="210">
                  <c:v>Jun 7, 2024</c:v>
                </c:pt>
                <c:pt idx="211">
                  <c:v>Jun 6, 2024</c:v>
                </c:pt>
                <c:pt idx="212">
                  <c:v>Jun 5, 2024</c:v>
                </c:pt>
                <c:pt idx="213">
                  <c:v>Jun 4, 2024</c:v>
                </c:pt>
                <c:pt idx="214">
                  <c:v>Jun 3, 2024</c:v>
                </c:pt>
                <c:pt idx="215">
                  <c:v>May 31, 2024</c:v>
                </c:pt>
                <c:pt idx="216">
                  <c:v>May 30, 2024</c:v>
                </c:pt>
                <c:pt idx="217">
                  <c:v>May 29, 2024</c:v>
                </c:pt>
                <c:pt idx="218">
                  <c:v>May 28, 2024</c:v>
                </c:pt>
                <c:pt idx="219">
                  <c:v>May 27, 2024</c:v>
                </c:pt>
                <c:pt idx="220">
                  <c:v>May 24, 2024</c:v>
                </c:pt>
                <c:pt idx="221">
                  <c:v>May 23, 2024</c:v>
                </c:pt>
                <c:pt idx="222">
                  <c:v>May 22, 2024</c:v>
                </c:pt>
                <c:pt idx="223">
                  <c:v>May 21, 2024</c:v>
                </c:pt>
                <c:pt idx="224">
                  <c:v>May 17, 2024</c:v>
                </c:pt>
                <c:pt idx="225">
                  <c:v>May 16, 2024</c:v>
                </c:pt>
                <c:pt idx="226">
                  <c:v>May 15, 2024</c:v>
                </c:pt>
                <c:pt idx="227">
                  <c:v>May 14, 2024</c:v>
                </c:pt>
                <c:pt idx="228">
                  <c:v>May 13, 2024</c:v>
                </c:pt>
                <c:pt idx="229">
                  <c:v>May 10, 2024</c:v>
                </c:pt>
                <c:pt idx="230">
                  <c:v>May 9, 2024</c:v>
                </c:pt>
                <c:pt idx="231">
                  <c:v>May 8, 2024</c:v>
                </c:pt>
                <c:pt idx="232">
                  <c:v>May 7, 2024</c:v>
                </c:pt>
                <c:pt idx="233">
                  <c:v>May 6, 2024</c:v>
                </c:pt>
                <c:pt idx="234">
                  <c:v>May 3, 2024</c:v>
                </c:pt>
                <c:pt idx="235">
                  <c:v>May 2, 2024</c:v>
                </c:pt>
                <c:pt idx="236">
                  <c:v>Apr 30, 2024</c:v>
                </c:pt>
                <c:pt idx="237">
                  <c:v>Apr 29, 2024</c:v>
                </c:pt>
                <c:pt idx="238">
                  <c:v>Apr 26, 2024</c:v>
                </c:pt>
                <c:pt idx="239">
                  <c:v>Apr 25, 2024</c:v>
                </c:pt>
                <c:pt idx="240">
                  <c:v>Apr 24, 2024</c:v>
                </c:pt>
                <c:pt idx="241">
                  <c:v>Apr 23, 2024</c:v>
                </c:pt>
                <c:pt idx="242">
                  <c:v>Apr 22, 2024</c:v>
                </c:pt>
                <c:pt idx="243">
                  <c:v>Apr 19, 2024</c:v>
                </c:pt>
                <c:pt idx="244">
                  <c:v>Apr 18, 2024</c:v>
                </c:pt>
                <c:pt idx="245">
                  <c:v>Apr 16, 2024</c:v>
                </c:pt>
                <c:pt idx="246">
                  <c:v>Apr 15, 2024</c:v>
                </c:pt>
                <c:pt idx="247">
                  <c:v>Apr 12, 2024</c:v>
                </c:pt>
                <c:pt idx="248">
                  <c:v>Apr 10, 2024</c:v>
                </c:pt>
                <c:pt idx="249">
                  <c:v>Apr 9, 2024</c:v>
                </c:pt>
                <c:pt idx="250">
                  <c:v>Apr 8, 2024</c:v>
                </c:pt>
                <c:pt idx="251">
                  <c:v>Apr 5, 2024</c:v>
                </c:pt>
                <c:pt idx="252">
                  <c:v>Apr 4, 2024</c:v>
                </c:pt>
                <c:pt idx="253">
                  <c:v>Apr 3, 2024</c:v>
                </c:pt>
                <c:pt idx="254">
                  <c:v>Apr 2, 2024</c:v>
                </c:pt>
                <c:pt idx="255">
                  <c:v>Apr 1, 2024</c:v>
                </c:pt>
                <c:pt idx="256">
                  <c:v>Mar 28, 2024</c:v>
                </c:pt>
                <c:pt idx="257">
                  <c:v>Mar 27, 2024</c:v>
                </c:pt>
                <c:pt idx="258">
                  <c:v>Mar 26, 2024</c:v>
                </c:pt>
                <c:pt idx="259">
                  <c:v>Mar 22, 2024</c:v>
                </c:pt>
                <c:pt idx="260">
                  <c:v>Mar 21, 2024</c:v>
                </c:pt>
                <c:pt idx="261">
                  <c:v>Mar 20, 2024</c:v>
                </c:pt>
                <c:pt idx="262">
                  <c:v>Mar 19, 2024</c:v>
                </c:pt>
                <c:pt idx="263">
                  <c:v>Mar 18, 2024</c:v>
                </c:pt>
                <c:pt idx="264">
                  <c:v>Mar 15, 2024</c:v>
                </c:pt>
                <c:pt idx="265">
                  <c:v>Mar 14, 2024</c:v>
                </c:pt>
                <c:pt idx="266">
                  <c:v>Mar 13, 2024</c:v>
                </c:pt>
                <c:pt idx="267">
                  <c:v>Mar 12, 2024</c:v>
                </c:pt>
                <c:pt idx="268">
                  <c:v>Mar 11, 2024</c:v>
                </c:pt>
                <c:pt idx="269">
                  <c:v>Mar 7, 2024</c:v>
                </c:pt>
                <c:pt idx="270">
                  <c:v>Mar 6, 2024</c:v>
                </c:pt>
                <c:pt idx="271">
                  <c:v>Mar 5, 2024</c:v>
                </c:pt>
                <c:pt idx="272">
                  <c:v>Mar 4, 2024</c:v>
                </c:pt>
                <c:pt idx="273">
                  <c:v>Mar 1, 2024</c:v>
                </c:pt>
                <c:pt idx="274">
                  <c:v>Feb 29, 2024</c:v>
                </c:pt>
                <c:pt idx="275">
                  <c:v>Feb 28, 2024</c:v>
                </c:pt>
                <c:pt idx="276">
                  <c:v>Feb 27, 2024</c:v>
                </c:pt>
                <c:pt idx="277">
                  <c:v>Feb 26, 2024</c:v>
                </c:pt>
                <c:pt idx="278">
                  <c:v>Feb 23, 2024</c:v>
                </c:pt>
                <c:pt idx="279">
                  <c:v>Feb 22, 2024</c:v>
                </c:pt>
                <c:pt idx="280">
                  <c:v>Feb 21, 2024</c:v>
                </c:pt>
                <c:pt idx="281">
                  <c:v>Feb 20, 2024</c:v>
                </c:pt>
                <c:pt idx="282">
                  <c:v>Feb 19, 2024</c:v>
                </c:pt>
                <c:pt idx="283">
                  <c:v>Feb 16, 2024</c:v>
                </c:pt>
                <c:pt idx="284">
                  <c:v>Feb 15, 2024</c:v>
                </c:pt>
                <c:pt idx="285">
                  <c:v>Feb 14, 2024</c:v>
                </c:pt>
                <c:pt idx="286">
                  <c:v>Feb 13, 2024</c:v>
                </c:pt>
                <c:pt idx="287">
                  <c:v>Feb 12, 2024</c:v>
                </c:pt>
                <c:pt idx="288">
                  <c:v>Feb 9, 2024</c:v>
                </c:pt>
                <c:pt idx="289">
                  <c:v>Feb 8, 2024</c:v>
                </c:pt>
                <c:pt idx="290">
                  <c:v>Feb 7, 2024</c:v>
                </c:pt>
                <c:pt idx="291">
                  <c:v>Feb 6, 2024</c:v>
                </c:pt>
                <c:pt idx="292">
                  <c:v>Feb 5, 2024</c:v>
                </c:pt>
                <c:pt idx="293">
                  <c:v>Feb 2, 2024</c:v>
                </c:pt>
                <c:pt idx="294">
                  <c:v>Feb 1, 2024</c:v>
                </c:pt>
                <c:pt idx="295">
                  <c:v>Jan 31, 2024</c:v>
                </c:pt>
                <c:pt idx="296">
                  <c:v>Jan 30, 2024</c:v>
                </c:pt>
                <c:pt idx="297">
                  <c:v>Jan 29, 2024</c:v>
                </c:pt>
                <c:pt idx="298">
                  <c:v>Jan 25, 2024</c:v>
                </c:pt>
                <c:pt idx="299">
                  <c:v>Jan 24, 2024</c:v>
                </c:pt>
                <c:pt idx="300">
                  <c:v>Jan 23, 2024</c:v>
                </c:pt>
                <c:pt idx="301">
                  <c:v>Jan 19, 2024</c:v>
                </c:pt>
                <c:pt idx="302">
                  <c:v>Jan 18, 2024</c:v>
                </c:pt>
                <c:pt idx="303">
                  <c:v>Jan 17, 2024</c:v>
                </c:pt>
                <c:pt idx="304">
                  <c:v>Jan 16, 2024</c:v>
                </c:pt>
                <c:pt idx="305">
                  <c:v>Jan 15, 2024</c:v>
                </c:pt>
                <c:pt idx="306">
                  <c:v>Jan 12, 2024</c:v>
                </c:pt>
                <c:pt idx="307">
                  <c:v>Jan 11, 2024</c:v>
                </c:pt>
                <c:pt idx="308">
                  <c:v>Jan 10, 2024</c:v>
                </c:pt>
                <c:pt idx="309">
                  <c:v>Jan 9, 2024</c:v>
                </c:pt>
                <c:pt idx="310">
                  <c:v>Jan 8, 2024</c:v>
                </c:pt>
                <c:pt idx="311">
                  <c:v>Jan 5, 2024</c:v>
                </c:pt>
                <c:pt idx="312">
                  <c:v>Jan 4, 2024</c:v>
                </c:pt>
                <c:pt idx="313">
                  <c:v>Jan 3, 2024</c:v>
                </c:pt>
                <c:pt idx="314">
                  <c:v>Jan 2, 2024</c:v>
                </c:pt>
                <c:pt idx="315">
                  <c:v>Jan 1, 2024</c:v>
                </c:pt>
                <c:pt idx="316">
                  <c:v>Dec 29, 2023</c:v>
                </c:pt>
                <c:pt idx="317">
                  <c:v>Dec 28, 2023</c:v>
                </c:pt>
                <c:pt idx="318">
                  <c:v>Dec 27, 2023</c:v>
                </c:pt>
                <c:pt idx="319">
                  <c:v>Dec 26, 2023</c:v>
                </c:pt>
                <c:pt idx="320">
                  <c:v>Dec 22, 2023</c:v>
                </c:pt>
                <c:pt idx="321">
                  <c:v>Dec 21, 2023</c:v>
                </c:pt>
                <c:pt idx="322">
                  <c:v>Dec 20, 2023</c:v>
                </c:pt>
                <c:pt idx="323">
                  <c:v>Dec 19, 2023</c:v>
                </c:pt>
                <c:pt idx="324">
                  <c:v>Dec 18, 2023</c:v>
                </c:pt>
                <c:pt idx="325">
                  <c:v>Dec 15, 2023</c:v>
                </c:pt>
                <c:pt idx="326">
                  <c:v>Dec 14, 2023</c:v>
                </c:pt>
                <c:pt idx="327">
                  <c:v>Dec 13, 2023</c:v>
                </c:pt>
                <c:pt idx="328">
                  <c:v>Dec 12, 2023</c:v>
                </c:pt>
                <c:pt idx="329">
                  <c:v>Dec 11, 2023</c:v>
                </c:pt>
                <c:pt idx="330">
                  <c:v>Dec 8, 2023</c:v>
                </c:pt>
                <c:pt idx="331">
                  <c:v>Dec 7, 2023</c:v>
                </c:pt>
                <c:pt idx="332">
                  <c:v>Dec 6, 2023</c:v>
                </c:pt>
                <c:pt idx="333">
                  <c:v>Dec 5, 2023</c:v>
                </c:pt>
                <c:pt idx="334">
                  <c:v>Dec 4, 2023</c:v>
                </c:pt>
                <c:pt idx="335">
                  <c:v>Dec 1, 2023</c:v>
                </c:pt>
                <c:pt idx="336">
                  <c:v>Nov 30, 2023</c:v>
                </c:pt>
                <c:pt idx="337">
                  <c:v>Nov 29, 2023</c:v>
                </c:pt>
                <c:pt idx="338">
                  <c:v>Nov 28, 2023</c:v>
                </c:pt>
                <c:pt idx="339">
                  <c:v>Nov 24, 2023</c:v>
                </c:pt>
                <c:pt idx="340">
                  <c:v>Nov 23, 2023</c:v>
                </c:pt>
                <c:pt idx="341">
                  <c:v>Nov 22, 2023</c:v>
                </c:pt>
                <c:pt idx="342">
                  <c:v>Nov 21, 2023</c:v>
                </c:pt>
                <c:pt idx="343">
                  <c:v>Nov 20, 2023</c:v>
                </c:pt>
                <c:pt idx="344">
                  <c:v>Nov 17, 2023</c:v>
                </c:pt>
                <c:pt idx="345">
                  <c:v>Nov 16, 2023</c:v>
                </c:pt>
                <c:pt idx="346">
                  <c:v>Nov 15, 2023</c:v>
                </c:pt>
                <c:pt idx="347">
                  <c:v>Nov 13, 2023</c:v>
                </c:pt>
                <c:pt idx="348">
                  <c:v>Nov 10, 2023</c:v>
                </c:pt>
                <c:pt idx="349">
                  <c:v>Nov 9, 2023</c:v>
                </c:pt>
                <c:pt idx="350">
                  <c:v>Nov 8, 2023</c:v>
                </c:pt>
                <c:pt idx="351">
                  <c:v>Nov 7, 2023</c:v>
                </c:pt>
                <c:pt idx="352">
                  <c:v>Nov 6, 2023</c:v>
                </c:pt>
                <c:pt idx="353">
                  <c:v>Nov 3, 2023</c:v>
                </c:pt>
                <c:pt idx="354">
                  <c:v>Nov 2, 2023</c:v>
                </c:pt>
                <c:pt idx="355">
                  <c:v>Nov 1, 2023</c:v>
                </c:pt>
                <c:pt idx="356">
                  <c:v>Oct 31, 2023</c:v>
                </c:pt>
                <c:pt idx="357">
                  <c:v>Oct 30, 2023</c:v>
                </c:pt>
                <c:pt idx="358">
                  <c:v>Oct 27, 2023</c:v>
                </c:pt>
                <c:pt idx="359">
                  <c:v>Oct 26, 2023</c:v>
                </c:pt>
                <c:pt idx="360">
                  <c:v>Oct 25, 2023</c:v>
                </c:pt>
                <c:pt idx="361">
                  <c:v>Oct 23, 2023</c:v>
                </c:pt>
                <c:pt idx="362">
                  <c:v>Oct 20, 2023</c:v>
                </c:pt>
                <c:pt idx="363">
                  <c:v>Oct 19, 2023</c:v>
                </c:pt>
                <c:pt idx="364">
                  <c:v>Oct 18, 2023</c:v>
                </c:pt>
                <c:pt idx="365">
                  <c:v>Oct 17, 2023</c:v>
                </c:pt>
                <c:pt idx="366">
                  <c:v>Oct 16, 2023</c:v>
                </c:pt>
                <c:pt idx="367">
                  <c:v>Oct 13, 2023</c:v>
                </c:pt>
                <c:pt idx="368">
                  <c:v>Oct 12, 2023</c:v>
                </c:pt>
                <c:pt idx="369">
                  <c:v>Oct 11, 2023</c:v>
                </c:pt>
                <c:pt idx="370">
                  <c:v>Oct 10, 2023</c:v>
                </c:pt>
                <c:pt idx="371">
                  <c:v>Oct 9, 2023</c:v>
                </c:pt>
                <c:pt idx="372">
                  <c:v>Oct 6, 2023</c:v>
                </c:pt>
                <c:pt idx="373">
                  <c:v>Oct 5, 2023</c:v>
                </c:pt>
                <c:pt idx="374">
                  <c:v>Oct 4, 2023</c:v>
                </c:pt>
                <c:pt idx="375">
                  <c:v>Oct 3, 2023</c:v>
                </c:pt>
                <c:pt idx="376">
                  <c:v>Sep 29, 2023</c:v>
                </c:pt>
                <c:pt idx="377">
                  <c:v>Sep 28, 2023</c:v>
                </c:pt>
                <c:pt idx="378">
                  <c:v>Sep 27, 2023</c:v>
                </c:pt>
                <c:pt idx="379">
                  <c:v>Sep 26, 2023</c:v>
                </c:pt>
                <c:pt idx="380">
                  <c:v>Sep 25, 2023</c:v>
                </c:pt>
                <c:pt idx="381">
                  <c:v>Sep 22, 2023</c:v>
                </c:pt>
                <c:pt idx="382">
                  <c:v>Sep 21, 2023</c:v>
                </c:pt>
                <c:pt idx="383">
                  <c:v>Sep 20, 2023</c:v>
                </c:pt>
                <c:pt idx="384">
                  <c:v>Sep 18, 2023</c:v>
                </c:pt>
                <c:pt idx="385">
                  <c:v>Sep 15, 2023</c:v>
                </c:pt>
                <c:pt idx="386">
                  <c:v>Sep 14, 2023</c:v>
                </c:pt>
                <c:pt idx="387">
                  <c:v>Sep 13, 2023</c:v>
                </c:pt>
                <c:pt idx="388">
                  <c:v>Sep 12, 2023</c:v>
                </c:pt>
                <c:pt idx="389">
                  <c:v>Sep 11, 2023</c:v>
                </c:pt>
                <c:pt idx="390">
                  <c:v>Sep 8, 2023</c:v>
                </c:pt>
                <c:pt idx="391">
                  <c:v>Sep 7, 2023</c:v>
                </c:pt>
                <c:pt idx="392">
                  <c:v>Sep 6, 2023</c:v>
                </c:pt>
                <c:pt idx="393">
                  <c:v>Sep 5, 2023</c:v>
                </c:pt>
                <c:pt idx="394">
                  <c:v>Sep 4, 2023</c:v>
                </c:pt>
                <c:pt idx="395">
                  <c:v>Sep 1, 2023</c:v>
                </c:pt>
                <c:pt idx="396">
                  <c:v>Aug 31, 2023</c:v>
                </c:pt>
                <c:pt idx="397">
                  <c:v>Aug 30, 2023</c:v>
                </c:pt>
                <c:pt idx="398">
                  <c:v>Aug 29, 2023</c:v>
                </c:pt>
                <c:pt idx="399">
                  <c:v>Aug 28, 2023</c:v>
                </c:pt>
                <c:pt idx="400">
                  <c:v>Aug 25, 2023</c:v>
                </c:pt>
                <c:pt idx="401">
                  <c:v>Aug 24, 2023</c:v>
                </c:pt>
                <c:pt idx="402">
                  <c:v>Aug 23, 2023</c:v>
                </c:pt>
                <c:pt idx="403">
                  <c:v>Aug 22, 2023</c:v>
                </c:pt>
                <c:pt idx="404">
                  <c:v>Aug 21, 2023</c:v>
                </c:pt>
                <c:pt idx="405">
                  <c:v>Aug 18, 2023</c:v>
                </c:pt>
                <c:pt idx="406">
                  <c:v>Aug 17, 2023</c:v>
                </c:pt>
                <c:pt idx="407">
                  <c:v>Aug 16, 2023</c:v>
                </c:pt>
                <c:pt idx="408">
                  <c:v>Aug 14, 2023</c:v>
                </c:pt>
                <c:pt idx="409">
                  <c:v>Aug 11, 2023</c:v>
                </c:pt>
                <c:pt idx="410">
                  <c:v>Aug 10, 2023</c:v>
                </c:pt>
                <c:pt idx="411">
                  <c:v>Aug 9, 2023</c:v>
                </c:pt>
                <c:pt idx="412">
                  <c:v>Aug 8, 2023</c:v>
                </c:pt>
                <c:pt idx="413">
                  <c:v>Aug 7, 2023</c:v>
                </c:pt>
                <c:pt idx="414">
                  <c:v>Aug 4, 2023</c:v>
                </c:pt>
                <c:pt idx="415">
                  <c:v>Aug 3, 2023</c:v>
                </c:pt>
                <c:pt idx="416">
                  <c:v>Aug 2, 2023</c:v>
                </c:pt>
                <c:pt idx="417">
                  <c:v>Aug 1, 2023</c:v>
                </c:pt>
                <c:pt idx="418">
                  <c:v>Jul 31, 2023</c:v>
                </c:pt>
                <c:pt idx="419">
                  <c:v>Jul 28, 2023</c:v>
                </c:pt>
                <c:pt idx="420">
                  <c:v>Jul 27, 2023</c:v>
                </c:pt>
                <c:pt idx="421">
                  <c:v>Jul 26, 2023</c:v>
                </c:pt>
                <c:pt idx="422">
                  <c:v>Jul 25, 2023</c:v>
                </c:pt>
                <c:pt idx="423">
                  <c:v>Jul 24, 2023</c:v>
                </c:pt>
                <c:pt idx="424">
                  <c:v>Jul 21, 2023</c:v>
                </c:pt>
                <c:pt idx="425">
                  <c:v>Jul 20, 2023</c:v>
                </c:pt>
                <c:pt idx="426">
                  <c:v>Jul 19, 2023</c:v>
                </c:pt>
                <c:pt idx="427">
                  <c:v>Jul 18, 2023</c:v>
                </c:pt>
                <c:pt idx="428">
                  <c:v>Jul 17, 2023</c:v>
                </c:pt>
                <c:pt idx="429">
                  <c:v>Jul 14, 2023</c:v>
                </c:pt>
                <c:pt idx="430">
                  <c:v>Jul 13, 2023</c:v>
                </c:pt>
                <c:pt idx="431">
                  <c:v>Jul 12, 2023</c:v>
                </c:pt>
                <c:pt idx="432">
                  <c:v>Jul 11, 2023</c:v>
                </c:pt>
                <c:pt idx="433">
                  <c:v>Jul 10, 2023</c:v>
                </c:pt>
                <c:pt idx="434">
                  <c:v>Jul 7, 2023</c:v>
                </c:pt>
                <c:pt idx="435">
                  <c:v>Jul 6, 2023</c:v>
                </c:pt>
                <c:pt idx="436">
                  <c:v>Jul 5, 2023</c:v>
                </c:pt>
                <c:pt idx="437">
                  <c:v>Jul 4, 2023</c:v>
                </c:pt>
                <c:pt idx="438">
                  <c:v>Jul 3, 2023</c:v>
                </c:pt>
                <c:pt idx="439">
                  <c:v>Jun 30, 2023</c:v>
                </c:pt>
                <c:pt idx="440">
                  <c:v>Jun 28, 2023</c:v>
                </c:pt>
                <c:pt idx="441">
                  <c:v>Jun 27, 2023</c:v>
                </c:pt>
                <c:pt idx="442">
                  <c:v>Jun 26, 2023</c:v>
                </c:pt>
                <c:pt idx="443">
                  <c:v>Jun 23, 2023</c:v>
                </c:pt>
                <c:pt idx="444">
                  <c:v>Jun 22, 2023</c:v>
                </c:pt>
                <c:pt idx="445">
                  <c:v>Jun 21, 2023</c:v>
                </c:pt>
                <c:pt idx="446">
                  <c:v>Jun 20, 2023</c:v>
                </c:pt>
                <c:pt idx="447">
                  <c:v>Jun 19, 2023</c:v>
                </c:pt>
                <c:pt idx="448">
                  <c:v>Jun 16, 2023</c:v>
                </c:pt>
                <c:pt idx="449">
                  <c:v>Jun 15, 2023</c:v>
                </c:pt>
                <c:pt idx="450">
                  <c:v>Jun 14, 2023</c:v>
                </c:pt>
                <c:pt idx="451">
                  <c:v>Jun 13, 2023</c:v>
                </c:pt>
                <c:pt idx="452">
                  <c:v>Jun 12, 2023</c:v>
                </c:pt>
                <c:pt idx="453">
                  <c:v>Jun 9, 2023</c:v>
                </c:pt>
                <c:pt idx="454">
                  <c:v>Jun 8, 2023</c:v>
                </c:pt>
                <c:pt idx="455">
                  <c:v>Jun 7, 2023</c:v>
                </c:pt>
                <c:pt idx="456">
                  <c:v>Jun 6, 2023</c:v>
                </c:pt>
                <c:pt idx="457">
                  <c:v>Jun 5, 2023</c:v>
                </c:pt>
                <c:pt idx="458">
                  <c:v>Jun 2, 2023</c:v>
                </c:pt>
                <c:pt idx="459">
                  <c:v>Jun 1, 2023</c:v>
                </c:pt>
                <c:pt idx="460">
                  <c:v>May 31, 2023</c:v>
                </c:pt>
                <c:pt idx="461">
                  <c:v>May 30, 2023</c:v>
                </c:pt>
                <c:pt idx="462">
                  <c:v>May 29, 2023</c:v>
                </c:pt>
                <c:pt idx="463">
                  <c:v>May 26, 2023</c:v>
                </c:pt>
                <c:pt idx="464">
                  <c:v>May 25, 2023</c:v>
                </c:pt>
                <c:pt idx="465">
                  <c:v>May 24, 2023</c:v>
                </c:pt>
                <c:pt idx="466">
                  <c:v>May 23, 2023</c:v>
                </c:pt>
                <c:pt idx="467">
                  <c:v>May 22, 2023</c:v>
                </c:pt>
                <c:pt idx="468">
                  <c:v>May 19, 2023</c:v>
                </c:pt>
                <c:pt idx="469">
                  <c:v>May 18, 2023</c:v>
                </c:pt>
                <c:pt idx="470">
                  <c:v>May 17, 2023</c:v>
                </c:pt>
                <c:pt idx="471">
                  <c:v>May 16, 2023</c:v>
                </c:pt>
                <c:pt idx="472">
                  <c:v>May 15, 2023</c:v>
                </c:pt>
                <c:pt idx="473">
                  <c:v>May 12, 2023</c:v>
                </c:pt>
                <c:pt idx="474">
                  <c:v>May 11, 2023</c:v>
                </c:pt>
                <c:pt idx="475">
                  <c:v>May 10, 2023</c:v>
                </c:pt>
                <c:pt idx="476">
                  <c:v>May 9, 2023</c:v>
                </c:pt>
                <c:pt idx="477">
                  <c:v>May 8, 2023</c:v>
                </c:pt>
                <c:pt idx="478">
                  <c:v>May 5, 2023</c:v>
                </c:pt>
                <c:pt idx="479">
                  <c:v>May 4, 2023</c:v>
                </c:pt>
                <c:pt idx="480">
                  <c:v>May 3, 2023</c:v>
                </c:pt>
                <c:pt idx="481">
                  <c:v>May 2, 2023</c:v>
                </c:pt>
                <c:pt idx="482">
                  <c:v>Apr 28, 2023</c:v>
                </c:pt>
                <c:pt idx="483">
                  <c:v>Apr 27, 2023</c:v>
                </c:pt>
                <c:pt idx="484">
                  <c:v>Apr 26, 2023</c:v>
                </c:pt>
                <c:pt idx="485">
                  <c:v>Apr 25, 2023</c:v>
                </c:pt>
                <c:pt idx="486">
                  <c:v>Apr 24, 2023</c:v>
                </c:pt>
                <c:pt idx="487">
                  <c:v>Apr 21, 2023</c:v>
                </c:pt>
                <c:pt idx="488">
                  <c:v>Apr 20, 2023</c:v>
                </c:pt>
                <c:pt idx="489">
                  <c:v>Apr 19, 2023</c:v>
                </c:pt>
                <c:pt idx="490">
                  <c:v>Apr 18, 2023</c:v>
                </c:pt>
                <c:pt idx="491">
                  <c:v>Apr 17, 2023</c:v>
                </c:pt>
                <c:pt idx="492">
                  <c:v>Apr 13, 2023</c:v>
                </c:pt>
                <c:pt idx="493">
                  <c:v>Apr 12, 2023</c:v>
                </c:pt>
                <c:pt idx="494">
                  <c:v>Apr 11, 2023</c:v>
                </c:pt>
                <c:pt idx="495">
                  <c:v>Apr 10, 2023</c:v>
                </c:pt>
                <c:pt idx="496">
                  <c:v>Apr 6, 2023</c:v>
                </c:pt>
                <c:pt idx="497">
                  <c:v>Apr 5, 2023</c:v>
                </c:pt>
                <c:pt idx="498">
                  <c:v>Apr 3, 2023</c:v>
                </c:pt>
                <c:pt idx="499">
                  <c:v>Mar 31, 2023</c:v>
                </c:pt>
                <c:pt idx="500">
                  <c:v>Mar 29, 2023</c:v>
                </c:pt>
                <c:pt idx="501">
                  <c:v>Mar 28, 2023</c:v>
                </c:pt>
                <c:pt idx="502">
                  <c:v>Mar 27, 2023</c:v>
                </c:pt>
                <c:pt idx="503">
                  <c:v>Mar 24, 2023</c:v>
                </c:pt>
                <c:pt idx="504">
                  <c:v>Mar 23, 2023</c:v>
                </c:pt>
                <c:pt idx="505">
                  <c:v>Mar 22, 2023</c:v>
                </c:pt>
                <c:pt idx="506">
                  <c:v>Mar 21, 2023</c:v>
                </c:pt>
                <c:pt idx="507">
                  <c:v>Mar 20, 2023</c:v>
                </c:pt>
                <c:pt idx="508">
                  <c:v>Mar 17, 2023</c:v>
                </c:pt>
                <c:pt idx="509">
                  <c:v>Mar 16, 2023</c:v>
                </c:pt>
                <c:pt idx="510">
                  <c:v>Mar 15, 2023</c:v>
                </c:pt>
                <c:pt idx="511">
                  <c:v>Mar 14, 2023</c:v>
                </c:pt>
                <c:pt idx="512">
                  <c:v>Mar 13, 2023</c:v>
                </c:pt>
                <c:pt idx="513">
                  <c:v>Mar 10, 2023</c:v>
                </c:pt>
                <c:pt idx="514">
                  <c:v>Mar 9, 2023</c:v>
                </c:pt>
                <c:pt idx="515">
                  <c:v>Mar 8, 2023</c:v>
                </c:pt>
                <c:pt idx="516">
                  <c:v>Mar 6, 2023</c:v>
                </c:pt>
                <c:pt idx="517">
                  <c:v>Mar 3, 2023</c:v>
                </c:pt>
                <c:pt idx="518">
                  <c:v>Mar 2, 2023</c:v>
                </c:pt>
                <c:pt idx="519">
                  <c:v>Mar 1, 2023</c:v>
                </c:pt>
                <c:pt idx="520">
                  <c:v>Feb 28, 2023</c:v>
                </c:pt>
                <c:pt idx="521">
                  <c:v>Feb 27, 2023</c:v>
                </c:pt>
                <c:pt idx="522">
                  <c:v>Feb 24, 2023</c:v>
                </c:pt>
                <c:pt idx="523">
                  <c:v>Feb 23, 2023</c:v>
                </c:pt>
                <c:pt idx="524">
                  <c:v>Feb 22, 2023</c:v>
                </c:pt>
                <c:pt idx="525">
                  <c:v>Feb 21, 2023</c:v>
                </c:pt>
                <c:pt idx="526">
                  <c:v>Feb 20, 2023</c:v>
                </c:pt>
                <c:pt idx="527">
                  <c:v>Feb 17, 2023</c:v>
                </c:pt>
                <c:pt idx="528">
                  <c:v>Feb 16, 2023</c:v>
                </c:pt>
                <c:pt idx="529">
                  <c:v>Feb 15, 2023</c:v>
                </c:pt>
                <c:pt idx="530">
                  <c:v>Feb 14, 2023</c:v>
                </c:pt>
                <c:pt idx="531">
                  <c:v>Feb 13, 2023</c:v>
                </c:pt>
                <c:pt idx="532">
                  <c:v>Feb 10, 2023</c:v>
                </c:pt>
                <c:pt idx="533">
                  <c:v>Feb 9, 2023</c:v>
                </c:pt>
                <c:pt idx="534">
                  <c:v>Feb 8, 2023</c:v>
                </c:pt>
                <c:pt idx="535">
                  <c:v>Feb 7, 2023</c:v>
                </c:pt>
                <c:pt idx="536">
                  <c:v>Feb 6, 2023</c:v>
                </c:pt>
                <c:pt idx="537">
                  <c:v>Feb 3, 2023</c:v>
                </c:pt>
                <c:pt idx="538">
                  <c:v>Feb 2, 2023</c:v>
                </c:pt>
                <c:pt idx="539">
                  <c:v>Feb 1, 2023</c:v>
                </c:pt>
                <c:pt idx="540">
                  <c:v>Jan 31, 2023</c:v>
                </c:pt>
                <c:pt idx="541">
                  <c:v>Jan 30, 2023</c:v>
                </c:pt>
                <c:pt idx="542">
                  <c:v>Jan 27, 2023</c:v>
                </c:pt>
                <c:pt idx="543">
                  <c:v>Jan 25, 2023</c:v>
                </c:pt>
                <c:pt idx="544">
                  <c:v>Jan 24, 2023</c:v>
                </c:pt>
                <c:pt idx="545">
                  <c:v>Jan 23, 2023</c:v>
                </c:pt>
                <c:pt idx="546">
                  <c:v>Jan 20, 2023</c:v>
                </c:pt>
                <c:pt idx="547">
                  <c:v>Jan 19, 2023</c:v>
                </c:pt>
                <c:pt idx="548">
                  <c:v>Jan 18, 2023</c:v>
                </c:pt>
                <c:pt idx="549">
                  <c:v>Jan 17, 2023</c:v>
                </c:pt>
                <c:pt idx="550">
                  <c:v>Jan 16, 2023</c:v>
                </c:pt>
                <c:pt idx="551">
                  <c:v>Jan 13, 2023</c:v>
                </c:pt>
                <c:pt idx="552">
                  <c:v>Jan 12, 2023</c:v>
                </c:pt>
                <c:pt idx="553">
                  <c:v>Jan 11, 2023</c:v>
                </c:pt>
                <c:pt idx="554">
                  <c:v>Jan 10, 2023</c:v>
                </c:pt>
                <c:pt idx="555">
                  <c:v>Jan 9, 2023</c:v>
                </c:pt>
                <c:pt idx="556">
                  <c:v>Jan 6, 2023</c:v>
                </c:pt>
                <c:pt idx="557">
                  <c:v>Jan 5, 2023</c:v>
                </c:pt>
                <c:pt idx="558">
                  <c:v>Jan 4, 2023</c:v>
                </c:pt>
                <c:pt idx="559">
                  <c:v>Jan 3, 2023</c:v>
                </c:pt>
                <c:pt idx="560">
                  <c:v>Jan 2, 2023</c:v>
                </c:pt>
                <c:pt idx="561">
                  <c:v>Dec 30, 2022</c:v>
                </c:pt>
                <c:pt idx="562">
                  <c:v>Dec 29, 2022</c:v>
                </c:pt>
                <c:pt idx="563">
                  <c:v>Dec 28, 2022</c:v>
                </c:pt>
                <c:pt idx="564">
                  <c:v>Dec 27, 2022</c:v>
                </c:pt>
                <c:pt idx="565">
                  <c:v>Dec 26, 2022</c:v>
                </c:pt>
                <c:pt idx="566">
                  <c:v>Dec 23, 2022</c:v>
                </c:pt>
                <c:pt idx="567">
                  <c:v>Dec 22, 2022</c:v>
                </c:pt>
                <c:pt idx="568">
                  <c:v>Dec 21, 2022</c:v>
                </c:pt>
                <c:pt idx="569">
                  <c:v>Dec 20, 2022</c:v>
                </c:pt>
                <c:pt idx="570">
                  <c:v>Dec 19, 2022</c:v>
                </c:pt>
                <c:pt idx="571">
                  <c:v>Dec 16, 2022</c:v>
                </c:pt>
                <c:pt idx="572">
                  <c:v>Dec 15, 2022</c:v>
                </c:pt>
                <c:pt idx="573">
                  <c:v>Dec 14, 2022</c:v>
                </c:pt>
                <c:pt idx="574">
                  <c:v>Dec 13, 2022</c:v>
                </c:pt>
                <c:pt idx="575">
                  <c:v>Dec 12, 2022</c:v>
                </c:pt>
                <c:pt idx="576">
                  <c:v>Dec 9, 2022</c:v>
                </c:pt>
                <c:pt idx="577">
                  <c:v>Dec 8, 2022</c:v>
                </c:pt>
                <c:pt idx="578">
                  <c:v>Dec 7, 2022</c:v>
                </c:pt>
                <c:pt idx="579">
                  <c:v>Dec 6, 2022</c:v>
                </c:pt>
                <c:pt idx="580">
                  <c:v>Dec 5, 2022</c:v>
                </c:pt>
                <c:pt idx="581">
                  <c:v>Dec 2, 2022</c:v>
                </c:pt>
                <c:pt idx="582">
                  <c:v>Dec 1, 2022</c:v>
                </c:pt>
                <c:pt idx="583">
                  <c:v>Nov 30, 2022</c:v>
                </c:pt>
                <c:pt idx="584">
                  <c:v>Nov 29, 2022</c:v>
                </c:pt>
                <c:pt idx="585">
                  <c:v>Nov 28, 2022</c:v>
                </c:pt>
                <c:pt idx="586">
                  <c:v>Nov 25, 2022</c:v>
                </c:pt>
                <c:pt idx="587">
                  <c:v>Nov 24, 2022</c:v>
                </c:pt>
                <c:pt idx="588">
                  <c:v>Nov 23, 2022</c:v>
                </c:pt>
                <c:pt idx="589">
                  <c:v>Nov 22, 2022</c:v>
                </c:pt>
                <c:pt idx="590">
                  <c:v>Nov 21, 2022</c:v>
                </c:pt>
                <c:pt idx="591">
                  <c:v>Nov 18, 2022</c:v>
                </c:pt>
                <c:pt idx="592">
                  <c:v>Nov 17, 2022</c:v>
                </c:pt>
                <c:pt idx="593">
                  <c:v>Nov 16, 2022</c:v>
                </c:pt>
                <c:pt idx="594">
                  <c:v>Nov 15, 2022</c:v>
                </c:pt>
                <c:pt idx="595">
                  <c:v>Nov 14, 2022</c:v>
                </c:pt>
                <c:pt idx="596">
                  <c:v>Nov 11, 2022</c:v>
                </c:pt>
                <c:pt idx="597">
                  <c:v>Nov 10, 2022</c:v>
                </c:pt>
                <c:pt idx="598">
                  <c:v>Nov 9, 2022</c:v>
                </c:pt>
                <c:pt idx="599">
                  <c:v>Nov 7, 2022</c:v>
                </c:pt>
                <c:pt idx="600">
                  <c:v>Nov 4, 2022</c:v>
                </c:pt>
                <c:pt idx="601">
                  <c:v>Nov 3, 2022</c:v>
                </c:pt>
                <c:pt idx="602">
                  <c:v>Nov 2, 2022</c:v>
                </c:pt>
                <c:pt idx="603">
                  <c:v>Nov 1, 2022</c:v>
                </c:pt>
                <c:pt idx="604">
                  <c:v>Oct 31, 2022</c:v>
                </c:pt>
                <c:pt idx="605">
                  <c:v>Oct 28, 2022</c:v>
                </c:pt>
                <c:pt idx="606">
                  <c:v>Oct 27, 2022</c:v>
                </c:pt>
                <c:pt idx="607">
                  <c:v>Oct 25, 2022</c:v>
                </c:pt>
                <c:pt idx="608">
                  <c:v>Oct 24, 2022</c:v>
                </c:pt>
                <c:pt idx="609">
                  <c:v>Oct 21, 2022</c:v>
                </c:pt>
                <c:pt idx="610">
                  <c:v>Oct 20, 2022</c:v>
                </c:pt>
                <c:pt idx="611">
                  <c:v>Oct 19, 2022</c:v>
                </c:pt>
                <c:pt idx="612">
                  <c:v>Oct 18, 2022</c:v>
                </c:pt>
                <c:pt idx="613">
                  <c:v>Oct 17, 2022</c:v>
                </c:pt>
                <c:pt idx="614">
                  <c:v>Oct 14, 2022</c:v>
                </c:pt>
                <c:pt idx="615">
                  <c:v>Oct 13, 2022</c:v>
                </c:pt>
                <c:pt idx="616">
                  <c:v>Oct 12, 2022</c:v>
                </c:pt>
                <c:pt idx="617">
                  <c:v>Oct 11, 2022</c:v>
                </c:pt>
                <c:pt idx="618">
                  <c:v>Oct 10, 2022</c:v>
                </c:pt>
                <c:pt idx="619">
                  <c:v>Oct 7, 2022</c:v>
                </c:pt>
                <c:pt idx="620">
                  <c:v>Oct 6, 2022</c:v>
                </c:pt>
                <c:pt idx="621">
                  <c:v>Oct 4, 2022</c:v>
                </c:pt>
                <c:pt idx="622">
                  <c:v>Oct 3, 2022</c:v>
                </c:pt>
                <c:pt idx="623">
                  <c:v>Sep 30, 2022</c:v>
                </c:pt>
                <c:pt idx="624">
                  <c:v>Sep 29, 2022</c:v>
                </c:pt>
                <c:pt idx="625">
                  <c:v>Sep 28, 2022</c:v>
                </c:pt>
                <c:pt idx="626">
                  <c:v>Sep 27, 2022</c:v>
                </c:pt>
                <c:pt idx="627">
                  <c:v>Sep 26, 2022</c:v>
                </c:pt>
                <c:pt idx="628">
                  <c:v>Sep 23, 2022</c:v>
                </c:pt>
                <c:pt idx="629">
                  <c:v>Sep 22, 2022</c:v>
                </c:pt>
                <c:pt idx="630">
                  <c:v>Sep 21, 2022</c:v>
                </c:pt>
                <c:pt idx="631">
                  <c:v>Sep 20, 2022</c:v>
                </c:pt>
                <c:pt idx="632">
                  <c:v>Sep 19, 2022</c:v>
                </c:pt>
                <c:pt idx="633">
                  <c:v>Sep 16, 2022</c:v>
                </c:pt>
                <c:pt idx="634">
                  <c:v>Sep 15, 2022</c:v>
                </c:pt>
                <c:pt idx="635">
                  <c:v>Sep 14, 2022</c:v>
                </c:pt>
                <c:pt idx="636">
                  <c:v>Sep 13, 2022</c:v>
                </c:pt>
                <c:pt idx="637">
                  <c:v>Sep 12, 2022</c:v>
                </c:pt>
                <c:pt idx="638">
                  <c:v>Sep 9, 2022</c:v>
                </c:pt>
                <c:pt idx="639">
                  <c:v>Sep 8, 2022</c:v>
                </c:pt>
                <c:pt idx="640">
                  <c:v>Sep 7, 2022</c:v>
                </c:pt>
                <c:pt idx="641">
                  <c:v>Sep 6, 2022</c:v>
                </c:pt>
                <c:pt idx="642">
                  <c:v>Sep 5, 2022</c:v>
                </c:pt>
                <c:pt idx="643">
                  <c:v>Sep 2, 2022</c:v>
                </c:pt>
                <c:pt idx="644">
                  <c:v>Sep 1, 2022</c:v>
                </c:pt>
                <c:pt idx="645">
                  <c:v>Aug 30, 2022</c:v>
                </c:pt>
                <c:pt idx="646">
                  <c:v>Aug 29, 2022</c:v>
                </c:pt>
                <c:pt idx="647">
                  <c:v>Aug 26, 2022</c:v>
                </c:pt>
                <c:pt idx="648">
                  <c:v>Aug 25, 2022</c:v>
                </c:pt>
                <c:pt idx="649">
                  <c:v>Aug 24, 2022</c:v>
                </c:pt>
                <c:pt idx="650">
                  <c:v>Aug 23, 2022</c:v>
                </c:pt>
                <c:pt idx="651">
                  <c:v>Aug 22, 2022</c:v>
                </c:pt>
                <c:pt idx="652">
                  <c:v>Aug 19, 2022</c:v>
                </c:pt>
                <c:pt idx="653">
                  <c:v>Aug 18, 2022</c:v>
                </c:pt>
                <c:pt idx="654">
                  <c:v>Aug 17, 2022</c:v>
                </c:pt>
                <c:pt idx="655">
                  <c:v>Aug 16, 2022</c:v>
                </c:pt>
                <c:pt idx="656">
                  <c:v>Aug 12, 2022</c:v>
                </c:pt>
                <c:pt idx="657">
                  <c:v>Aug 11, 2022</c:v>
                </c:pt>
                <c:pt idx="658">
                  <c:v>Aug 10, 2022</c:v>
                </c:pt>
                <c:pt idx="659">
                  <c:v>Aug 8, 2022</c:v>
                </c:pt>
                <c:pt idx="660">
                  <c:v>Aug 5, 2022</c:v>
                </c:pt>
                <c:pt idx="661">
                  <c:v>Aug 4, 2022</c:v>
                </c:pt>
                <c:pt idx="662">
                  <c:v>Aug 3, 2022</c:v>
                </c:pt>
                <c:pt idx="663">
                  <c:v>Aug 2, 2022</c:v>
                </c:pt>
                <c:pt idx="664">
                  <c:v>Aug 1, 2022</c:v>
                </c:pt>
                <c:pt idx="665">
                  <c:v>Jul 29, 2022</c:v>
                </c:pt>
                <c:pt idx="666">
                  <c:v>Jul 28, 2022</c:v>
                </c:pt>
                <c:pt idx="667">
                  <c:v>Jul 27, 2022</c:v>
                </c:pt>
                <c:pt idx="668">
                  <c:v>Jul 26, 2022</c:v>
                </c:pt>
                <c:pt idx="669">
                  <c:v>Jul 25, 2022</c:v>
                </c:pt>
                <c:pt idx="670">
                  <c:v>Jul 22, 2022</c:v>
                </c:pt>
                <c:pt idx="671">
                  <c:v>Jul 21, 2022</c:v>
                </c:pt>
                <c:pt idx="672">
                  <c:v>Jul 20, 2022</c:v>
                </c:pt>
                <c:pt idx="673">
                  <c:v>Jul 19, 2022</c:v>
                </c:pt>
                <c:pt idx="674">
                  <c:v>Jul 18, 2022</c:v>
                </c:pt>
                <c:pt idx="675">
                  <c:v>Jul 15, 2022</c:v>
                </c:pt>
                <c:pt idx="676">
                  <c:v>Jul 14, 2022</c:v>
                </c:pt>
                <c:pt idx="677">
                  <c:v>Jul 13, 2022</c:v>
                </c:pt>
                <c:pt idx="678">
                  <c:v>Jul 12, 2022</c:v>
                </c:pt>
                <c:pt idx="679">
                  <c:v>Jul 11, 2022</c:v>
                </c:pt>
                <c:pt idx="680">
                  <c:v>Jul 8, 2022</c:v>
                </c:pt>
                <c:pt idx="681">
                  <c:v>Jul 7, 2022</c:v>
                </c:pt>
                <c:pt idx="682">
                  <c:v>Jul 6, 2022</c:v>
                </c:pt>
                <c:pt idx="683">
                  <c:v>Jul 5, 2022</c:v>
                </c:pt>
                <c:pt idx="684">
                  <c:v>Jul 4, 2022</c:v>
                </c:pt>
                <c:pt idx="685">
                  <c:v>Jul 1, 2022</c:v>
                </c:pt>
                <c:pt idx="686">
                  <c:v>Jun 30, 2022</c:v>
                </c:pt>
                <c:pt idx="687">
                  <c:v>Jun 29, 2022</c:v>
                </c:pt>
                <c:pt idx="688">
                  <c:v>Jun 28, 2022</c:v>
                </c:pt>
                <c:pt idx="689">
                  <c:v>Jun 27, 2022</c:v>
                </c:pt>
                <c:pt idx="690">
                  <c:v>Jun 24, 2022</c:v>
                </c:pt>
                <c:pt idx="691">
                  <c:v>Jun 23, 2022</c:v>
                </c:pt>
                <c:pt idx="692">
                  <c:v>Jun 22, 2022</c:v>
                </c:pt>
                <c:pt idx="693">
                  <c:v>Jun 21, 2022</c:v>
                </c:pt>
                <c:pt idx="694">
                  <c:v>Jun 20, 2022</c:v>
                </c:pt>
                <c:pt idx="695">
                  <c:v>Jun 17, 2022</c:v>
                </c:pt>
                <c:pt idx="696">
                  <c:v>Jun 16, 2022</c:v>
                </c:pt>
                <c:pt idx="697">
                  <c:v>Jun 15, 2022</c:v>
                </c:pt>
                <c:pt idx="698">
                  <c:v>Jun 14, 2022</c:v>
                </c:pt>
                <c:pt idx="699">
                  <c:v>Jun 13, 2022</c:v>
                </c:pt>
                <c:pt idx="700">
                  <c:v>Jun 10, 2022</c:v>
                </c:pt>
                <c:pt idx="701">
                  <c:v>Jun 9, 2022</c:v>
                </c:pt>
                <c:pt idx="702">
                  <c:v>Jun 8, 2022</c:v>
                </c:pt>
                <c:pt idx="703">
                  <c:v>Jun 7, 2022</c:v>
                </c:pt>
                <c:pt idx="704">
                  <c:v>Jun 6, 2022</c:v>
                </c:pt>
                <c:pt idx="705">
                  <c:v>Jun 3, 2022</c:v>
                </c:pt>
                <c:pt idx="706">
                  <c:v>Jun 2, 2022</c:v>
                </c:pt>
                <c:pt idx="707">
                  <c:v>Jun 1, 2022</c:v>
                </c:pt>
                <c:pt idx="708">
                  <c:v>May 31, 2022</c:v>
                </c:pt>
                <c:pt idx="709">
                  <c:v>May 30, 2022</c:v>
                </c:pt>
                <c:pt idx="710">
                  <c:v>May 27, 2022</c:v>
                </c:pt>
                <c:pt idx="711">
                  <c:v>May 26, 2022</c:v>
                </c:pt>
                <c:pt idx="712">
                  <c:v>May 25, 2022</c:v>
                </c:pt>
                <c:pt idx="713">
                  <c:v>May 24, 2022</c:v>
                </c:pt>
                <c:pt idx="714">
                  <c:v>May 23, 2022</c:v>
                </c:pt>
                <c:pt idx="715">
                  <c:v>May 20, 2022</c:v>
                </c:pt>
                <c:pt idx="716">
                  <c:v>May 19, 2022</c:v>
                </c:pt>
                <c:pt idx="717">
                  <c:v>May 18, 2022</c:v>
                </c:pt>
                <c:pt idx="718">
                  <c:v>May 17, 2022</c:v>
                </c:pt>
                <c:pt idx="719">
                  <c:v>May 16, 2022</c:v>
                </c:pt>
                <c:pt idx="720">
                  <c:v>May 13, 2022</c:v>
                </c:pt>
                <c:pt idx="721">
                  <c:v>May 12, 2022</c:v>
                </c:pt>
                <c:pt idx="722">
                  <c:v>May 11, 2022</c:v>
                </c:pt>
                <c:pt idx="723">
                  <c:v>May 10, 2022</c:v>
                </c:pt>
                <c:pt idx="724">
                  <c:v>May 9, 2022</c:v>
                </c:pt>
                <c:pt idx="725">
                  <c:v>May 6, 2022</c:v>
                </c:pt>
                <c:pt idx="726">
                  <c:v>May 5, 2022</c:v>
                </c:pt>
                <c:pt idx="727">
                  <c:v>May 4, 2022</c:v>
                </c:pt>
                <c:pt idx="728">
                  <c:v>May 2, 2022</c:v>
                </c:pt>
                <c:pt idx="729">
                  <c:v>Apr 29, 2022</c:v>
                </c:pt>
                <c:pt idx="730">
                  <c:v>Apr 28, 2022</c:v>
                </c:pt>
                <c:pt idx="731">
                  <c:v>Apr 27, 2022</c:v>
                </c:pt>
                <c:pt idx="732">
                  <c:v>Apr 26, 2022</c:v>
                </c:pt>
                <c:pt idx="733">
                  <c:v>Apr 25, 2022</c:v>
                </c:pt>
                <c:pt idx="734">
                  <c:v>Apr 22, 2022</c:v>
                </c:pt>
                <c:pt idx="735">
                  <c:v>Apr 21, 2022</c:v>
                </c:pt>
                <c:pt idx="736">
                  <c:v>Apr 20, 2022</c:v>
                </c:pt>
                <c:pt idx="737">
                  <c:v>Apr 19, 2022</c:v>
                </c:pt>
                <c:pt idx="738">
                  <c:v>Apr 18, 2022</c:v>
                </c:pt>
                <c:pt idx="739">
                  <c:v>Apr 13, 2022</c:v>
                </c:pt>
                <c:pt idx="740">
                  <c:v>Apr 12, 2022</c:v>
                </c:pt>
                <c:pt idx="741">
                  <c:v>Apr 11, 2022</c:v>
                </c:pt>
                <c:pt idx="742">
                  <c:v>Apr 8, 2022</c:v>
                </c:pt>
                <c:pt idx="743">
                  <c:v>Apr 7, 2022</c:v>
                </c:pt>
                <c:pt idx="744">
                  <c:v>Apr 6, 2022</c:v>
                </c:pt>
                <c:pt idx="745">
                  <c:v>Apr 5, 2022</c:v>
                </c:pt>
                <c:pt idx="746">
                  <c:v>Apr 4, 2022</c:v>
                </c:pt>
                <c:pt idx="747">
                  <c:v>Apr 1, 2022</c:v>
                </c:pt>
                <c:pt idx="748">
                  <c:v>Mar 31, 2022</c:v>
                </c:pt>
                <c:pt idx="749">
                  <c:v>Mar 30, 2022</c:v>
                </c:pt>
                <c:pt idx="750">
                  <c:v>Mar 29, 2022</c:v>
                </c:pt>
                <c:pt idx="751">
                  <c:v>Mar 28, 2022</c:v>
                </c:pt>
                <c:pt idx="752">
                  <c:v>Mar 25, 2022</c:v>
                </c:pt>
                <c:pt idx="753">
                  <c:v>Mar 24, 2022</c:v>
                </c:pt>
                <c:pt idx="754">
                  <c:v>Mar 23, 2022</c:v>
                </c:pt>
                <c:pt idx="755">
                  <c:v>Mar 22, 2022</c:v>
                </c:pt>
                <c:pt idx="756">
                  <c:v>Mar 21, 2022</c:v>
                </c:pt>
                <c:pt idx="757">
                  <c:v>Mar 17, 2022</c:v>
                </c:pt>
                <c:pt idx="758">
                  <c:v>Mar 16, 2022</c:v>
                </c:pt>
                <c:pt idx="759">
                  <c:v>Mar 15, 2022</c:v>
                </c:pt>
                <c:pt idx="760">
                  <c:v>Mar 14, 2022</c:v>
                </c:pt>
                <c:pt idx="761">
                  <c:v>Mar 11, 2022</c:v>
                </c:pt>
                <c:pt idx="762">
                  <c:v>Mar 10, 2022</c:v>
                </c:pt>
                <c:pt idx="763">
                  <c:v>Mar 9, 2022</c:v>
                </c:pt>
                <c:pt idx="764">
                  <c:v>Mar 8, 2022</c:v>
                </c:pt>
                <c:pt idx="765">
                  <c:v>Mar 7, 2022</c:v>
                </c:pt>
                <c:pt idx="766">
                  <c:v>Mar 4, 2022</c:v>
                </c:pt>
                <c:pt idx="767">
                  <c:v>Mar 3, 2022</c:v>
                </c:pt>
                <c:pt idx="768">
                  <c:v>Mar 2, 2022</c:v>
                </c:pt>
                <c:pt idx="769">
                  <c:v>Feb 28, 2022</c:v>
                </c:pt>
                <c:pt idx="770">
                  <c:v>Feb 25, 2022</c:v>
                </c:pt>
                <c:pt idx="771">
                  <c:v>Feb 24, 2022</c:v>
                </c:pt>
                <c:pt idx="772">
                  <c:v>Feb 23, 2022</c:v>
                </c:pt>
                <c:pt idx="773">
                  <c:v>Feb 22, 2022</c:v>
                </c:pt>
                <c:pt idx="774">
                  <c:v>Feb 21, 2022</c:v>
                </c:pt>
                <c:pt idx="775">
                  <c:v>Feb 18, 2022</c:v>
                </c:pt>
                <c:pt idx="776">
                  <c:v>Feb 17, 2022</c:v>
                </c:pt>
                <c:pt idx="777">
                  <c:v>Feb 16, 2022</c:v>
                </c:pt>
                <c:pt idx="778">
                  <c:v>Feb 15, 2022</c:v>
                </c:pt>
                <c:pt idx="779">
                  <c:v>Feb 14, 2022</c:v>
                </c:pt>
                <c:pt idx="780">
                  <c:v>Feb 11, 2022</c:v>
                </c:pt>
                <c:pt idx="781">
                  <c:v>Feb 10, 2022</c:v>
                </c:pt>
                <c:pt idx="782">
                  <c:v>Feb 9, 2022</c:v>
                </c:pt>
                <c:pt idx="783">
                  <c:v>Feb 8, 2022</c:v>
                </c:pt>
                <c:pt idx="784">
                  <c:v>Feb 7, 2022</c:v>
                </c:pt>
                <c:pt idx="785">
                  <c:v>Feb 4, 2022</c:v>
                </c:pt>
                <c:pt idx="786">
                  <c:v>Feb 3, 2022</c:v>
                </c:pt>
                <c:pt idx="787">
                  <c:v>Feb 2, 2022</c:v>
                </c:pt>
                <c:pt idx="788">
                  <c:v>Feb 1, 2022</c:v>
                </c:pt>
                <c:pt idx="789">
                  <c:v>Jan 31, 2022</c:v>
                </c:pt>
                <c:pt idx="790">
                  <c:v>Jan 28, 2022</c:v>
                </c:pt>
                <c:pt idx="791">
                  <c:v>Jan 27, 2022</c:v>
                </c:pt>
                <c:pt idx="792">
                  <c:v>Jan 25, 2022</c:v>
                </c:pt>
                <c:pt idx="793">
                  <c:v>Jan 24, 2022</c:v>
                </c:pt>
                <c:pt idx="794">
                  <c:v>Jan 21, 2022</c:v>
                </c:pt>
                <c:pt idx="795">
                  <c:v>Jan 20, 2022</c:v>
                </c:pt>
                <c:pt idx="796">
                  <c:v>Jan 19, 2022</c:v>
                </c:pt>
                <c:pt idx="797">
                  <c:v>Jan 18, 2022</c:v>
                </c:pt>
                <c:pt idx="798">
                  <c:v>Jan 17, 2022</c:v>
                </c:pt>
                <c:pt idx="799">
                  <c:v>Jan 14, 2022</c:v>
                </c:pt>
                <c:pt idx="800">
                  <c:v>Jan 13, 2022</c:v>
                </c:pt>
                <c:pt idx="801">
                  <c:v>Jan 12, 2022</c:v>
                </c:pt>
                <c:pt idx="802">
                  <c:v>Jan 11, 2022</c:v>
                </c:pt>
                <c:pt idx="803">
                  <c:v>Jan 10, 2022</c:v>
                </c:pt>
                <c:pt idx="804">
                  <c:v>Jan 7, 2022</c:v>
                </c:pt>
                <c:pt idx="805">
                  <c:v>Jan 6, 2022</c:v>
                </c:pt>
                <c:pt idx="806">
                  <c:v>Jan 5, 2022</c:v>
                </c:pt>
                <c:pt idx="807">
                  <c:v>Jan 4, 2022</c:v>
                </c:pt>
                <c:pt idx="808">
                  <c:v>Jan 3, 2022</c:v>
                </c:pt>
                <c:pt idx="809">
                  <c:v>Dec 31, 2021</c:v>
                </c:pt>
                <c:pt idx="810">
                  <c:v>Dec 30, 2021</c:v>
                </c:pt>
                <c:pt idx="811">
                  <c:v>Dec 29, 2021</c:v>
                </c:pt>
                <c:pt idx="812">
                  <c:v>Dec 28, 2021</c:v>
                </c:pt>
                <c:pt idx="813">
                  <c:v>Dec 27, 2021</c:v>
                </c:pt>
                <c:pt idx="814">
                  <c:v>Dec 24, 2021</c:v>
                </c:pt>
                <c:pt idx="815">
                  <c:v>Dec 23, 2021</c:v>
                </c:pt>
                <c:pt idx="816">
                  <c:v>Dec 22, 2021</c:v>
                </c:pt>
                <c:pt idx="817">
                  <c:v>Dec 21, 2021</c:v>
                </c:pt>
                <c:pt idx="818">
                  <c:v>Dec 20, 2021</c:v>
                </c:pt>
                <c:pt idx="819">
                  <c:v>Dec 17, 2021</c:v>
                </c:pt>
                <c:pt idx="820">
                  <c:v>Dec 16, 2021</c:v>
                </c:pt>
                <c:pt idx="821">
                  <c:v>Dec 15, 2021</c:v>
                </c:pt>
                <c:pt idx="822">
                  <c:v>Dec 14, 2021</c:v>
                </c:pt>
                <c:pt idx="823">
                  <c:v>Dec 13, 2021</c:v>
                </c:pt>
                <c:pt idx="824">
                  <c:v>Dec 10, 2021</c:v>
                </c:pt>
                <c:pt idx="825">
                  <c:v>Dec 9, 2021</c:v>
                </c:pt>
                <c:pt idx="826">
                  <c:v>Dec 8, 2021</c:v>
                </c:pt>
                <c:pt idx="827">
                  <c:v>Dec 7, 2021</c:v>
                </c:pt>
                <c:pt idx="828">
                  <c:v>Dec 6, 2021</c:v>
                </c:pt>
                <c:pt idx="829">
                  <c:v>Dec 3, 2021</c:v>
                </c:pt>
                <c:pt idx="830">
                  <c:v>Dec 2, 2021</c:v>
                </c:pt>
                <c:pt idx="831">
                  <c:v>Dec 1, 2021</c:v>
                </c:pt>
                <c:pt idx="832">
                  <c:v>Nov 30, 2021</c:v>
                </c:pt>
                <c:pt idx="833">
                  <c:v>Nov 29, 2021</c:v>
                </c:pt>
                <c:pt idx="834">
                  <c:v>Nov 26, 2021</c:v>
                </c:pt>
                <c:pt idx="835">
                  <c:v>Nov 25, 2021</c:v>
                </c:pt>
                <c:pt idx="836">
                  <c:v>Nov 24, 2021</c:v>
                </c:pt>
                <c:pt idx="837">
                  <c:v>Nov 23, 2021</c:v>
                </c:pt>
                <c:pt idx="838">
                  <c:v>Nov 22, 2021</c:v>
                </c:pt>
                <c:pt idx="839">
                  <c:v>Nov 18, 2021</c:v>
                </c:pt>
                <c:pt idx="840">
                  <c:v>Nov 17, 2021</c:v>
                </c:pt>
                <c:pt idx="841">
                  <c:v>Nov 16, 2021</c:v>
                </c:pt>
                <c:pt idx="842">
                  <c:v>Nov 15, 2021</c:v>
                </c:pt>
                <c:pt idx="843">
                  <c:v>Nov 12, 2021</c:v>
                </c:pt>
                <c:pt idx="844">
                  <c:v>Nov 11, 2021</c:v>
                </c:pt>
                <c:pt idx="845">
                  <c:v>Nov 10, 2021</c:v>
                </c:pt>
                <c:pt idx="846">
                  <c:v>Nov 9, 2021</c:v>
                </c:pt>
                <c:pt idx="847">
                  <c:v>Nov 8, 2021</c:v>
                </c:pt>
                <c:pt idx="848">
                  <c:v>Nov 4, 2021</c:v>
                </c:pt>
                <c:pt idx="849">
                  <c:v>Nov 3, 2021</c:v>
                </c:pt>
                <c:pt idx="850">
                  <c:v>Nov 2, 2021</c:v>
                </c:pt>
                <c:pt idx="851">
                  <c:v>Nov 1, 2021</c:v>
                </c:pt>
                <c:pt idx="852">
                  <c:v>Oct 29, 2021</c:v>
                </c:pt>
                <c:pt idx="853">
                  <c:v>Oct 28, 2021</c:v>
                </c:pt>
                <c:pt idx="854">
                  <c:v>Oct 27, 2021</c:v>
                </c:pt>
                <c:pt idx="855">
                  <c:v>Oct 26, 2021</c:v>
                </c:pt>
                <c:pt idx="856">
                  <c:v>Oct 25, 2021</c:v>
                </c:pt>
                <c:pt idx="857">
                  <c:v>Oct 22, 2021</c:v>
                </c:pt>
                <c:pt idx="858">
                  <c:v>Oct 21, 2021</c:v>
                </c:pt>
                <c:pt idx="859">
                  <c:v>Oct 20, 2021</c:v>
                </c:pt>
                <c:pt idx="860">
                  <c:v>Oct 19, 2021</c:v>
                </c:pt>
                <c:pt idx="861">
                  <c:v>Oct 18, 2021</c:v>
                </c:pt>
                <c:pt idx="862">
                  <c:v>Oct 14, 2021</c:v>
                </c:pt>
                <c:pt idx="863">
                  <c:v>Oct 13, 2021</c:v>
                </c:pt>
                <c:pt idx="864">
                  <c:v>Oct 12, 2021</c:v>
                </c:pt>
                <c:pt idx="865">
                  <c:v>Oct 11, 2021</c:v>
                </c:pt>
                <c:pt idx="866">
                  <c:v>Oct 8, 2021</c:v>
                </c:pt>
                <c:pt idx="867">
                  <c:v>Oct 7, 2021</c:v>
                </c:pt>
                <c:pt idx="868">
                  <c:v>Oct 6, 2021</c:v>
                </c:pt>
                <c:pt idx="869">
                  <c:v>Oct 5, 2021</c:v>
                </c:pt>
                <c:pt idx="870">
                  <c:v>Oct 4, 2021</c:v>
                </c:pt>
                <c:pt idx="871">
                  <c:v>Oct 1, 2021</c:v>
                </c:pt>
                <c:pt idx="872">
                  <c:v>Sep 30, 2021</c:v>
                </c:pt>
                <c:pt idx="873">
                  <c:v>Sep 29, 2021</c:v>
                </c:pt>
                <c:pt idx="874">
                  <c:v>Sep 28, 2021</c:v>
                </c:pt>
                <c:pt idx="875">
                  <c:v>Sep 27, 2021</c:v>
                </c:pt>
                <c:pt idx="876">
                  <c:v>Sep 24, 2021</c:v>
                </c:pt>
                <c:pt idx="877">
                  <c:v>Sep 23, 2021</c:v>
                </c:pt>
                <c:pt idx="878">
                  <c:v>Sep 22, 2021</c:v>
                </c:pt>
                <c:pt idx="879">
                  <c:v>Sep 21, 2021</c:v>
                </c:pt>
                <c:pt idx="880">
                  <c:v>Sep 20, 2021</c:v>
                </c:pt>
                <c:pt idx="881">
                  <c:v>Sep 17, 2021</c:v>
                </c:pt>
                <c:pt idx="882">
                  <c:v>Sep 16, 2021</c:v>
                </c:pt>
                <c:pt idx="883">
                  <c:v>Sep 15, 2021</c:v>
                </c:pt>
                <c:pt idx="884">
                  <c:v>Sep 14, 2021</c:v>
                </c:pt>
                <c:pt idx="885">
                  <c:v>Sep 13, 2021</c:v>
                </c:pt>
                <c:pt idx="886">
                  <c:v>Sep 9, 2021</c:v>
                </c:pt>
                <c:pt idx="887">
                  <c:v>Sep 8, 2021</c:v>
                </c:pt>
                <c:pt idx="888">
                  <c:v>Sep 7, 2021</c:v>
                </c:pt>
                <c:pt idx="889">
                  <c:v>Sep 6, 2021</c:v>
                </c:pt>
                <c:pt idx="890">
                  <c:v>Sep 3, 2021</c:v>
                </c:pt>
                <c:pt idx="891">
                  <c:v>Sep 2, 2021</c:v>
                </c:pt>
                <c:pt idx="892">
                  <c:v>Sep 1, 2021</c:v>
                </c:pt>
                <c:pt idx="893">
                  <c:v>Aug 31, 2021</c:v>
                </c:pt>
                <c:pt idx="894">
                  <c:v>Aug 30, 2021</c:v>
                </c:pt>
                <c:pt idx="895">
                  <c:v>Aug 27, 2021</c:v>
                </c:pt>
                <c:pt idx="896">
                  <c:v>Aug 26, 2021</c:v>
                </c:pt>
                <c:pt idx="897">
                  <c:v>Aug 25, 2021</c:v>
                </c:pt>
                <c:pt idx="898">
                  <c:v>Aug 24, 2021</c:v>
                </c:pt>
                <c:pt idx="899">
                  <c:v>Aug 23, 2021</c:v>
                </c:pt>
                <c:pt idx="900">
                  <c:v>Aug 20, 2021</c:v>
                </c:pt>
                <c:pt idx="901">
                  <c:v>Aug 18, 2021</c:v>
                </c:pt>
                <c:pt idx="902">
                  <c:v>Aug 17, 2021</c:v>
                </c:pt>
                <c:pt idx="903">
                  <c:v>Aug 16, 2021</c:v>
                </c:pt>
                <c:pt idx="904">
                  <c:v>Aug 13, 2021</c:v>
                </c:pt>
                <c:pt idx="905">
                  <c:v>Aug 12, 2021</c:v>
                </c:pt>
                <c:pt idx="906">
                  <c:v>Aug 11, 2021</c:v>
                </c:pt>
                <c:pt idx="907">
                  <c:v>Aug 10, 2021</c:v>
                </c:pt>
                <c:pt idx="908">
                  <c:v>Aug 9, 2021</c:v>
                </c:pt>
                <c:pt idx="909">
                  <c:v>Aug 6, 2021</c:v>
                </c:pt>
                <c:pt idx="910">
                  <c:v>Aug 5, 2021</c:v>
                </c:pt>
                <c:pt idx="911">
                  <c:v>Aug 4, 2021</c:v>
                </c:pt>
                <c:pt idx="912">
                  <c:v>Aug 3, 2021</c:v>
                </c:pt>
                <c:pt idx="913">
                  <c:v>Aug 2, 2021</c:v>
                </c:pt>
                <c:pt idx="914">
                  <c:v>Jul 30, 2021</c:v>
                </c:pt>
                <c:pt idx="915">
                  <c:v>Jul 29, 2021</c:v>
                </c:pt>
                <c:pt idx="916">
                  <c:v>Jul 28, 2021</c:v>
                </c:pt>
                <c:pt idx="917">
                  <c:v>Jul 27, 2021</c:v>
                </c:pt>
                <c:pt idx="918">
                  <c:v>Jul 26, 2021</c:v>
                </c:pt>
                <c:pt idx="919">
                  <c:v>Jul 23, 2021</c:v>
                </c:pt>
                <c:pt idx="920">
                  <c:v>Jul 22, 2021</c:v>
                </c:pt>
                <c:pt idx="921">
                  <c:v>Jul 20, 2021</c:v>
                </c:pt>
                <c:pt idx="922">
                  <c:v>Jul 19, 2021</c:v>
                </c:pt>
                <c:pt idx="923">
                  <c:v>Jul 16, 2021</c:v>
                </c:pt>
                <c:pt idx="924">
                  <c:v>Jul 15, 2021</c:v>
                </c:pt>
                <c:pt idx="925">
                  <c:v>Jul 14, 2021</c:v>
                </c:pt>
                <c:pt idx="926">
                  <c:v>Jul 13, 2021</c:v>
                </c:pt>
                <c:pt idx="927">
                  <c:v>Jul 12, 2021</c:v>
                </c:pt>
                <c:pt idx="928">
                  <c:v>Jul 9, 2021</c:v>
                </c:pt>
                <c:pt idx="929">
                  <c:v>Jul 8, 2021</c:v>
                </c:pt>
                <c:pt idx="930">
                  <c:v>Jul 7, 2021</c:v>
                </c:pt>
                <c:pt idx="931">
                  <c:v>Jul 6, 2021</c:v>
                </c:pt>
                <c:pt idx="932">
                  <c:v>Jul 5, 2021</c:v>
                </c:pt>
                <c:pt idx="933">
                  <c:v>Jul 2, 2021</c:v>
                </c:pt>
                <c:pt idx="934">
                  <c:v>Jul 1, 2021</c:v>
                </c:pt>
                <c:pt idx="935">
                  <c:v>Jun 30, 2021</c:v>
                </c:pt>
                <c:pt idx="936">
                  <c:v>Jun 29, 2021</c:v>
                </c:pt>
                <c:pt idx="937">
                  <c:v>Jun 28, 2021</c:v>
                </c:pt>
                <c:pt idx="938">
                  <c:v>Jun 25, 2021</c:v>
                </c:pt>
                <c:pt idx="939">
                  <c:v>Jun 24, 2021</c:v>
                </c:pt>
                <c:pt idx="940">
                  <c:v>Jun 23, 2021</c:v>
                </c:pt>
                <c:pt idx="941">
                  <c:v>Jun 22, 2021</c:v>
                </c:pt>
                <c:pt idx="942">
                  <c:v>Jun 21, 2021</c:v>
                </c:pt>
                <c:pt idx="943">
                  <c:v>Jun 18, 2021</c:v>
                </c:pt>
                <c:pt idx="944">
                  <c:v>Jun 17, 2021</c:v>
                </c:pt>
                <c:pt idx="945">
                  <c:v>Jun 16, 2021</c:v>
                </c:pt>
                <c:pt idx="946">
                  <c:v>Jun 15, 2021</c:v>
                </c:pt>
                <c:pt idx="947">
                  <c:v>Jun 14, 2021</c:v>
                </c:pt>
                <c:pt idx="948">
                  <c:v>Jun 11, 2021</c:v>
                </c:pt>
                <c:pt idx="949">
                  <c:v>Jun 10, 2021</c:v>
                </c:pt>
                <c:pt idx="950">
                  <c:v>Jun 9, 2021</c:v>
                </c:pt>
                <c:pt idx="951">
                  <c:v>Jun 8, 2021</c:v>
                </c:pt>
                <c:pt idx="952">
                  <c:v>Jun 7, 2021</c:v>
                </c:pt>
                <c:pt idx="953">
                  <c:v>Jun 4, 2021</c:v>
                </c:pt>
                <c:pt idx="954">
                  <c:v>Jun 3, 2021</c:v>
                </c:pt>
                <c:pt idx="955">
                  <c:v>Jun 2, 2021</c:v>
                </c:pt>
                <c:pt idx="956">
                  <c:v>Jun 1, 2021</c:v>
                </c:pt>
                <c:pt idx="957">
                  <c:v>May 31, 2021</c:v>
                </c:pt>
                <c:pt idx="958">
                  <c:v>May 28, 2021</c:v>
                </c:pt>
                <c:pt idx="959">
                  <c:v>May 27, 2021</c:v>
                </c:pt>
                <c:pt idx="960">
                  <c:v>May 26, 2021</c:v>
                </c:pt>
                <c:pt idx="961">
                  <c:v>May 25, 2021</c:v>
                </c:pt>
                <c:pt idx="962">
                  <c:v>May 24, 2021</c:v>
                </c:pt>
                <c:pt idx="963">
                  <c:v>May 21, 2021</c:v>
                </c:pt>
                <c:pt idx="964">
                  <c:v>May 20, 2021</c:v>
                </c:pt>
                <c:pt idx="965">
                  <c:v>May 19, 2021</c:v>
                </c:pt>
                <c:pt idx="966">
                  <c:v>May 18, 2021</c:v>
                </c:pt>
                <c:pt idx="967">
                  <c:v>May 17, 2021</c:v>
                </c:pt>
                <c:pt idx="968">
                  <c:v>May 14, 2021</c:v>
                </c:pt>
                <c:pt idx="969">
                  <c:v>May 12, 2021</c:v>
                </c:pt>
                <c:pt idx="970">
                  <c:v>May 11, 2021</c:v>
                </c:pt>
                <c:pt idx="971">
                  <c:v>May 10, 2021</c:v>
                </c:pt>
                <c:pt idx="972">
                  <c:v>May 7, 2021</c:v>
                </c:pt>
                <c:pt idx="973">
                  <c:v>May 6, 2021</c:v>
                </c:pt>
                <c:pt idx="974">
                  <c:v>May 5, 2021</c:v>
                </c:pt>
                <c:pt idx="975">
                  <c:v>May 4, 2021</c:v>
                </c:pt>
                <c:pt idx="976">
                  <c:v>May 3, 2021</c:v>
                </c:pt>
                <c:pt idx="977">
                  <c:v>Apr 30, 2021</c:v>
                </c:pt>
                <c:pt idx="978">
                  <c:v>Apr 29, 2021</c:v>
                </c:pt>
                <c:pt idx="979">
                  <c:v>Apr 28, 2021</c:v>
                </c:pt>
                <c:pt idx="980">
                  <c:v>Apr 27, 2021</c:v>
                </c:pt>
                <c:pt idx="981">
                  <c:v>Apr 26, 2021</c:v>
                </c:pt>
                <c:pt idx="982">
                  <c:v>Apr 23, 2021</c:v>
                </c:pt>
                <c:pt idx="983">
                  <c:v>Apr 22, 2021</c:v>
                </c:pt>
                <c:pt idx="984">
                  <c:v>Apr 20, 2021</c:v>
                </c:pt>
                <c:pt idx="985">
                  <c:v>Apr 19, 2021</c:v>
                </c:pt>
                <c:pt idx="986">
                  <c:v>Apr 16, 2021</c:v>
                </c:pt>
                <c:pt idx="987">
                  <c:v>Apr 15, 2021</c:v>
                </c:pt>
                <c:pt idx="988">
                  <c:v>Apr 13, 2021</c:v>
                </c:pt>
                <c:pt idx="989">
                  <c:v>Apr 12, 2021</c:v>
                </c:pt>
                <c:pt idx="990">
                  <c:v>Apr 9, 2021</c:v>
                </c:pt>
                <c:pt idx="991">
                  <c:v>Apr 8, 2021</c:v>
                </c:pt>
                <c:pt idx="992">
                  <c:v>Apr 7, 2021</c:v>
                </c:pt>
                <c:pt idx="993">
                  <c:v>Apr 6, 2021</c:v>
                </c:pt>
                <c:pt idx="994">
                  <c:v>Apr 5, 2021</c:v>
                </c:pt>
                <c:pt idx="995">
                  <c:v>Apr 1, 2021</c:v>
                </c:pt>
                <c:pt idx="996">
                  <c:v>Mar 31, 2021</c:v>
                </c:pt>
                <c:pt idx="997">
                  <c:v>Mar 30, 2021</c:v>
                </c:pt>
                <c:pt idx="998">
                  <c:v>Mar 26, 2021</c:v>
                </c:pt>
                <c:pt idx="999">
                  <c:v>Mar 25, 2021</c:v>
                </c:pt>
                <c:pt idx="1000">
                  <c:v>Mar 24, 2021</c:v>
                </c:pt>
                <c:pt idx="1001">
                  <c:v>Mar 23, 2021</c:v>
                </c:pt>
                <c:pt idx="1002">
                  <c:v>Mar 22, 2021</c:v>
                </c:pt>
                <c:pt idx="1003">
                  <c:v>Mar 19, 2021</c:v>
                </c:pt>
                <c:pt idx="1004">
                  <c:v>Mar 18, 2021</c:v>
                </c:pt>
                <c:pt idx="1005">
                  <c:v>Mar 17, 2021</c:v>
                </c:pt>
                <c:pt idx="1006">
                  <c:v>Mar 16, 2021</c:v>
                </c:pt>
                <c:pt idx="1007">
                  <c:v>Mar 15, 2021</c:v>
                </c:pt>
                <c:pt idx="1008">
                  <c:v>Mar 12, 2021</c:v>
                </c:pt>
                <c:pt idx="1009">
                  <c:v>Mar 10, 2021</c:v>
                </c:pt>
                <c:pt idx="1010">
                  <c:v>Mar 9, 2021</c:v>
                </c:pt>
                <c:pt idx="1011">
                  <c:v>Mar 8, 2021</c:v>
                </c:pt>
                <c:pt idx="1012">
                  <c:v>Mar 5, 2021</c:v>
                </c:pt>
                <c:pt idx="1013">
                  <c:v>Mar 4, 2021</c:v>
                </c:pt>
                <c:pt idx="1014">
                  <c:v>Mar 3, 2021</c:v>
                </c:pt>
                <c:pt idx="1015">
                  <c:v>Mar 2, 2021</c:v>
                </c:pt>
                <c:pt idx="1016">
                  <c:v>Mar 1, 2021</c:v>
                </c:pt>
                <c:pt idx="1017">
                  <c:v>Feb 26, 2021</c:v>
                </c:pt>
                <c:pt idx="1018">
                  <c:v>Feb 25, 2021</c:v>
                </c:pt>
                <c:pt idx="1019">
                  <c:v>Feb 24, 2021</c:v>
                </c:pt>
                <c:pt idx="1020">
                  <c:v>Feb 23, 2021</c:v>
                </c:pt>
                <c:pt idx="1021">
                  <c:v>Feb 22, 2021</c:v>
                </c:pt>
                <c:pt idx="1022">
                  <c:v>Feb 19, 2021</c:v>
                </c:pt>
                <c:pt idx="1023">
                  <c:v>Feb 18, 2021</c:v>
                </c:pt>
                <c:pt idx="1024">
                  <c:v>Feb 17, 2021</c:v>
                </c:pt>
                <c:pt idx="1025">
                  <c:v>Feb 16, 2021</c:v>
                </c:pt>
                <c:pt idx="1026">
                  <c:v>Feb 15, 2021</c:v>
                </c:pt>
                <c:pt idx="1027">
                  <c:v>Feb 12, 2021</c:v>
                </c:pt>
                <c:pt idx="1028">
                  <c:v>Feb 11, 2021</c:v>
                </c:pt>
                <c:pt idx="1029">
                  <c:v>Feb 10, 2021</c:v>
                </c:pt>
                <c:pt idx="1030">
                  <c:v>Feb 9, 2021</c:v>
                </c:pt>
                <c:pt idx="1031">
                  <c:v>Feb 8, 2021</c:v>
                </c:pt>
                <c:pt idx="1032">
                  <c:v>Feb 5, 2021</c:v>
                </c:pt>
                <c:pt idx="1033">
                  <c:v>Feb 4, 2021</c:v>
                </c:pt>
                <c:pt idx="1034">
                  <c:v>Feb 3, 2021</c:v>
                </c:pt>
                <c:pt idx="1035">
                  <c:v>Feb 2, 2021</c:v>
                </c:pt>
                <c:pt idx="1036">
                  <c:v>Feb 1, 2021</c:v>
                </c:pt>
                <c:pt idx="1037">
                  <c:v>Jan 29, 2021</c:v>
                </c:pt>
                <c:pt idx="1038">
                  <c:v>Jan 28, 2021</c:v>
                </c:pt>
                <c:pt idx="1039">
                  <c:v>Jan 27, 2021</c:v>
                </c:pt>
                <c:pt idx="1040">
                  <c:v>Jan 25, 2021</c:v>
                </c:pt>
                <c:pt idx="1041">
                  <c:v>Jan 22, 2021</c:v>
                </c:pt>
                <c:pt idx="1042">
                  <c:v>Jan 21, 2021</c:v>
                </c:pt>
                <c:pt idx="1043">
                  <c:v>Jan 20, 2021</c:v>
                </c:pt>
                <c:pt idx="1044">
                  <c:v>Jan 19, 2021</c:v>
                </c:pt>
                <c:pt idx="1045">
                  <c:v>Jan 18, 2021</c:v>
                </c:pt>
                <c:pt idx="1046">
                  <c:v>Jan 15, 2021</c:v>
                </c:pt>
                <c:pt idx="1047">
                  <c:v>Jan 14, 2021</c:v>
                </c:pt>
                <c:pt idx="1048">
                  <c:v>Jan 13, 2021</c:v>
                </c:pt>
                <c:pt idx="1049">
                  <c:v>Jan 12, 2021</c:v>
                </c:pt>
                <c:pt idx="1050">
                  <c:v>Jan 11, 2021</c:v>
                </c:pt>
                <c:pt idx="1051">
                  <c:v>Jan 8, 2021</c:v>
                </c:pt>
                <c:pt idx="1052">
                  <c:v>Jan 7, 2021</c:v>
                </c:pt>
                <c:pt idx="1053">
                  <c:v>Jan 6, 2021</c:v>
                </c:pt>
                <c:pt idx="1054">
                  <c:v>Jan 5, 2021</c:v>
                </c:pt>
                <c:pt idx="1055">
                  <c:v>Jan 4, 2021</c:v>
                </c:pt>
                <c:pt idx="1056">
                  <c:v>Jan 1, 2021</c:v>
                </c:pt>
                <c:pt idx="1057">
                  <c:v>Dec 31, 2020</c:v>
                </c:pt>
                <c:pt idx="1058">
                  <c:v>Dec 30, 2020</c:v>
                </c:pt>
                <c:pt idx="1059">
                  <c:v>Dec 29, 2020</c:v>
                </c:pt>
                <c:pt idx="1060">
                  <c:v>Dec 28, 2020</c:v>
                </c:pt>
                <c:pt idx="1061">
                  <c:v>Dec 24, 2020</c:v>
                </c:pt>
                <c:pt idx="1062">
                  <c:v>Dec 23, 2020</c:v>
                </c:pt>
                <c:pt idx="1063">
                  <c:v>Dec 22, 2020</c:v>
                </c:pt>
                <c:pt idx="1064">
                  <c:v>Dec 21, 2020</c:v>
                </c:pt>
                <c:pt idx="1065">
                  <c:v>Dec 18, 2020</c:v>
                </c:pt>
                <c:pt idx="1066">
                  <c:v>Dec 17, 2020</c:v>
                </c:pt>
                <c:pt idx="1067">
                  <c:v>Dec 16, 2020</c:v>
                </c:pt>
                <c:pt idx="1068">
                  <c:v>Dec 15, 2020</c:v>
                </c:pt>
                <c:pt idx="1069">
                  <c:v>Dec 14, 2020</c:v>
                </c:pt>
                <c:pt idx="1070">
                  <c:v>Dec 11, 2020</c:v>
                </c:pt>
                <c:pt idx="1071">
                  <c:v>Dec 10, 2020</c:v>
                </c:pt>
                <c:pt idx="1072">
                  <c:v>Dec 9, 2020</c:v>
                </c:pt>
                <c:pt idx="1073">
                  <c:v>Dec 8, 2020</c:v>
                </c:pt>
                <c:pt idx="1074">
                  <c:v>Dec 7, 2020</c:v>
                </c:pt>
                <c:pt idx="1075">
                  <c:v>Dec 4, 2020</c:v>
                </c:pt>
                <c:pt idx="1076">
                  <c:v>Dec 3, 2020</c:v>
                </c:pt>
                <c:pt idx="1077">
                  <c:v>Dec 2, 2020</c:v>
                </c:pt>
                <c:pt idx="1078">
                  <c:v>Dec 1, 2020</c:v>
                </c:pt>
                <c:pt idx="1079">
                  <c:v>Nov 27, 2020</c:v>
                </c:pt>
                <c:pt idx="1080">
                  <c:v>Nov 26, 2020</c:v>
                </c:pt>
                <c:pt idx="1081">
                  <c:v>Nov 25, 2020</c:v>
                </c:pt>
                <c:pt idx="1082">
                  <c:v>Nov 24, 2020</c:v>
                </c:pt>
                <c:pt idx="1083">
                  <c:v>Nov 23, 2020</c:v>
                </c:pt>
                <c:pt idx="1084">
                  <c:v>Nov 20, 2020</c:v>
                </c:pt>
                <c:pt idx="1085">
                  <c:v>Nov 19, 2020</c:v>
                </c:pt>
                <c:pt idx="1086">
                  <c:v>Nov 18, 2020</c:v>
                </c:pt>
                <c:pt idx="1087">
                  <c:v>Nov 17, 2020</c:v>
                </c:pt>
                <c:pt idx="1088">
                  <c:v>Nov 14, 2020</c:v>
                </c:pt>
                <c:pt idx="1089">
                  <c:v>Nov 13, 2020</c:v>
                </c:pt>
                <c:pt idx="1090">
                  <c:v>Nov 12, 2020</c:v>
                </c:pt>
                <c:pt idx="1091">
                  <c:v>Nov 11, 2020</c:v>
                </c:pt>
                <c:pt idx="1092">
                  <c:v>Nov 10, 2020</c:v>
                </c:pt>
                <c:pt idx="1093">
                  <c:v>Nov 9, 2020</c:v>
                </c:pt>
                <c:pt idx="1094">
                  <c:v>Nov 6, 2020</c:v>
                </c:pt>
                <c:pt idx="1095">
                  <c:v>Nov 5, 2020</c:v>
                </c:pt>
                <c:pt idx="1096">
                  <c:v>Nov 4, 2020</c:v>
                </c:pt>
                <c:pt idx="1097">
                  <c:v>Nov 3, 2020</c:v>
                </c:pt>
                <c:pt idx="1098">
                  <c:v>Nov 2, 2020</c:v>
                </c:pt>
                <c:pt idx="1099">
                  <c:v>Oct 30, 2020</c:v>
                </c:pt>
                <c:pt idx="1100">
                  <c:v>Oct 29, 2020</c:v>
                </c:pt>
                <c:pt idx="1101">
                  <c:v>Oct 28, 2020</c:v>
                </c:pt>
                <c:pt idx="1102">
                  <c:v>Oct 27, 2020</c:v>
                </c:pt>
                <c:pt idx="1103">
                  <c:v>Oct 26, 2020</c:v>
                </c:pt>
                <c:pt idx="1104">
                  <c:v>Oct 23, 2020</c:v>
                </c:pt>
                <c:pt idx="1105">
                  <c:v>Oct 22, 2020</c:v>
                </c:pt>
                <c:pt idx="1106">
                  <c:v>Oct 21, 2020</c:v>
                </c:pt>
                <c:pt idx="1107">
                  <c:v>Oct 20, 2020</c:v>
                </c:pt>
                <c:pt idx="1108">
                  <c:v>Oct 19, 2020</c:v>
                </c:pt>
                <c:pt idx="1109">
                  <c:v>Oct 16, 2020</c:v>
                </c:pt>
                <c:pt idx="1110">
                  <c:v>Oct 15, 2020</c:v>
                </c:pt>
                <c:pt idx="1111">
                  <c:v>Oct 14, 2020</c:v>
                </c:pt>
                <c:pt idx="1112">
                  <c:v>Oct 13, 2020</c:v>
                </c:pt>
                <c:pt idx="1113">
                  <c:v>Oct 12, 2020</c:v>
                </c:pt>
                <c:pt idx="1114">
                  <c:v>Oct 9, 2020</c:v>
                </c:pt>
                <c:pt idx="1115">
                  <c:v>Oct 8, 2020</c:v>
                </c:pt>
                <c:pt idx="1116">
                  <c:v>Oct 7, 2020</c:v>
                </c:pt>
                <c:pt idx="1117">
                  <c:v>Oct 6, 2020</c:v>
                </c:pt>
                <c:pt idx="1118">
                  <c:v>Oct 5, 2020</c:v>
                </c:pt>
                <c:pt idx="1119">
                  <c:v>Oct 1, 2020</c:v>
                </c:pt>
                <c:pt idx="1120">
                  <c:v>Sep 30, 2020</c:v>
                </c:pt>
                <c:pt idx="1121">
                  <c:v>Sep 29, 2020</c:v>
                </c:pt>
                <c:pt idx="1122">
                  <c:v>Sep 28, 2020</c:v>
                </c:pt>
                <c:pt idx="1123">
                  <c:v>Sep 25, 2020</c:v>
                </c:pt>
                <c:pt idx="1124">
                  <c:v>Sep 24, 2020</c:v>
                </c:pt>
                <c:pt idx="1125">
                  <c:v>Sep 23, 2020</c:v>
                </c:pt>
                <c:pt idx="1126">
                  <c:v>Sep 22, 2020</c:v>
                </c:pt>
                <c:pt idx="1127">
                  <c:v>Sep 21, 2020</c:v>
                </c:pt>
                <c:pt idx="1128">
                  <c:v>Sep 18, 2020</c:v>
                </c:pt>
                <c:pt idx="1129">
                  <c:v>Sep 17, 2020</c:v>
                </c:pt>
                <c:pt idx="1130">
                  <c:v>Sep 16, 2020</c:v>
                </c:pt>
                <c:pt idx="1131">
                  <c:v>Sep 15, 2020</c:v>
                </c:pt>
                <c:pt idx="1132">
                  <c:v>Sep 14, 2020</c:v>
                </c:pt>
                <c:pt idx="1133">
                  <c:v>Sep 11, 2020</c:v>
                </c:pt>
                <c:pt idx="1134">
                  <c:v>Sep 10, 2020</c:v>
                </c:pt>
                <c:pt idx="1135">
                  <c:v>Sep 9, 2020</c:v>
                </c:pt>
                <c:pt idx="1136">
                  <c:v>Sep 8, 2020</c:v>
                </c:pt>
                <c:pt idx="1137">
                  <c:v>Sep 7, 2020</c:v>
                </c:pt>
                <c:pt idx="1138">
                  <c:v>Sep 4, 2020</c:v>
                </c:pt>
                <c:pt idx="1139">
                  <c:v>Sep 3, 2020</c:v>
                </c:pt>
                <c:pt idx="1140">
                  <c:v>Sep 2, 2020</c:v>
                </c:pt>
                <c:pt idx="1141">
                  <c:v>Sep 1, 2020</c:v>
                </c:pt>
                <c:pt idx="1142">
                  <c:v>Aug 31, 2020</c:v>
                </c:pt>
                <c:pt idx="1143">
                  <c:v>Aug 28, 2020</c:v>
                </c:pt>
                <c:pt idx="1144">
                  <c:v>Aug 27, 2020</c:v>
                </c:pt>
                <c:pt idx="1145">
                  <c:v>Aug 26, 2020</c:v>
                </c:pt>
                <c:pt idx="1146">
                  <c:v>Aug 25, 2020</c:v>
                </c:pt>
                <c:pt idx="1147">
                  <c:v>Aug 24, 2020</c:v>
                </c:pt>
                <c:pt idx="1148">
                  <c:v>Aug 21, 2020</c:v>
                </c:pt>
                <c:pt idx="1149">
                  <c:v>Aug 20, 2020</c:v>
                </c:pt>
                <c:pt idx="1150">
                  <c:v>Aug 19, 2020</c:v>
                </c:pt>
                <c:pt idx="1151">
                  <c:v>Aug 18, 2020</c:v>
                </c:pt>
                <c:pt idx="1152">
                  <c:v>Aug 17, 2020</c:v>
                </c:pt>
                <c:pt idx="1153">
                  <c:v>Aug 14, 2020</c:v>
                </c:pt>
                <c:pt idx="1154">
                  <c:v>Aug 13, 2020</c:v>
                </c:pt>
                <c:pt idx="1155">
                  <c:v>Aug 12, 2020</c:v>
                </c:pt>
                <c:pt idx="1156">
                  <c:v>Aug 11, 2020</c:v>
                </c:pt>
                <c:pt idx="1157">
                  <c:v>Aug 10, 2020</c:v>
                </c:pt>
                <c:pt idx="1158">
                  <c:v>Aug 7, 2020</c:v>
                </c:pt>
                <c:pt idx="1159">
                  <c:v>Aug 6, 2020</c:v>
                </c:pt>
                <c:pt idx="1160">
                  <c:v>Aug 5, 2020</c:v>
                </c:pt>
                <c:pt idx="1161">
                  <c:v>Aug 4, 2020</c:v>
                </c:pt>
                <c:pt idx="1162">
                  <c:v>Aug 3, 2020</c:v>
                </c:pt>
                <c:pt idx="1163">
                  <c:v>Jul 31, 2020</c:v>
                </c:pt>
                <c:pt idx="1164">
                  <c:v>Jul 30, 2020</c:v>
                </c:pt>
                <c:pt idx="1165">
                  <c:v>Jul 29, 2020</c:v>
                </c:pt>
                <c:pt idx="1166">
                  <c:v>Jul 28, 2020</c:v>
                </c:pt>
                <c:pt idx="1167">
                  <c:v>Jul 27, 2020</c:v>
                </c:pt>
                <c:pt idx="1168">
                  <c:v>Jul 24, 2020</c:v>
                </c:pt>
                <c:pt idx="1169">
                  <c:v>Jul 23, 2020</c:v>
                </c:pt>
                <c:pt idx="1170">
                  <c:v>Jul 22, 2020</c:v>
                </c:pt>
                <c:pt idx="1171">
                  <c:v>Jul 21, 2020</c:v>
                </c:pt>
                <c:pt idx="1172">
                  <c:v>Jul 20, 2020</c:v>
                </c:pt>
                <c:pt idx="1173">
                  <c:v>Jul 17, 2020</c:v>
                </c:pt>
                <c:pt idx="1174">
                  <c:v>Jul 16, 2020</c:v>
                </c:pt>
                <c:pt idx="1175">
                  <c:v>Jul 15, 2020</c:v>
                </c:pt>
                <c:pt idx="1176">
                  <c:v>Jul 14, 2020</c:v>
                </c:pt>
                <c:pt idx="1177">
                  <c:v>Jul 13, 2020</c:v>
                </c:pt>
                <c:pt idx="1178">
                  <c:v>Jul 10, 2020</c:v>
                </c:pt>
                <c:pt idx="1179">
                  <c:v>Jul 9, 2020</c:v>
                </c:pt>
                <c:pt idx="1180">
                  <c:v>Jul 8, 2020</c:v>
                </c:pt>
                <c:pt idx="1181">
                  <c:v>Jul 7, 2020</c:v>
                </c:pt>
                <c:pt idx="1182">
                  <c:v>Jul 6, 2020</c:v>
                </c:pt>
                <c:pt idx="1183">
                  <c:v>Jul 3, 2020</c:v>
                </c:pt>
                <c:pt idx="1184">
                  <c:v>Jul 2, 2020</c:v>
                </c:pt>
                <c:pt idx="1185">
                  <c:v>Jul 1, 2020</c:v>
                </c:pt>
                <c:pt idx="1186">
                  <c:v>Jun 30, 2020</c:v>
                </c:pt>
                <c:pt idx="1187">
                  <c:v>Jun 29, 2020</c:v>
                </c:pt>
                <c:pt idx="1188">
                  <c:v>Jun 26, 2020</c:v>
                </c:pt>
                <c:pt idx="1189">
                  <c:v>Jun 25, 2020</c:v>
                </c:pt>
                <c:pt idx="1190">
                  <c:v>Jun 24, 2020</c:v>
                </c:pt>
                <c:pt idx="1191">
                  <c:v>Jun 23, 2020</c:v>
                </c:pt>
                <c:pt idx="1192">
                  <c:v>Jun 22, 2020</c:v>
                </c:pt>
                <c:pt idx="1193">
                  <c:v>Jun 19, 2020</c:v>
                </c:pt>
                <c:pt idx="1194">
                  <c:v>Jun 18, 2020</c:v>
                </c:pt>
                <c:pt idx="1195">
                  <c:v>Jun 17, 2020</c:v>
                </c:pt>
                <c:pt idx="1196">
                  <c:v>Jun 16, 2020</c:v>
                </c:pt>
                <c:pt idx="1197">
                  <c:v>Jun 15, 2020</c:v>
                </c:pt>
                <c:pt idx="1198">
                  <c:v>Jun 12, 2020</c:v>
                </c:pt>
                <c:pt idx="1199">
                  <c:v>Jun 11, 2020</c:v>
                </c:pt>
                <c:pt idx="1200">
                  <c:v>Jun 10, 2020</c:v>
                </c:pt>
                <c:pt idx="1201">
                  <c:v>Jun 9, 2020</c:v>
                </c:pt>
                <c:pt idx="1202">
                  <c:v>Jun 8, 2020</c:v>
                </c:pt>
                <c:pt idx="1203">
                  <c:v>Jun 5, 2020</c:v>
                </c:pt>
                <c:pt idx="1204">
                  <c:v>Jun 4, 2020</c:v>
                </c:pt>
                <c:pt idx="1205">
                  <c:v>Jun 3, 2020</c:v>
                </c:pt>
                <c:pt idx="1206">
                  <c:v>Jun 2, 2020</c:v>
                </c:pt>
                <c:pt idx="1207">
                  <c:v>Jun 1, 2020</c:v>
                </c:pt>
                <c:pt idx="1208">
                  <c:v>May 29, 2020</c:v>
                </c:pt>
                <c:pt idx="1209">
                  <c:v>May 28, 2020</c:v>
                </c:pt>
                <c:pt idx="1210">
                  <c:v>May 27, 2020</c:v>
                </c:pt>
                <c:pt idx="1211">
                  <c:v>May 26, 2020</c:v>
                </c:pt>
                <c:pt idx="1212">
                  <c:v>May 22, 2020</c:v>
                </c:pt>
                <c:pt idx="1213">
                  <c:v>May 21, 2020</c:v>
                </c:pt>
                <c:pt idx="1214">
                  <c:v>May 20, 2020</c:v>
                </c:pt>
                <c:pt idx="1215">
                  <c:v>May 19, 2020</c:v>
                </c:pt>
                <c:pt idx="1216">
                  <c:v>May 18, 2020</c:v>
                </c:pt>
                <c:pt idx="1217">
                  <c:v>May 15, 2020</c:v>
                </c:pt>
                <c:pt idx="1218">
                  <c:v>May 14, 2020</c:v>
                </c:pt>
                <c:pt idx="1219">
                  <c:v>May 13, 2020</c:v>
                </c:pt>
                <c:pt idx="1220">
                  <c:v>May 12, 2020</c:v>
                </c:pt>
                <c:pt idx="1221">
                  <c:v>May 11, 2020</c:v>
                </c:pt>
                <c:pt idx="1222">
                  <c:v>May 8, 2020</c:v>
                </c:pt>
                <c:pt idx="1223">
                  <c:v>May 7, 2020</c:v>
                </c:pt>
                <c:pt idx="1224">
                  <c:v>May 6, 2020</c:v>
                </c:pt>
                <c:pt idx="1225">
                  <c:v>May 5, 2020</c:v>
                </c:pt>
                <c:pt idx="1226">
                  <c:v>May 4, 2020</c:v>
                </c:pt>
                <c:pt idx="1227">
                  <c:v>Apr 30, 2020</c:v>
                </c:pt>
                <c:pt idx="1228">
                  <c:v>Apr 29, 2020</c:v>
                </c:pt>
                <c:pt idx="1229">
                  <c:v>Apr 28, 2020</c:v>
                </c:pt>
                <c:pt idx="1230">
                  <c:v>Apr 27, 2020</c:v>
                </c:pt>
                <c:pt idx="1231">
                  <c:v>Apr 24, 2020</c:v>
                </c:pt>
                <c:pt idx="1232">
                  <c:v>Apr 23, 2020</c:v>
                </c:pt>
                <c:pt idx="1233">
                  <c:v>Apr 22, 2020</c:v>
                </c:pt>
                <c:pt idx="1234">
                  <c:v>Apr 21, 2020</c:v>
                </c:pt>
                <c:pt idx="1235">
                  <c:v>Apr 20, 2020</c:v>
                </c:pt>
                <c:pt idx="1236">
                  <c:v>Apr 17, 2020</c:v>
                </c:pt>
                <c:pt idx="1237">
                  <c:v>Apr 16, 2020</c:v>
                </c:pt>
                <c:pt idx="1238">
                  <c:v>Apr 15, 2020</c:v>
                </c:pt>
                <c:pt idx="1239">
                  <c:v>Apr 13, 2020</c:v>
                </c:pt>
              </c:strCache>
            </c:strRef>
          </c:cat>
          <c:val>
            <c:numRef>
              <c:f>'[1]yahoo-2025-04-12'!$C$2:$C$1241</c:f>
              <c:numCache>
                <c:formatCode>#,##0</c:formatCode>
                <c:ptCount val="1240"/>
                <c:pt idx="0">
                  <c:v>8936353</c:v>
                </c:pt>
                <c:pt idx="1">
                  <c:v>21785572</c:v>
                </c:pt>
                <c:pt idx="2">
                  <c:v>18600796</c:v>
                </c:pt>
                <c:pt idx="3">
                  <c:v>26762866</c:v>
                </c:pt>
                <c:pt idx="4">
                  <c:v>18627592</c:v>
                </c:pt>
                <c:pt idx="5">
                  <c:v>7059566</c:v>
                </c:pt>
                <c:pt idx="6">
                  <c:v>8001323</c:v>
                </c:pt>
                <c:pt idx="7">
                  <c:v>15206240</c:v>
                </c:pt>
                <c:pt idx="8">
                  <c:v>12981873</c:v>
                </c:pt>
                <c:pt idx="9">
                  <c:v>18642328</c:v>
                </c:pt>
                <c:pt idx="10">
                  <c:v>13891436</c:v>
                </c:pt>
                <c:pt idx="11">
                  <c:v>20338110</c:v>
                </c:pt>
                <c:pt idx="12">
                  <c:v>14362572</c:v>
                </c:pt>
                <c:pt idx="13">
                  <c:v>25302035</c:v>
                </c:pt>
                <c:pt idx="14">
                  <c:v>16994037</c:v>
                </c:pt>
                <c:pt idx="15">
                  <c:v>12830387</c:v>
                </c:pt>
                <c:pt idx="16" formatCode="General">
                  <c:v>0</c:v>
                </c:pt>
                <c:pt idx="17">
                  <c:v>5257805</c:v>
                </c:pt>
                <c:pt idx="18">
                  <c:v>8196569</c:v>
                </c:pt>
                <c:pt idx="19">
                  <c:v>13844306</c:v>
                </c:pt>
                <c:pt idx="20">
                  <c:v>11099475</c:v>
                </c:pt>
                <c:pt idx="21">
                  <c:v>9785018</c:v>
                </c:pt>
                <c:pt idx="22">
                  <c:v>11180761</c:v>
                </c:pt>
                <c:pt idx="23">
                  <c:v>17869996</c:v>
                </c:pt>
                <c:pt idx="24">
                  <c:v>15665018</c:v>
                </c:pt>
                <c:pt idx="25">
                  <c:v>13404774</c:v>
                </c:pt>
                <c:pt idx="26">
                  <c:v>10702826</c:v>
                </c:pt>
                <c:pt idx="27">
                  <c:v>31954776</c:v>
                </c:pt>
                <c:pt idx="28">
                  <c:v>19051003</c:v>
                </c:pt>
                <c:pt idx="29">
                  <c:v>15760891</c:v>
                </c:pt>
                <c:pt idx="30">
                  <c:v>7037625</c:v>
                </c:pt>
                <c:pt idx="31">
                  <c:v>8240986</c:v>
                </c:pt>
                <c:pt idx="32">
                  <c:v>15355585</c:v>
                </c:pt>
                <c:pt idx="33">
                  <c:v>7079032</c:v>
                </c:pt>
                <c:pt idx="34">
                  <c:v>12998403</c:v>
                </c:pt>
                <c:pt idx="35">
                  <c:v>11975265</c:v>
                </c:pt>
                <c:pt idx="36">
                  <c:v>14124236</c:v>
                </c:pt>
                <c:pt idx="37">
                  <c:v>12989029</c:v>
                </c:pt>
                <c:pt idx="38">
                  <c:v>13884574</c:v>
                </c:pt>
                <c:pt idx="39">
                  <c:v>14288751</c:v>
                </c:pt>
                <c:pt idx="40">
                  <c:v>12227140</c:v>
                </c:pt>
                <c:pt idx="41">
                  <c:v>18875982</c:v>
                </c:pt>
                <c:pt idx="42">
                  <c:v>17469129</c:v>
                </c:pt>
                <c:pt idx="43">
                  <c:v>12836283</c:v>
                </c:pt>
                <c:pt idx="44">
                  <c:v>18923681</c:v>
                </c:pt>
                <c:pt idx="45">
                  <c:v>16991730</c:v>
                </c:pt>
                <c:pt idx="46">
                  <c:v>30393007</c:v>
                </c:pt>
                <c:pt idx="47">
                  <c:v>13546181</c:v>
                </c:pt>
                <c:pt idx="48">
                  <c:v>22496695</c:v>
                </c:pt>
                <c:pt idx="49">
                  <c:v>15158510</c:v>
                </c:pt>
                <c:pt idx="50">
                  <c:v>20813072</c:v>
                </c:pt>
                <c:pt idx="51">
                  <c:v>10480203</c:v>
                </c:pt>
                <c:pt idx="52">
                  <c:v>9665384</c:v>
                </c:pt>
                <c:pt idx="53">
                  <c:v>8888248</c:v>
                </c:pt>
                <c:pt idx="54">
                  <c:v>9619648</c:v>
                </c:pt>
                <c:pt idx="55">
                  <c:v>15686500</c:v>
                </c:pt>
                <c:pt idx="56">
                  <c:v>8742771</c:v>
                </c:pt>
                <c:pt idx="57">
                  <c:v>11270061</c:v>
                </c:pt>
                <c:pt idx="58">
                  <c:v>15774070</c:v>
                </c:pt>
                <c:pt idx="59">
                  <c:v>9786805</c:v>
                </c:pt>
                <c:pt idx="60">
                  <c:v>18048459</c:v>
                </c:pt>
                <c:pt idx="61">
                  <c:v>17799607</c:v>
                </c:pt>
                <c:pt idx="62">
                  <c:v>9145729</c:v>
                </c:pt>
                <c:pt idx="63">
                  <c:v>19732649</c:v>
                </c:pt>
                <c:pt idx="64">
                  <c:v>13482926</c:v>
                </c:pt>
                <c:pt idx="65">
                  <c:v>14294780</c:v>
                </c:pt>
                <c:pt idx="66">
                  <c:v>22009958</c:v>
                </c:pt>
                <c:pt idx="67">
                  <c:v>37072992</c:v>
                </c:pt>
                <c:pt idx="68">
                  <c:v>26124980</c:v>
                </c:pt>
                <c:pt idx="69">
                  <c:v>18229128</c:v>
                </c:pt>
                <c:pt idx="70">
                  <c:v>13276195</c:v>
                </c:pt>
                <c:pt idx="71">
                  <c:v>13074810</c:v>
                </c:pt>
                <c:pt idx="72">
                  <c:v>16279450</c:v>
                </c:pt>
                <c:pt idx="73">
                  <c:v>8848065</c:v>
                </c:pt>
                <c:pt idx="74">
                  <c:v>11564497</c:v>
                </c:pt>
                <c:pt idx="75">
                  <c:v>18837469</c:v>
                </c:pt>
                <c:pt idx="76">
                  <c:v>19481288</c:v>
                </c:pt>
                <c:pt idx="77">
                  <c:v>14599270</c:v>
                </c:pt>
                <c:pt idx="78">
                  <c:v>12365167</c:v>
                </c:pt>
                <c:pt idx="79">
                  <c:v>19844152</c:v>
                </c:pt>
                <c:pt idx="80">
                  <c:v>9007264</c:v>
                </c:pt>
                <c:pt idx="81">
                  <c:v>31753858</c:v>
                </c:pt>
                <c:pt idx="82">
                  <c:v>12884401</c:v>
                </c:pt>
                <c:pt idx="83">
                  <c:v>6745816</c:v>
                </c:pt>
                <c:pt idx="84">
                  <c:v>8823805</c:v>
                </c:pt>
                <c:pt idx="85">
                  <c:v>11703384</c:v>
                </c:pt>
                <c:pt idx="86">
                  <c:v>7551407</c:v>
                </c:pt>
                <c:pt idx="87">
                  <c:v>26415053</c:v>
                </c:pt>
                <c:pt idx="88">
                  <c:v>13439484</c:v>
                </c:pt>
                <c:pt idx="89">
                  <c:v>22218251</c:v>
                </c:pt>
                <c:pt idx="90">
                  <c:v>5478598</c:v>
                </c:pt>
                <c:pt idx="91">
                  <c:v>8346687</c:v>
                </c:pt>
                <c:pt idx="92">
                  <c:v>14412539</c:v>
                </c:pt>
                <c:pt idx="93">
                  <c:v>7067013</c:v>
                </c:pt>
                <c:pt idx="94">
                  <c:v>6539846</c:v>
                </c:pt>
                <c:pt idx="95">
                  <c:v>13891991</c:v>
                </c:pt>
                <c:pt idx="96">
                  <c:v>19464568</c:v>
                </c:pt>
                <c:pt idx="97">
                  <c:v>19559847</c:v>
                </c:pt>
                <c:pt idx="98">
                  <c:v>6857374</c:v>
                </c:pt>
                <c:pt idx="99">
                  <c:v>8135260</c:v>
                </c:pt>
                <c:pt idx="100">
                  <c:v>11639562</c:v>
                </c:pt>
                <c:pt idx="101">
                  <c:v>11120381</c:v>
                </c:pt>
                <c:pt idx="102">
                  <c:v>5041916</c:v>
                </c:pt>
                <c:pt idx="103">
                  <c:v>5488948</c:v>
                </c:pt>
                <c:pt idx="104">
                  <c:v>6090462</c:v>
                </c:pt>
                <c:pt idx="105">
                  <c:v>8924280</c:v>
                </c:pt>
                <c:pt idx="106">
                  <c:v>11313985</c:v>
                </c:pt>
                <c:pt idx="107">
                  <c:v>7327830</c:v>
                </c:pt>
                <c:pt idx="108">
                  <c:v>8429731</c:v>
                </c:pt>
                <c:pt idx="109">
                  <c:v>1461602</c:v>
                </c:pt>
                <c:pt idx="110">
                  <c:v>7810874</c:v>
                </c:pt>
                <c:pt idx="111">
                  <c:v>6393835</c:v>
                </c:pt>
                <c:pt idx="112">
                  <c:v>6866704</c:v>
                </c:pt>
                <c:pt idx="113">
                  <c:v>8614446</c:v>
                </c:pt>
                <c:pt idx="114">
                  <c:v>30961625</c:v>
                </c:pt>
                <c:pt idx="115">
                  <c:v>13092399</c:v>
                </c:pt>
                <c:pt idx="116">
                  <c:v>10162570</c:v>
                </c:pt>
                <c:pt idx="117">
                  <c:v>12299288</c:v>
                </c:pt>
                <c:pt idx="118">
                  <c:v>7395274</c:v>
                </c:pt>
                <c:pt idx="119">
                  <c:v>21778099</c:v>
                </c:pt>
                <c:pt idx="120">
                  <c:v>7385299</c:v>
                </c:pt>
                <c:pt idx="121">
                  <c:v>6682083</c:v>
                </c:pt>
                <c:pt idx="122">
                  <c:v>8037662</c:v>
                </c:pt>
                <c:pt idx="123">
                  <c:v>6712103</c:v>
                </c:pt>
                <c:pt idx="124">
                  <c:v>14394986</c:v>
                </c:pt>
                <c:pt idx="125">
                  <c:v>12799333</c:v>
                </c:pt>
                <c:pt idx="126">
                  <c:v>23952459</c:v>
                </c:pt>
                <c:pt idx="127">
                  <c:v>9502367</c:v>
                </c:pt>
                <c:pt idx="128">
                  <c:v>16479772</c:v>
                </c:pt>
                <c:pt idx="129">
                  <c:v>18228912</c:v>
                </c:pt>
                <c:pt idx="130">
                  <c:v>15870147</c:v>
                </c:pt>
                <c:pt idx="131">
                  <c:v>5089315</c:v>
                </c:pt>
                <c:pt idx="132">
                  <c:v>10531347</c:v>
                </c:pt>
                <c:pt idx="133">
                  <c:v>17251962</c:v>
                </c:pt>
                <c:pt idx="134">
                  <c:v>15489991</c:v>
                </c:pt>
                <c:pt idx="135">
                  <c:v>8476223</c:v>
                </c:pt>
                <c:pt idx="136">
                  <c:v>6755320</c:v>
                </c:pt>
                <c:pt idx="137">
                  <c:v>7804918</c:v>
                </c:pt>
                <c:pt idx="138">
                  <c:v>23808194</c:v>
                </c:pt>
                <c:pt idx="139">
                  <c:v>13925311</c:v>
                </c:pt>
                <c:pt idx="140">
                  <c:v>5429619</c:v>
                </c:pt>
                <c:pt idx="141">
                  <c:v>10486015</c:v>
                </c:pt>
                <c:pt idx="142">
                  <c:v>7531604</c:v>
                </c:pt>
                <c:pt idx="143">
                  <c:v>8825193</c:v>
                </c:pt>
                <c:pt idx="144">
                  <c:v>18377550</c:v>
                </c:pt>
                <c:pt idx="145">
                  <c:v>14922832</c:v>
                </c:pt>
                <c:pt idx="146">
                  <c:v>10911995</c:v>
                </c:pt>
                <c:pt idx="147">
                  <c:v>13736044</c:v>
                </c:pt>
                <c:pt idx="148">
                  <c:v>13716752</c:v>
                </c:pt>
                <c:pt idx="149">
                  <c:v>10898888</c:v>
                </c:pt>
                <c:pt idx="150">
                  <c:v>8414967</c:v>
                </c:pt>
                <c:pt idx="151">
                  <c:v>12018677</c:v>
                </c:pt>
                <c:pt idx="152">
                  <c:v>15885469</c:v>
                </c:pt>
                <c:pt idx="153">
                  <c:v>14947670</c:v>
                </c:pt>
                <c:pt idx="154">
                  <c:v>18670632</c:v>
                </c:pt>
                <c:pt idx="155">
                  <c:v>7782216</c:v>
                </c:pt>
                <c:pt idx="156">
                  <c:v>7954114</c:v>
                </c:pt>
                <c:pt idx="157">
                  <c:v>7825037</c:v>
                </c:pt>
                <c:pt idx="158">
                  <c:v>7891446</c:v>
                </c:pt>
                <c:pt idx="159">
                  <c:v>8364290</c:v>
                </c:pt>
                <c:pt idx="160">
                  <c:v>8474830</c:v>
                </c:pt>
                <c:pt idx="161">
                  <c:v>6633171</c:v>
                </c:pt>
                <c:pt idx="162">
                  <c:v>10198725</c:v>
                </c:pt>
                <c:pt idx="163">
                  <c:v>13137392</c:v>
                </c:pt>
                <c:pt idx="164">
                  <c:v>9253598</c:v>
                </c:pt>
                <c:pt idx="165">
                  <c:v>7757706</c:v>
                </c:pt>
                <c:pt idx="166">
                  <c:v>9076097</c:v>
                </c:pt>
                <c:pt idx="167">
                  <c:v>9201793</c:v>
                </c:pt>
                <c:pt idx="168">
                  <c:v>20558134</c:v>
                </c:pt>
                <c:pt idx="169">
                  <c:v>10900585</c:v>
                </c:pt>
                <c:pt idx="170">
                  <c:v>13722855</c:v>
                </c:pt>
                <c:pt idx="171">
                  <c:v>24094139</c:v>
                </c:pt>
                <c:pt idx="172">
                  <c:v>21320064</c:v>
                </c:pt>
                <c:pt idx="173">
                  <c:v>11665529</c:v>
                </c:pt>
                <c:pt idx="174">
                  <c:v>11538215</c:v>
                </c:pt>
                <c:pt idx="175">
                  <c:v>13375906</c:v>
                </c:pt>
                <c:pt idx="176">
                  <c:v>12496895</c:v>
                </c:pt>
                <c:pt idx="177">
                  <c:v>20736094</c:v>
                </c:pt>
                <c:pt idx="178">
                  <c:v>17878994</c:v>
                </c:pt>
                <c:pt idx="179">
                  <c:v>42073323</c:v>
                </c:pt>
                <c:pt idx="180">
                  <c:v>54044423</c:v>
                </c:pt>
                <c:pt idx="181">
                  <c:v>18066586</c:v>
                </c:pt>
                <c:pt idx="182">
                  <c:v>24977373</c:v>
                </c:pt>
                <c:pt idx="183">
                  <c:v>21094737</c:v>
                </c:pt>
                <c:pt idx="184">
                  <c:v>12996711</c:v>
                </c:pt>
                <c:pt idx="185">
                  <c:v>16251032</c:v>
                </c:pt>
                <c:pt idx="186">
                  <c:v>18962800</c:v>
                </c:pt>
                <c:pt idx="187">
                  <c:v>18831345</c:v>
                </c:pt>
                <c:pt idx="188">
                  <c:v>11618210</c:v>
                </c:pt>
                <c:pt idx="189">
                  <c:v>26470260</c:v>
                </c:pt>
                <c:pt idx="190">
                  <c:v>20521107</c:v>
                </c:pt>
                <c:pt idx="191">
                  <c:v>12929586</c:v>
                </c:pt>
                <c:pt idx="192">
                  <c:v>9127340</c:v>
                </c:pt>
                <c:pt idx="193">
                  <c:v>7159756</c:v>
                </c:pt>
                <c:pt idx="194">
                  <c:v>10763335</c:v>
                </c:pt>
                <c:pt idx="195">
                  <c:v>12894747</c:v>
                </c:pt>
                <c:pt idx="196">
                  <c:v>17866326</c:v>
                </c:pt>
                <c:pt idx="197">
                  <c:v>37012589</c:v>
                </c:pt>
                <c:pt idx="198">
                  <c:v>11084805</c:v>
                </c:pt>
                <c:pt idx="199">
                  <c:v>10260449</c:v>
                </c:pt>
                <c:pt idx="200">
                  <c:v>9362433</c:v>
                </c:pt>
                <c:pt idx="201">
                  <c:v>25205627</c:v>
                </c:pt>
                <c:pt idx="202">
                  <c:v>14585806</c:v>
                </c:pt>
                <c:pt idx="203">
                  <c:v>10909803</c:v>
                </c:pt>
                <c:pt idx="204">
                  <c:v>14098178</c:v>
                </c:pt>
                <c:pt idx="205">
                  <c:v>9217804</c:v>
                </c:pt>
                <c:pt idx="206">
                  <c:v>9283802</c:v>
                </c:pt>
                <c:pt idx="207">
                  <c:v>10352936</c:v>
                </c:pt>
                <c:pt idx="208">
                  <c:v>12670589</c:v>
                </c:pt>
                <c:pt idx="209">
                  <c:v>11432393</c:v>
                </c:pt>
                <c:pt idx="210">
                  <c:v>28448041</c:v>
                </c:pt>
                <c:pt idx="211">
                  <c:v>31119999</c:v>
                </c:pt>
                <c:pt idx="212">
                  <c:v>27151351</c:v>
                </c:pt>
                <c:pt idx="213">
                  <c:v>46019632</c:v>
                </c:pt>
                <c:pt idx="214">
                  <c:v>15519148</c:v>
                </c:pt>
                <c:pt idx="215">
                  <c:v>28214102</c:v>
                </c:pt>
                <c:pt idx="216">
                  <c:v>20524428</c:v>
                </c:pt>
                <c:pt idx="217">
                  <c:v>10430363</c:v>
                </c:pt>
                <c:pt idx="218">
                  <c:v>9310198</c:v>
                </c:pt>
                <c:pt idx="219">
                  <c:v>11827050</c:v>
                </c:pt>
                <c:pt idx="220">
                  <c:v>12761457</c:v>
                </c:pt>
                <c:pt idx="221">
                  <c:v>26234369</c:v>
                </c:pt>
                <c:pt idx="222">
                  <c:v>10627595</c:v>
                </c:pt>
                <c:pt idx="223">
                  <c:v>10760726</c:v>
                </c:pt>
                <c:pt idx="224">
                  <c:v>11453714</c:v>
                </c:pt>
                <c:pt idx="225">
                  <c:v>23025186</c:v>
                </c:pt>
                <c:pt idx="226">
                  <c:v>7565080</c:v>
                </c:pt>
                <c:pt idx="227">
                  <c:v>11000103</c:v>
                </c:pt>
                <c:pt idx="228">
                  <c:v>7302959</c:v>
                </c:pt>
                <c:pt idx="229">
                  <c:v>13985963</c:v>
                </c:pt>
                <c:pt idx="230">
                  <c:v>23412609</c:v>
                </c:pt>
                <c:pt idx="231">
                  <c:v>10511646</c:v>
                </c:pt>
                <c:pt idx="232">
                  <c:v>25968921</c:v>
                </c:pt>
                <c:pt idx="233">
                  <c:v>10355056</c:v>
                </c:pt>
                <c:pt idx="234">
                  <c:v>22904276</c:v>
                </c:pt>
                <c:pt idx="235">
                  <c:v>23228909</c:v>
                </c:pt>
                <c:pt idx="236">
                  <c:v>12064043</c:v>
                </c:pt>
                <c:pt idx="237">
                  <c:v>11627882</c:v>
                </c:pt>
                <c:pt idx="238">
                  <c:v>14773975</c:v>
                </c:pt>
                <c:pt idx="239">
                  <c:v>29211997</c:v>
                </c:pt>
                <c:pt idx="240">
                  <c:v>5845170</c:v>
                </c:pt>
                <c:pt idx="241">
                  <c:v>12021404</c:v>
                </c:pt>
                <c:pt idx="242">
                  <c:v>7112139</c:v>
                </c:pt>
                <c:pt idx="243">
                  <c:v>16582634</c:v>
                </c:pt>
                <c:pt idx="244">
                  <c:v>21312388</c:v>
                </c:pt>
                <c:pt idx="245">
                  <c:v>9973638</c:v>
                </c:pt>
                <c:pt idx="246">
                  <c:v>8746243</c:v>
                </c:pt>
                <c:pt idx="247">
                  <c:v>18088372</c:v>
                </c:pt>
                <c:pt idx="248">
                  <c:v>14008124</c:v>
                </c:pt>
                <c:pt idx="249">
                  <c:v>6708894</c:v>
                </c:pt>
                <c:pt idx="250">
                  <c:v>8516632</c:v>
                </c:pt>
                <c:pt idx="251">
                  <c:v>16147032</c:v>
                </c:pt>
                <c:pt idx="252">
                  <c:v>18358410</c:v>
                </c:pt>
                <c:pt idx="253">
                  <c:v>12664520</c:v>
                </c:pt>
                <c:pt idx="254">
                  <c:v>8853678</c:v>
                </c:pt>
                <c:pt idx="255">
                  <c:v>9382308</c:v>
                </c:pt>
                <c:pt idx="256">
                  <c:v>27933211</c:v>
                </c:pt>
                <c:pt idx="257">
                  <c:v>12227545</c:v>
                </c:pt>
                <c:pt idx="258">
                  <c:v>10274145</c:v>
                </c:pt>
                <c:pt idx="259">
                  <c:v>38861818</c:v>
                </c:pt>
                <c:pt idx="260">
                  <c:v>19227982</c:v>
                </c:pt>
                <c:pt idx="261">
                  <c:v>19609321</c:v>
                </c:pt>
                <c:pt idx="262">
                  <c:v>20994563</c:v>
                </c:pt>
                <c:pt idx="263">
                  <c:v>15933704</c:v>
                </c:pt>
                <c:pt idx="264">
                  <c:v>73253754</c:v>
                </c:pt>
                <c:pt idx="265">
                  <c:v>30764728</c:v>
                </c:pt>
                <c:pt idx="266">
                  <c:v>101612428</c:v>
                </c:pt>
                <c:pt idx="267">
                  <c:v>34882639</c:v>
                </c:pt>
                <c:pt idx="268">
                  <c:v>17620081</c:v>
                </c:pt>
                <c:pt idx="269">
                  <c:v>23020545</c:v>
                </c:pt>
                <c:pt idx="270">
                  <c:v>11106855</c:v>
                </c:pt>
                <c:pt idx="271">
                  <c:v>9733507</c:v>
                </c:pt>
                <c:pt idx="272">
                  <c:v>6840352</c:v>
                </c:pt>
                <c:pt idx="273">
                  <c:v>12395632</c:v>
                </c:pt>
                <c:pt idx="274">
                  <c:v>14895144</c:v>
                </c:pt>
                <c:pt idx="275">
                  <c:v>8617768</c:v>
                </c:pt>
                <c:pt idx="276">
                  <c:v>7783743</c:v>
                </c:pt>
                <c:pt idx="277">
                  <c:v>7982145</c:v>
                </c:pt>
                <c:pt idx="278">
                  <c:v>11147636</c:v>
                </c:pt>
                <c:pt idx="279">
                  <c:v>18604659</c:v>
                </c:pt>
                <c:pt idx="280">
                  <c:v>19414653</c:v>
                </c:pt>
                <c:pt idx="281">
                  <c:v>14084218</c:v>
                </c:pt>
                <c:pt idx="282">
                  <c:v>16949793</c:v>
                </c:pt>
                <c:pt idx="283">
                  <c:v>37518847</c:v>
                </c:pt>
                <c:pt idx="284">
                  <c:v>20383983</c:v>
                </c:pt>
                <c:pt idx="285">
                  <c:v>12150077</c:v>
                </c:pt>
                <c:pt idx="286">
                  <c:v>15606705</c:v>
                </c:pt>
                <c:pt idx="287">
                  <c:v>10906914</c:v>
                </c:pt>
                <c:pt idx="288">
                  <c:v>32283965</c:v>
                </c:pt>
                <c:pt idx="289">
                  <c:v>48183882</c:v>
                </c:pt>
                <c:pt idx="290">
                  <c:v>12880824</c:v>
                </c:pt>
                <c:pt idx="291">
                  <c:v>18764371</c:v>
                </c:pt>
                <c:pt idx="292">
                  <c:v>12041897</c:v>
                </c:pt>
                <c:pt idx="293">
                  <c:v>17156021</c:v>
                </c:pt>
                <c:pt idx="294">
                  <c:v>19165409</c:v>
                </c:pt>
                <c:pt idx="295">
                  <c:v>19882944</c:v>
                </c:pt>
                <c:pt idx="296">
                  <c:v>43514448</c:v>
                </c:pt>
                <c:pt idx="297">
                  <c:v>17869152</c:v>
                </c:pt>
                <c:pt idx="298">
                  <c:v>19677700</c:v>
                </c:pt>
                <c:pt idx="299">
                  <c:v>21626183</c:v>
                </c:pt>
                <c:pt idx="300">
                  <c:v>8404513</c:v>
                </c:pt>
                <c:pt idx="301">
                  <c:v>12203322</c:v>
                </c:pt>
                <c:pt idx="302">
                  <c:v>9143784</c:v>
                </c:pt>
                <c:pt idx="303">
                  <c:v>11108698</c:v>
                </c:pt>
                <c:pt idx="304">
                  <c:v>12066347</c:v>
                </c:pt>
                <c:pt idx="305">
                  <c:v>6902156</c:v>
                </c:pt>
                <c:pt idx="306">
                  <c:v>9354326</c:v>
                </c:pt>
                <c:pt idx="307">
                  <c:v>6534775</c:v>
                </c:pt>
                <c:pt idx="308">
                  <c:v>5896123</c:v>
                </c:pt>
                <c:pt idx="309">
                  <c:v>5696780</c:v>
                </c:pt>
                <c:pt idx="310">
                  <c:v>8003177</c:v>
                </c:pt>
                <c:pt idx="311">
                  <c:v>9209405</c:v>
                </c:pt>
                <c:pt idx="312">
                  <c:v>11786959</c:v>
                </c:pt>
                <c:pt idx="313">
                  <c:v>24036012</c:v>
                </c:pt>
                <c:pt idx="314">
                  <c:v>10519771</c:v>
                </c:pt>
                <c:pt idx="315">
                  <c:v>9346277</c:v>
                </c:pt>
                <c:pt idx="316">
                  <c:v>12888266</c:v>
                </c:pt>
                <c:pt idx="317">
                  <c:v>20696101</c:v>
                </c:pt>
                <c:pt idx="318">
                  <c:v>7543383</c:v>
                </c:pt>
                <c:pt idx="319">
                  <c:v>5871301</c:v>
                </c:pt>
                <c:pt idx="320">
                  <c:v>11026317</c:v>
                </c:pt>
                <c:pt idx="321">
                  <c:v>11154625</c:v>
                </c:pt>
                <c:pt idx="322">
                  <c:v>10367665</c:v>
                </c:pt>
                <c:pt idx="323">
                  <c:v>10268755</c:v>
                </c:pt>
                <c:pt idx="324">
                  <c:v>12027620</c:v>
                </c:pt>
                <c:pt idx="325">
                  <c:v>15789845</c:v>
                </c:pt>
                <c:pt idx="326">
                  <c:v>14370803</c:v>
                </c:pt>
                <c:pt idx="327">
                  <c:v>11283868</c:v>
                </c:pt>
                <c:pt idx="328">
                  <c:v>10158101</c:v>
                </c:pt>
                <c:pt idx="329">
                  <c:v>6599973</c:v>
                </c:pt>
                <c:pt idx="330">
                  <c:v>18667895</c:v>
                </c:pt>
                <c:pt idx="331">
                  <c:v>11310918</c:v>
                </c:pt>
                <c:pt idx="332">
                  <c:v>20417559</c:v>
                </c:pt>
                <c:pt idx="333">
                  <c:v>12136292</c:v>
                </c:pt>
                <c:pt idx="334">
                  <c:v>12800220</c:v>
                </c:pt>
                <c:pt idx="335">
                  <c:v>19336856</c:v>
                </c:pt>
                <c:pt idx="336">
                  <c:v>15127505</c:v>
                </c:pt>
                <c:pt idx="337">
                  <c:v>13785216</c:v>
                </c:pt>
                <c:pt idx="338">
                  <c:v>8745691</c:v>
                </c:pt>
                <c:pt idx="339">
                  <c:v>6821878</c:v>
                </c:pt>
                <c:pt idx="340">
                  <c:v>6366606</c:v>
                </c:pt>
                <c:pt idx="341">
                  <c:v>4886687</c:v>
                </c:pt>
                <c:pt idx="342">
                  <c:v>5997810</c:v>
                </c:pt>
                <c:pt idx="343">
                  <c:v>4335388</c:v>
                </c:pt>
                <c:pt idx="344">
                  <c:v>6655278</c:v>
                </c:pt>
                <c:pt idx="345">
                  <c:v>10857863</c:v>
                </c:pt>
                <c:pt idx="346">
                  <c:v>7436428</c:v>
                </c:pt>
                <c:pt idx="347">
                  <c:v>3744754</c:v>
                </c:pt>
                <c:pt idx="348">
                  <c:v>4079205</c:v>
                </c:pt>
                <c:pt idx="349">
                  <c:v>7785767</c:v>
                </c:pt>
                <c:pt idx="350">
                  <c:v>6979849</c:v>
                </c:pt>
                <c:pt idx="351">
                  <c:v>5124012</c:v>
                </c:pt>
                <c:pt idx="352">
                  <c:v>7308229</c:v>
                </c:pt>
                <c:pt idx="353">
                  <c:v>13802600</c:v>
                </c:pt>
                <c:pt idx="354">
                  <c:v>8152031</c:v>
                </c:pt>
                <c:pt idx="355">
                  <c:v>7990245</c:v>
                </c:pt>
                <c:pt idx="356">
                  <c:v>8620154</c:v>
                </c:pt>
                <c:pt idx="357">
                  <c:v>7618033</c:v>
                </c:pt>
                <c:pt idx="358">
                  <c:v>13132487</c:v>
                </c:pt>
                <c:pt idx="359">
                  <c:v>18801214</c:v>
                </c:pt>
                <c:pt idx="360">
                  <c:v>10889221</c:v>
                </c:pt>
                <c:pt idx="361">
                  <c:v>7275471</c:v>
                </c:pt>
                <c:pt idx="362">
                  <c:v>13020371</c:v>
                </c:pt>
                <c:pt idx="363">
                  <c:v>9465463</c:v>
                </c:pt>
                <c:pt idx="364">
                  <c:v>6894947</c:v>
                </c:pt>
                <c:pt idx="365">
                  <c:v>6936218</c:v>
                </c:pt>
                <c:pt idx="366">
                  <c:v>4214958</c:v>
                </c:pt>
                <c:pt idx="367">
                  <c:v>7632483</c:v>
                </c:pt>
                <c:pt idx="368">
                  <c:v>11774487</c:v>
                </c:pt>
                <c:pt idx="369">
                  <c:v>7651513</c:v>
                </c:pt>
                <c:pt idx="370">
                  <c:v>5014758</c:v>
                </c:pt>
                <c:pt idx="371">
                  <c:v>5611154</c:v>
                </c:pt>
                <c:pt idx="372">
                  <c:v>8418580</c:v>
                </c:pt>
                <c:pt idx="373">
                  <c:v>10030257</c:v>
                </c:pt>
                <c:pt idx="374">
                  <c:v>13396709</c:v>
                </c:pt>
                <c:pt idx="375">
                  <c:v>7481883</c:v>
                </c:pt>
                <c:pt idx="376">
                  <c:v>8160058</c:v>
                </c:pt>
                <c:pt idx="377">
                  <c:v>10216736</c:v>
                </c:pt>
                <c:pt idx="378">
                  <c:v>10490786</c:v>
                </c:pt>
                <c:pt idx="379">
                  <c:v>5327833</c:v>
                </c:pt>
                <c:pt idx="380">
                  <c:v>5782955</c:v>
                </c:pt>
                <c:pt idx="381">
                  <c:v>7506309</c:v>
                </c:pt>
                <c:pt idx="382">
                  <c:v>10719470</c:v>
                </c:pt>
                <c:pt idx="383">
                  <c:v>9959649</c:v>
                </c:pt>
                <c:pt idx="384">
                  <c:v>8197425</c:v>
                </c:pt>
                <c:pt idx="385">
                  <c:v>15077136</c:v>
                </c:pt>
                <c:pt idx="386">
                  <c:v>14430930</c:v>
                </c:pt>
                <c:pt idx="387">
                  <c:v>11813170</c:v>
                </c:pt>
                <c:pt idx="388">
                  <c:v>14406441</c:v>
                </c:pt>
                <c:pt idx="389">
                  <c:v>9320577</c:v>
                </c:pt>
                <c:pt idx="390">
                  <c:v>9939517</c:v>
                </c:pt>
                <c:pt idx="391">
                  <c:v>8090369</c:v>
                </c:pt>
                <c:pt idx="392">
                  <c:v>12863039</c:v>
                </c:pt>
                <c:pt idx="393">
                  <c:v>8378915</c:v>
                </c:pt>
                <c:pt idx="394">
                  <c:v>13604608</c:v>
                </c:pt>
                <c:pt idx="395">
                  <c:v>11438624</c:v>
                </c:pt>
                <c:pt idx="396">
                  <c:v>19900312</c:v>
                </c:pt>
                <c:pt idx="397">
                  <c:v>7364924</c:v>
                </c:pt>
                <c:pt idx="398">
                  <c:v>9480003</c:v>
                </c:pt>
                <c:pt idx="399">
                  <c:v>6910750</c:v>
                </c:pt>
                <c:pt idx="400">
                  <c:v>9270988</c:v>
                </c:pt>
                <c:pt idx="401">
                  <c:v>6088274</c:v>
                </c:pt>
                <c:pt idx="402">
                  <c:v>8445029</c:v>
                </c:pt>
                <c:pt idx="403">
                  <c:v>9854945</c:v>
                </c:pt>
                <c:pt idx="404">
                  <c:v>9572041</c:v>
                </c:pt>
                <c:pt idx="405">
                  <c:v>19324262</c:v>
                </c:pt>
                <c:pt idx="406">
                  <c:v>16269569</c:v>
                </c:pt>
                <c:pt idx="407">
                  <c:v>14920272</c:v>
                </c:pt>
                <c:pt idx="408">
                  <c:v>7562808</c:v>
                </c:pt>
                <c:pt idx="409">
                  <c:v>11582326</c:v>
                </c:pt>
                <c:pt idx="410">
                  <c:v>13194170</c:v>
                </c:pt>
                <c:pt idx="411">
                  <c:v>9758343</c:v>
                </c:pt>
                <c:pt idx="412">
                  <c:v>6392488</c:v>
                </c:pt>
                <c:pt idx="413">
                  <c:v>9161131</c:v>
                </c:pt>
                <c:pt idx="414">
                  <c:v>6834401</c:v>
                </c:pt>
                <c:pt idx="415">
                  <c:v>10617897</c:v>
                </c:pt>
                <c:pt idx="416">
                  <c:v>10318220</c:v>
                </c:pt>
                <c:pt idx="417">
                  <c:v>6438221</c:v>
                </c:pt>
                <c:pt idx="418">
                  <c:v>8194797</c:v>
                </c:pt>
                <c:pt idx="419">
                  <c:v>9978231</c:v>
                </c:pt>
                <c:pt idx="420">
                  <c:v>13989457</c:v>
                </c:pt>
                <c:pt idx="421">
                  <c:v>18143422</c:v>
                </c:pt>
                <c:pt idx="422">
                  <c:v>43534718</c:v>
                </c:pt>
                <c:pt idx="423">
                  <c:v>38976815</c:v>
                </c:pt>
                <c:pt idx="424">
                  <c:v>13971982</c:v>
                </c:pt>
                <c:pt idx="425">
                  <c:v>20250206</c:v>
                </c:pt>
                <c:pt idx="426">
                  <c:v>13867323</c:v>
                </c:pt>
                <c:pt idx="427">
                  <c:v>5352283</c:v>
                </c:pt>
                <c:pt idx="428">
                  <c:v>6090738</c:v>
                </c:pt>
                <c:pt idx="429">
                  <c:v>5081391</c:v>
                </c:pt>
                <c:pt idx="430">
                  <c:v>7909757</c:v>
                </c:pt>
                <c:pt idx="431">
                  <c:v>12340934</c:v>
                </c:pt>
                <c:pt idx="432">
                  <c:v>8457557</c:v>
                </c:pt>
                <c:pt idx="433">
                  <c:v>6521300</c:v>
                </c:pt>
                <c:pt idx="434">
                  <c:v>7323451</c:v>
                </c:pt>
                <c:pt idx="435">
                  <c:v>9471054</c:v>
                </c:pt>
                <c:pt idx="436">
                  <c:v>16252992</c:v>
                </c:pt>
                <c:pt idx="437">
                  <c:v>7725081</c:v>
                </c:pt>
                <c:pt idx="438">
                  <c:v>10699143</c:v>
                </c:pt>
                <c:pt idx="439">
                  <c:v>9106074</c:v>
                </c:pt>
                <c:pt idx="440">
                  <c:v>12082753</c:v>
                </c:pt>
                <c:pt idx="441">
                  <c:v>4865596</c:v>
                </c:pt>
                <c:pt idx="442">
                  <c:v>5477339</c:v>
                </c:pt>
                <c:pt idx="443">
                  <c:v>6090901</c:v>
                </c:pt>
                <c:pt idx="444">
                  <c:v>6637099</c:v>
                </c:pt>
                <c:pt idx="445">
                  <c:v>6059504</c:v>
                </c:pt>
                <c:pt idx="446">
                  <c:v>4472119</c:v>
                </c:pt>
                <c:pt idx="447">
                  <c:v>4189180</c:v>
                </c:pt>
                <c:pt idx="448">
                  <c:v>11729681</c:v>
                </c:pt>
                <c:pt idx="449">
                  <c:v>7498727</c:v>
                </c:pt>
                <c:pt idx="450">
                  <c:v>8704178</c:v>
                </c:pt>
                <c:pt idx="451">
                  <c:v>16111860</c:v>
                </c:pt>
                <c:pt idx="452">
                  <c:v>8719176</c:v>
                </c:pt>
                <c:pt idx="453">
                  <c:v>7057843</c:v>
                </c:pt>
                <c:pt idx="454">
                  <c:v>7024424</c:v>
                </c:pt>
                <c:pt idx="455">
                  <c:v>7543432</c:v>
                </c:pt>
                <c:pt idx="456">
                  <c:v>6454486</c:v>
                </c:pt>
                <c:pt idx="457">
                  <c:v>7152179</c:v>
                </c:pt>
                <c:pt idx="458">
                  <c:v>9203842</c:v>
                </c:pt>
                <c:pt idx="459">
                  <c:v>8803137</c:v>
                </c:pt>
                <c:pt idx="460">
                  <c:v>14272292</c:v>
                </c:pt>
                <c:pt idx="461">
                  <c:v>18900002</c:v>
                </c:pt>
                <c:pt idx="462">
                  <c:v>19826254</c:v>
                </c:pt>
                <c:pt idx="463">
                  <c:v>12995706</c:v>
                </c:pt>
                <c:pt idx="464">
                  <c:v>18204464</c:v>
                </c:pt>
                <c:pt idx="465">
                  <c:v>11479706</c:v>
                </c:pt>
                <c:pt idx="466">
                  <c:v>8732608</c:v>
                </c:pt>
                <c:pt idx="467">
                  <c:v>15421680</c:v>
                </c:pt>
                <c:pt idx="468">
                  <c:v>25767521</c:v>
                </c:pt>
                <c:pt idx="469">
                  <c:v>23995166</c:v>
                </c:pt>
                <c:pt idx="470">
                  <c:v>9479691</c:v>
                </c:pt>
                <c:pt idx="471">
                  <c:v>7994197</c:v>
                </c:pt>
                <c:pt idx="472">
                  <c:v>9151102</c:v>
                </c:pt>
                <c:pt idx="473">
                  <c:v>11135894</c:v>
                </c:pt>
                <c:pt idx="474">
                  <c:v>15982423</c:v>
                </c:pt>
                <c:pt idx="475">
                  <c:v>9754485</c:v>
                </c:pt>
                <c:pt idx="476">
                  <c:v>9992962</c:v>
                </c:pt>
                <c:pt idx="477">
                  <c:v>7243636</c:v>
                </c:pt>
                <c:pt idx="478">
                  <c:v>12412416</c:v>
                </c:pt>
                <c:pt idx="479">
                  <c:v>7984933</c:v>
                </c:pt>
                <c:pt idx="480">
                  <c:v>7325483</c:v>
                </c:pt>
                <c:pt idx="481">
                  <c:v>10253527</c:v>
                </c:pt>
                <c:pt idx="482">
                  <c:v>12718721</c:v>
                </c:pt>
                <c:pt idx="483">
                  <c:v>12614263</c:v>
                </c:pt>
                <c:pt idx="484">
                  <c:v>7620723</c:v>
                </c:pt>
                <c:pt idx="485">
                  <c:v>8840188</c:v>
                </c:pt>
                <c:pt idx="486">
                  <c:v>5981760</c:v>
                </c:pt>
                <c:pt idx="487">
                  <c:v>14252204</c:v>
                </c:pt>
                <c:pt idx="488">
                  <c:v>6667781</c:v>
                </c:pt>
                <c:pt idx="489">
                  <c:v>9744202</c:v>
                </c:pt>
                <c:pt idx="490">
                  <c:v>9494641</c:v>
                </c:pt>
                <c:pt idx="491">
                  <c:v>11041243</c:v>
                </c:pt>
                <c:pt idx="492">
                  <c:v>6059044</c:v>
                </c:pt>
                <c:pt idx="493">
                  <c:v>9747526</c:v>
                </c:pt>
                <c:pt idx="494">
                  <c:v>18237451</c:v>
                </c:pt>
                <c:pt idx="495">
                  <c:v>6783022</c:v>
                </c:pt>
                <c:pt idx="496">
                  <c:v>12897667</c:v>
                </c:pt>
                <c:pt idx="497">
                  <c:v>11608424</c:v>
                </c:pt>
                <c:pt idx="498">
                  <c:v>7059200</c:v>
                </c:pt>
                <c:pt idx="499">
                  <c:v>9511189</c:v>
                </c:pt>
                <c:pt idx="500">
                  <c:v>10160322</c:v>
                </c:pt>
                <c:pt idx="501">
                  <c:v>9170535</c:v>
                </c:pt>
                <c:pt idx="502">
                  <c:v>10816352</c:v>
                </c:pt>
                <c:pt idx="503">
                  <c:v>9934501</c:v>
                </c:pt>
                <c:pt idx="504">
                  <c:v>9752326</c:v>
                </c:pt>
                <c:pt idx="505">
                  <c:v>4774867</c:v>
                </c:pt>
                <c:pt idx="506">
                  <c:v>11610832</c:v>
                </c:pt>
                <c:pt idx="507">
                  <c:v>10122167</c:v>
                </c:pt>
                <c:pt idx="508">
                  <c:v>48904254</c:v>
                </c:pt>
                <c:pt idx="509">
                  <c:v>15710094</c:v>
                </c:pt>
                <c:pt idx="510">
                  <c:v>8423692</c:v>
                </c:pt>
                <c:pt idx="511">
                  <c:v>10229766</c:v>
                </c:pt>
                <c:pt idx="512">
                  <c:v>8791872</c:v>
                </c:pt>
                <c:pt idx="513">
                  <c:v>8362265</c:v>
                </c:pt>
                <c:pt idx="514">
                  <c:v>9634283</c:v>
                </c:pt>
                <c:pt idx="515">
                  <c:v>8917699</c:v>
                </c:pt>
                <c:pt idx="516">
                  <c:v>10714339</c:v>
                </c:pt>
                <c:pt idx="517">
                  <c:v>8180709</c:v>
                </c:pt>
                <c:pt idx="518">
                  <c:v>5019603</c:v>
                </c:pt>
                <c:pt idx="519">
                  <c:v>7766667</c:v>
                </c:pt>
                <c:pt idx="520">
                  <c:v>16367477</c:v>
                </c:pt>
                <c:pt idx="521">
                  <c:v>8142319</c:v>
                </c:pt>
                <c:pt idx="522">
                  <c:v>12910220</c:v>
                </c:pt>
                <c:pt idx="523">
                  <c:v>18830592</c:v>
                </c:pt>
                <c:pt idx="524">
                  <c:v>8961077</c:v>
                </c:pt>
                <c:pt idx="525">
                  <c:v>8259574</c:v>
                </c:pt>
                <c:pt idx="526">
                  <c:v>7804976</c:v>
                </c:pt>
                <c:pt idx="527">
                  <c:v>7672135</c:v>
                </c:pt>
                <c:pt idx="528">
                  <c:v>9775280</c:v>
                </c:pt>
                <c:pt idx="529">
                  <c:v>12209350</c:v>
                </c:pt>
                <c:pt idx="530">
                  <c:v>29125052</c:v>
                </c:pt>
                <c:pt idx="531">
                  <c:v>9901148</c:v>
                </c:pt>
                <c:pt idx="532">
                  <c:v>10278597</c:v>
                </c:pt>
                <c:pt idx="533">
                  <c:v>11861196</c:v>
                </c:pt>
                <c:pt idx="534">
                  <c:v>10420462</c:v>
                </c:pt>
                <c:pt idx="535">
                  <c:v>20643707</c:v>
                </c:pt>
                <c:pt idx="536">
                  <c:v>25790153</c:v>
                </c:pt>
                <c:pt idx="537">
                  <c:v>22295321</c:v>
                </c:pt>
                <c:pt idx="538">
                  <c:v>55745171</c:v>
                </c:pt>
                <c:pt idx="539">
                  <c:v>64518967</c:v>
                </c:pt>
                <c:pt idx="540">
                  <c:v>17134291</c:v>
                </c:pt>
                <c:pt idx="541">
                  <c:v>14091519</c:v>
                </c:pt>
                <c:pt idx="542">
                  <c:v>21040139</c:v>
                </c:pt>
                <c:pt idx="543">
                  <c:v>12497542</c:v>
                </c:pt>
                <c:pt idx="544">
                  <c:v>12302874</c:v>
                </c:pt>
                <c:pt idx="545">
                  <c:v>7124807</c:v>
                </c:pt>
                <c:pt idx="546">
                  <c:v>13103664</c:v>
                </c:pt>
                <c:pt idx="547">
                  <c:v>8346130</c:v>
                </c:pt>
                <c:pt idx="548">
                  <c:v>12555527</c:v>
                </c:pt>
                <c:pt idx="549">
                  <c:v>13712537</c:v>
                </c:pt>
                <c:pt idx="550">
                  <c:v>8253942</c:v>
                </c:pt>
                <c:pt idx="551">
                  <c:v>14412671</c:v>
                </c:pt>
                <c:pt idx="552">
                  <c:v>6638422</c:v>
                </c:pt>
                <c:pt idx="553">
                  <c:v>4584293</c:v>
                </c:pt>
                <c:pt idx="554">
                  <c:v>6949605</c:v>
                </c:pt>
                <c:pt idx="555">
                  <c:v>10618786</c:v>
                </c:pt>
                <c:pt idx="556">
                  <c:v>8284135</c:v>
                </c:pt>
                <c:pt idx="557">
                  <c:v>8171437</c:v>
                </c:pt>
                <c:pt idx="558">
                  <c:v>6689769</c:v>
                </c:pt>
                <c:pt idx="559">
                  <c:v>5997051</c:v>
                </c:pt>
                <c:pt idx="560">
                  <c:v>5951893</c:v>
                </c:pt>
                <c:pt idx="561">
                  <c:v>6960264</c:v>
                </c:pt>
                <c:pt idx="562">
                  <c:v>8105359</c:v>
                </c:pt>
                <c:pt idx="563">
                  <c:v>7737562</c:v>
                </c:pt>
                <c:pt idx="564">
                  <c:v>6727343</c:v>
                </c:pt>
                <c:pt idx="565">
                  <c:v>9566210</c:v>
                </c:pt>
                <c:pt idx="566">
                  <c:v>10073884</c:v>
                </c:pt>
                <c:pt idx="567">
                  <c:v>6584445</c:v>
                </c:pt>
                <c:pt idx="568">
                  <c:v>7045201</c:v>
                </c:pt>
                <c:pt idx="569">
                  <c:v>5482218</c:v>
                </c:pt>
                <c:pt idx="570">
                  <c:v>7812801</c:v>
                </c:pt>
                <c:pt idx="571">
                  <c:v>12429280</c:v>
                </c:pt>
                <c:pt idx="572">
                  <c:v>8154931</c:v>
                </c:pt>
                <c:pt idx="573">
                  <c:v>7379878</c:v>
                </c:pt>
                <c:pt idx="574">
                  <c:v>10693426</c:v>
                </c:pt>
                <c:pt idx="575">
                  <c:v>11214662</c:v>
                </c:pt>
                <c:pt idx="576">
                  <c:v>8132228</c:v>
                </c:pt>
                <c:pt idx="577">
                  <c:v>6200447</c:v>
                </c:pt>
                <c:pt idx="578">
                  <c:v>9813208</c:v>
                </c:pt>
                <c:pt idx="579">
                  <c:v>6327430</c:v>
                </c:pt>
                <c:pt idx="580">
                  <c:v>9716390</c:v>
                </c:pt>
                <c:pt idx="581">
                  <c:v>8388835</c:v>
                </c:pt>
                <c:pt idx="582">
                  <c:v>16630417</c:v>
                </c:pt>
                <c:pt idx="583">
                  <c:v>22556502</c:v>
                </c:pt>
                <c:pt idx="584">
                  <c:v>10189855</c:v>
                </c:pt>
                <c:pt idx="585">
                  <c:v>9902739</c:v>
                </c:pt>
                <c:pt idx="586">
                  <c:v>6933254</c:v>
                </c:pt>
                <c:pt idx="587">
                  <c:v>8140857</c:v>
                </c:pt>
                <c:pt idx="588">
                  <c:v>7768291</c:v>
                </c:pt>
                <c:pt idx="589">
                  <c:v>6495845</c:v>
                </c:pt>
                <c:pt idx="590">
                  <c:v>9198816</c:v>
                </c:pt>
                <c:pt idx="591">
                  <c:v>7838297</c:v>
                </c:pt>
                <c:pt idx="592">
                  <c:v>9994270</c:v>
                </c:pt>
                <c:pt idx="593">
                  <c:v>7604924</c:v>
                </c:pt>
                <c:pt idx="594">
                  <c:v>15451411</c:v>
                </c:pt>
                <c:pt idx="595">
                  <c:v>17639889</c:v>
                </c:pt>
                <c:pt idx="596">
                  <c:v>10950902</c:v>
                </c:pt>
                <c:pt idx="597">
                  <c:v>19327625</c:v>
                </c:pt>
                <c:pt idx="598">
                  <c:v>20611075</c:v>
                </c:pt>
                <c:pt idx="599">
                  <c:v>10050303</c:v>
                </c:pt>
                <c:pt idx="600">
                  <c:v>8386849</c:v>
                </c:pt>
                <c:pt idx="601">
                  <c:v>10736155</c:v>
                </c:pt>
                <c:pt idx="602">
                  <c:v>16781507</c:v>
                </c:pt>
                <c:pt idx="603">
                  <c:v>19665200</c:v>
                </c:pt>
                <c:pt idx="604">
                  <c:v>13825970</c:v>
                </c:pt>
                <c:pt idx="605">
                  <c:v>13069167</c:v>
                </c:pt>
                <c:pt idx="606">
                  <c:v>18558597</c:v>
                </c:pt>
                <c:pt idx="607">
                  <c:v>17242211</c:v>
                </c:pt>
                <c:pt idx="608">
                  <c:v>3170564</c:v>
                </c:pt>
                <c:pt idx="609">
                  <c:v>27372160</c:v>
                </c:pt>
                <c:pt idx="610">
                  <c:v>18474706</c:v>
                </c:pt>
                <c:pt idx="611">
                  <c:v>16296080</c:v>
                </c:pt>
                <c:pt idx="612">
                  <c:v>20887417</c:v>
                </c:pt>
                <c:pt idx="613">
                  <c:v>6929063</c:v>
                </c:pt>
                <c:pt idx="614">
                  <c:v>6424915</c:v>
                </c:pt>
                <c:pt idx="615">
                  <c:v>7266724</c:v>
                </c:pt>
                <c:pt idx="616">
                  <c:v>10337544</c:v>
                </c:pt>
                <c:pt idx="617">
                  <c:v>10609956</c:v>
                </c:pt>
                <c:pt idx="618">
                  <c:v>9388996</c:v>
                </c:pt>
                <c:pt idx="619">
                  <c:v>10506078</c:v>
                </c:pt>
                <c:pt idx="620">
                  <c:v>22235092</c:v>
                </c:pt>
                <c:pt idx="621">
                  <c:v>8803255</c:v>
                </c:pt>
                <c:pt idx="622">
                  <c:v>9111289</c:v>
                </c:pt>
                <c:pt idx="623">
                  <c:v>12427919</c:v>
                </c:pt>
                <c:pt idx="624">
                  <c:v>18281337</c:v>
                </c:pt>
                <c:pt idx="625">
                  <c:v>15552911</c:v>
                </c:pt>
                <c:pt idx="626">
                  <c:v>9991052</c:v>
                </c:pt>
                <c:pt idx="627">
                  <c:v>16205789</c:v>
                </c:pt>
                <c:pt idx="628">
                  <c:v>22838807</c:v>
                </c:pt>
                <c:pt idx="629">
                  <c:v>24179987</c:v>
                </c:pt>
                <c:pt idx="630">
                  <c:v>20992080</c:v>
                </c:pt>
                <c:pt idx="631">
                  <c:v>9526068</c:v>
                </c:pt>
                <c:pt idx="632">
                  <c:v>14365461</c:v>
                </c:pt>
                <c:pt idx="633">
                  <c:v>12492851</c:v>
                </c:pt>
                <c:pt idx="634">
                  <c:v>8418672</c:v>
                </c:pt>
                <c:pt idx="635">
                  <c:v>12267025</c:v>
                </c:pt>
                <c:pt idx="636">
                  <c:v>10520207</c:v>
                </c:pt>
                <c:pt idx="637">
                  <c:v>8712689</c:v>
                </c:pt>
                <c:pt idx="638">
                  <c:v>9408098</c:v>
                </c:pt>
                <c:pt idx="639">
                  <c:v>10911130</c:v>
                </c:pt>
                <c:pt idx="640">
                  <c:v>8085824</c:v>
                </c:pt>
                <c:pt idx="641">
                  <c:v>11970750</c:v>
                </c:pt>
                <c:pt idx="642">
                  <c:v>17471906</c:v>
                </c:pt>
                <c:pt idx="643">
                  <c:v>25758860</c:v>
                </c:pt>
                <c:pt idx="644">
                  <c:v>13254985</c:v>
                </c:pt>
                <c:pt idx="645">
                  <c:v>17829428</c:v>
                </c:pt>
                <c:pt idx="646">
                  <c:v>11361400</c:v>
                </c:pt>
                <c:pt idx="647">
                  <c:v>6956588</c:v>
                </c:pt>
                <c:pt idx="648">
                  <c:v>7759104</c:v>
                </c:pt>
                <c:pt idx="649">
                  <c:v>11346892</c:v>
                </c:pt>
                <c:pt idx="650">
                  <c:v>9338887</c:v>
                </c:pt>
                <c:pt idx="651">
                  <c:v>11355837</c:v>
                </c:pt>
                <c:pt idx="652">
                  <c:v>10422413</c:v>
                </c:pt>
                <c:pt idx="653">
                  <c:v>9883851</c:v>
                </c:pt>
                <c:pt idx="654">
                  <c:v>7975854</c:v>
                </c:pt>
                <c:pt idx="655">
                  <c:v>8609864</c:v>
                </c:pt>
                <c:pt idx="656">
                  <c:v>6422504</c:v>
                </c:pt>
                <c:pt idx="657">
                  <c:v>10885990</c:v>
                </c:pt>
                <c:pt idx="658">
                  <c:v>8923568</c:v>
                </c:pt>
                <c:pt idx="659">
                  <c:v>8307140</c:v>
                </c:pt>
                <c:pt idx="660">
                  <c:v>10088723</c:v>
                </c:pt>
                <c:pt idx="661">
                  <c:v>15901918</c:v>
                </c:pt>
                <c:pt idx="662">
                  <c:v>17695228</c:v>
                </c:pt>
                <c:pt idx="663">
                  <c:v>38982557</c:v>
                </c:pt>
                <c:pt idx="664">
                  <c:v>15889556</c:v>
                </c:pt>
                <c:pt idx="665">
                  <c:v>16932743</c:v>
                </c:pt>
                <c:pt idx="666">
                  <c:v>10839070</c:v>
                </c:pt>
                <c:pt idx="667">
                  <c:v>9346146</c:v>
                </c:pt>
                <c:pt idx="668">
                  <c:v>9739177</c:v>
                </c:pt>
                <c:pt idx="669">
                  <c:v>10640727</c:v>
                </c:pt>
                <c:pt idx="670">
                  <c:v>9967545</c:v>
                </c:pt>
                <c:pt idx="671">
                  <c:v>16042840</c:v>
                </c:pt>
                <c:pt idx="672">
                  <c:v>15789281</c:v>
                </c:pt>
                <c:pt idx="673">
                  <c:v>9188419</c:v>
                </c:pt>
                <c:pt idx="674">
                  <c:v>11315876</c:v>
                </c:pt>
                <c:pt idx="675">
                  <c:v>11025420</c:v>
                </c:pt>
                <c:pt idx="676">
                  <c:v>13414357</c:v>
                </c:pt>
                <c:pt idx="677">
                  <c:v>9277570</c:v>
                </c:pt>
                <c:pt idx="678">
                  <c:v>14074628</c:v>
                </c:pt>
                <c:pt idx="679">
                  <c:v>12352667</c:v>
                </c:pt>
                <c:pt idx="680">
                  <c:v>11110418</c:v>
                </c:pt>
                <c:pt idx="681">
                  <c:v>13794991</c:v>
                </c:pt>
                <c:pt idx="682">
                  <c:v>18292925</c:v>
                </c:pt>
                <c:pt idx="683">
                  <c:v>18568655</c:v>
                </c:pt>
                <c:pt idx="684">
                  <c:v>39881736</c:v>
                </c:pt>
                <c:pt idx="685">
                  <c:v>35165665</c:v>
                </c:pt>
                <c:pt idx="686">
                  <c:v>19262054</c:v>
                </c:pt>
                <c:pt idx="687">
                  <c:v>16018449</c:v>
                </c:pt>
                <c:pt idx="688">
                  <c:v>11240154</c:v>
                </c:pt>
                <c:pt idx="689">
                  <c:v>8172964</c:v>
                </c:pt>
                <c:pt idx="690">
                  <c:v>7013132</c:v>
                </c:pt>
                <c:pt idx="691">
                  <c:v>9067252</c:v>
                </c:pt>
                <c:pt idx="692">
                  <c:v>11320918</c:v>
                </c:pt>
                <c:pt idx="693">
                  <c:v>13883034</c:v>
                </c:pt>
                <c:pt idx="694">
                  <c:v>17081136</c:v>
                </c:pt>
                <c:pt idx="695">
                  <c:v>16654660</c:v>
                </c:pt>
                <c:pt idx="696">
                  <c:v>14293357</c:v>
                </c:pt>
                <c:pt idx="697">
                  <c:v>5059474</c:v>
                </c:pt>
                <c:pt idx="698">
                  <c:v>7422193</c:v>
                </c:pt>
                <c:pt idx="699">
                  <c:v>11092690</c:v>
                </c:pt>
                <c:pt idx="700">
                  <c:v>8371061</c:v>
                </c:pt>
                <c:pt idx="701">
                  <c:v>9860194</c:v>
                </c:pt>
                <c:pt idx="702">
                  <c:v>14361969</c:v>
                </c:pt>
                <c:pt idx="703">
                  <c:v>10828539</c:v>
                </c:pt>
                <c:pt idx="704">
                  <c:v>10925182</c:v>
                </c:pt>
                <c:pt idx="705">
                  <c:v>12487862</c:v>
                </c:pt>
                <c:pt idx="706">
                  <c:v>14240994</c:v>
                </c:pt>
                <c:pt idx="707">
                  <c:v>14699792</c:v>
                </c:pt>
                <c:pt idx="708">
                  <c:v>23208345</c:v>
                </c:pt>
                <c:pt idx="709">
                  <c:v>11819102</c:v>
                </c:pt>
                <c:pt idx="710">
                  <c:v>13468067</c:v>
                </c:pt>
                <c:pt idx="711">
                  <c:v>18420159</c:v>
                </c:pt>
                <c:pt idx="712">
                  <c:v>15288648</c:v>
                </c:pt>
                <c:pt idx="713">
                  <c:v>15547968</c:v>
                </c:pt>
                <c:pt idx="714">
                  <c:v>21700165</c:v>
                </c:pt>
                <c:pt idx="715">
                  <c:v>32370771</c:v>
                </c:pt>
                <c:pt idx="716">
                  <c:v>78287713</c:v>
                </c:pt>
                <c:pt idx="717">
                  <c:v>20200332</c:v>
                </c:pt>
                <c:pt idx="718">
                  <c:v>17797974</c:v>
                </c:pt>
                <c:pt idx="719">
                  <c:v>8186859</c:v>
                </c:pt>
                <c:pt idx="720">
                  <c:v>11921627</c:v>
                </c:pt>
                <c:pt idx="721">
                  <c:v>20044726</c:v>
                </c:pt>
                <c:pt idx="722">
                  <c:v>17344099</c:v>
                </c:pt>
                <c:pt idx="723">
                  <c:v>18033260</c:v>
                </c:pt>
                <c:pt idx="724">
                  <c:v>21403710</c:v>
                </c:pt>
                <c:pt idx="725">
                  <c:v>34490123</c:v>
                </c:pt>
                <c:pt idx="726">
                  <c:v>17932895</c:v>
                </c:pt>
                <c:pt idx="727">
                  <c:v>25951999</c:v>
                </c:pt>
                <c:pt idx="728">
                  <c:v>18965820</c:v>
                </c:pt>
                <c:pt idx="729">
                  <c:v>20419904</c:v>
                </c:pt>
                <c:pt idx="730">
                  <c:v>27924384</c:v>
                </c:pt>
                <c:pt idx="731">
                  <c:v>16580824</c:v>
                </c:pt>
                <c:pt idx="732">
                  <c:v>20536714</c:v>
                </c:pt>
                <c:pt idx="733">
                  <c:v>24208645</c:v>
                </c:pt>
                <c:pt idx="734">
                  <c:v>15671273</c:v>
                </c:pt>
                <c:pt idx="735">
                  <c:v>23412279</c:v>
                </c:pt>
                <c:pt idx="736">
                  <c:v>24510612</c:v>
                </c:pt>
                <c:pt idx="737">
                  <c:v>23380138</c:v>
                </c:pt>
                <c:pt idx="738">
                  <c:v>24399444</c:v>
                </c:pt>
                <c:pt idx="739">
                  <c:v>21414383</c:v>
                </c:pt>
                <c:pt idx="740">
                  <c:v>23553762</c:v>
                </c:pt>
                <c:pt idx="741">
                  <c:v>46147653</c:v>
                </c:pt>
                <c:pt idx="742">
                  <c:v>37826800</c:v>
                </c:pt>
                <c:pt idx="743">
                  <c:v>16061089</c:v>
                </c:pt>
                <c:pt idx="744">
                  <c:v>19597941</c:v>
                </c:pt>
                <c:pt idx="745">
                  <c:v>27183142</c:v>
                </c:pt>
                <c:pt idx="746">
                  <c:v>15907398</c:v>
                </c:pt>
                <c:pt idx="747">
                  <c:v>14305709</c:v>
                </c:pt>
                <c:pt idx="748">
                  <c:v>25656796</c:v>
                </c:pt>
                <c:pt idx="749">
                  <c:v>17603827</c:v>
                </c:pt>
                <c:pt idx="750">
                  <c:v>18122714</c:v>
                </c:pt>
                <c:pt idx="751">
                  <c:v>24916402</c:v>
                </c:pt>
                <c:pt idx="752">
                  <c:v>29284643</c:v>
                </c:pt>
                <c:pt idx="753">
                  <c:v>38239419</c:v>
                </c:pt>
                <c:pt idx="754">
                  <c:v>40491633</c:v>
                </c:pt>
                <c:pt idx="755">
                  <c:v>36945426</c:v>
                </c:pt>
                <c:pt idx="756">
                  <c:v>27975134</c:v>
                </c:pt>
                <c:pt idx="757">
                  <c:v>34223740</c:v>
                </c:pt>
                <c:pt idx="758">
                  <c:v>21629521</c:v>
                </c:pt>
                <c:pt idx="759">
                  <c:v>32998305</c:v>
                </c:pt>
                <c:pt idx="760">
                  <c:v>35113638</c:v>
                </c:pt>
                <c:pt idx="761">
                  <c:v>41699184</c:v>
                </c:pt>
                <c:pt idx="762">
                  <c:v>36132245</c:v>
                </c:pt>
                <c:pt idx="763">
                  <c:v>42294906</c:v>
                </c:pt>
                <c:pt idx="764">
                  <c:v>36036336</c:v>
                </c:pt>
                <c:pt idx="765">
                  <c:v>45258669</c:v>
                </c:pt>
                <c:pt idx="766">
                  <c:v>66835736</c:v>
                </c:pt>
                <c:pt idx="767">
                  <c:v>28532668</c:v>
                </c:pt>
                <c:pt idx="768">
                  <c:v>19295994</c:v>
                </c:pt>
                <c:pt idx="769">
                  <c:v>20034633</c:v>
                </c:pt>
                <c:pt idx="770">
                  <c:v>23633656</c:v>
                </c:pt>
                <c:pt idx="771">
                  <c:v>41341523</c:v>
                </c:pt>
                <c:pt idx="772">
                  <c:v>11014283</c:v>
                </c:pt>
                <c:pt idx="773">
                  <c:v>25749340</c:v>
                </c:pt>
                <c:pt idx="774">
                  <c:v>16129017</c:v>
                </c:pt>
                <c:pt idx="775">
                  <c:v>8670947</c:v>
                </c:pt>
                <c:pt idx="776">
                  <c:v>14024149</c:v>
                </c:pt>
                <c:pt idx="777">
                  <c:v>11231596</c:v>
                </c:pt>
                <c:pt idx="778">
                  <c:v>12875311</c:v>
                </c:pt>
                <c:pt idx="779">
                  <c:v>22745228</c:v>
                </c:pt>
                <c:pt idx="780">
                  <c:v>18096561</c:v>
                </c:pt>
                <c:pt idx="781">
                  <c:v>19563580</c:v>
                </c:pt>
                <c:pt idx="782">
                  <c:v>11893807</c:v>
                </c:pt>
                <c:pt idx="783">
                  <c:v>16201280</c:v>
                </c:pt>
                <c:pt idx="784">
                  <c:v>24171083</c:v>
                </c:pt>
                <c:pt idx="785">
                  <c:v>56705951</c:v>
                </c:pt>
                <c:pt idx="786">
                  <c:v>27845963</c:v>
                </c:pt>
                <c:pt idx="787">
                  <c:v>41130638</c:v>
                </c:pt>
                <c:pt idx="788">
                  <c:v>43207074</c:v>
                </c:pt>
                <c:pt idx="789">
                  <c:v>15039006</c:v>
                </c:pt>
                <c:pt idx="790">
                  <c:v>15276991</c:v>
                </c:pt>
                <c:pt idx="791">
                  <c:v>23149684</c:v>
                </c:pt>
                <c:pt idx="792">
                  <c:v>18322935</c:v>
                </c:pt>
                <c:pt idx="793">
                  <c:v>17354942</c:v>
                </c:pt>
                <c:pt idx="794">
                  <c:v>16586264</c:v>
                </c:pt>
                <c:pt idx="795">
                  <c:v>17329896</c:v>
                </c:pt>
                <c:pt idx="796">
                  <c:v>11473796</c:v>
                </c:pt>
                <c:pt idx="797">
                  <c:v>14394097</c:v>
                </c:pt>
                <c:pt idx="798">
                  <c:v>12318313</c:v>
                </c:pt>
                <c:pt idx="799">
                  <c:v>10569725</c:v>
                </c:pt>
                <c:pt idx="800">
                  <c:v>11501088</c:v>
                </c:pt>
                <c:pt idx="801">
                  <c:v>13158894</c:v>
                </c:pt>
                <c:pt idx="802">
                  <c:v>8020695</c:v>
                </c:pt>
                <c:pt idx="803">
                  <c:v>15841299</c:v>
                </c:pt>
                <c:pt idx="804">
                  <c:v>8855041</c:v>
                </c:pt>
                <c:pt idx="805">
                  <c:v>8950589</c:v>
                </c:pt>
                <c:pt idx="806">
                  <c:v>11230588</c:v>
                </c:pt>
                <c:pt idx="807">
                  <c:v>9050253</c:v>
                </c:pt>
                <c:pt idx="808">
                  <c:v>7765495</c:v>
                </c:pt>
                <c:pt idx="809">
                  <c:v>7583815</c:v>
                </c:pt>
                <c:pt idx="810">
                  <c:v>9741198</c:v>
                </c:pt>
                <c:pt idx="811">
                  <c:v>11480954</c:v>
                </c:pt>
                <c:pt idx="812">
                  <c:v>11568803</c:v>
                </c:pt>
                <c:pt idx="813">
                  <c:v>8153106</c:v>
                </c:pt>
                <c:pt idx="814">
                  <c:v>16581585</c:v>
                </c:pt>
                <c:pt idx="815">
                  <c:v>22209720</c:v>
                </c:pt>
                <c:pt idx="816">
                  <c:v>17239484</c:v>
                </c:pt>
                <c:pt idx="817">
                  <c:v>19395604</c:v>
                </c:pt>
                <c:pt idx="818">
                  <c:v>37340790</c:v>
                </c:pt>
                <c:pt idx="819">
                  <c:v>29683982</c:v>
                </c:pt>
                <c:pt idx="820">
                  <c:v>24199205</c:v>
                </c:pt>
                <c:pt idx="821">
                  <c:v>34653042</c:v>
                </c:pt>
                <c:pt idx="822">
                  <c:v>37508445</c:v>
                </c:pt>
                <c:pt idx="823">
                  <c:v>22054342</c:v>
                </c:pt>
                <c:pt idx="824">
                  <c:v>35162889</c:v>
                </c:pt>
                <c:pt idx="825">
                  <c:v>38241864</c:v>
                </c:pt>
                <c:pt idx="826">
                  <c:v>9861847</c:v>
                </c:pt>
                <c:pt idx="827">
                  <c:v>8903842</c:v>
                </c:pt>
                <c:pt idx="828">
                  <c:v>13138355</c:v>
                </c:pt>
                <c:pt idx="829">
                  <c:v>13794647</c:v>
                </c:pt>
                <c:pt idx="830">
                  <c:v>15904846</c:v>
                </c:pt>
                <c:pt idx="831">
                  <c:v>12995800</c:v>
                </c:pt>
                <c:pt idx="832">
                  <c:v>23503453</c:v>
                </c:pt>
                <c:pt idx="833">
                  <c:v>22132952</c:v>
                </c:pt>
                <c:pt idx="834">
                  <c:v>27027022</c:v>
                </c:pt>
                <c:pt idx="835">
                  <c:v>23904846</c:v>
                </c:pt>
                <c:pt idx="836">
                  <c:v>14139854</c:v>
                </c:pt>
                <c:pt idx="837">
                  <c:v>13433385</c:v>
                </c:pt>
                <c:pt idx="838">
                  <c:v>22574227</c:v>
                </c:pt>
                <c:pt idx="839">
                  <c:v>20226071</c:v>
                </c:pt>
                <c:pt idx="840">
                  <c:v>46697822</c:v>
                </c:pt>
                <c:pt idx="841">
                  <c:v>14675969</c:v>
                </c:pt>
                <c:pt idx="842">
                  <c:v>38755267</c:v>
                </c:pt>
                <c:pt idx="843">
                  <c:v>11855531</c:v>
                </c:pt>
                <c:pt idx="844">
                  <c:v>8134962</c:v>
                </c:pt>
                <c:pt idx="845">
                  <c:v>13431108</c:v>
                </c:pt>
                <c:pt idx="846">
                  <c:v>11520817</c:v>
                </c:pt>
                <c:pt idx="847">
                  <c:v>20270558</c:v>
                </c:pt>
                <c:pt idx="848">
                  <c:v>7024796</c:v>
                </c:pt>
                <c:pt idx="849">
                  <c:v>17843327</c:v>
                </c:pt>
                <c:pt idx="850">
                  <c:v>14343859</c:v>
                </c:pt>
                <c:pt idx="851">
                  <c:v>23197539</c:v>
                </c:pt>
                <c:pt idx="852">
                  <c:v>26642108</c:v>
                </c:pt>
                <c:pt idx="853">
                  <c:v>46282465</c:v>
                </c:pt>
                <c:pt idx="854">
                  <c:v>25911499</c:v>
                </c:pt>
                <c:pt idx="855">
                  <c:v>18934170</c:v>
                </c:pt>
                <c:pt idx="856">
                  <c:v>22333919</c:v>
                </c:pt>
                <c:pt idx="857">
                  <c:v>35537151</c:v>
                </c:pt>
                <c:pt idx="858">
                  <c:v>22518727</c:v>
                </c:pt>
                <c:pt idx="859">
                  <c:v>47822165</c:v>
                </c:pt>
                <c:pt idx="860">
                  <c:v>59061766</c:v>
                </c:pt>
                <c:pt idx="861">
                  <c:v>60292901</c:v>
                </c:pt>
                <c:pt idx="862">
                  <c:v>85406902</c:v>
                </c:pt>
                <c:pt idx="863">
                  <c:v>50159625</c:v>
                </c:pt>
                <c:pt idx="864">
                  <c:v>29222028</c:v>
                </c:pt>
                <c:pt idx="865">
                  <c:v>21184428</c:v>
                </c:pt>
                <c:pt idx="866">
                  <c:v>9739240</c:v>
                </c:pt>
                <c:pt idx="867">
                  <c:v>10371535</c:v>
                </c:pt>
                <c:pt idx="868">
                  <c:v>17505160</c:v>
                </c:pt>
                <c:pt idx="869">
                  <c:v>9223597</c:v>
                </c:pt>
                <c:pt idx="870">
                  <c:v>10686552</c:v>
                </c:pt>
                <c:pt idx="871">
                  <c:v>15956143</c:v>
                </c:pt>
                <c:pt idx="872">
                  <c:v>16357902</c:v>
                </c:pt>
                <c:pt idx="873">
                  <c:v>15450046</c:v>
                </c:pt>
                <c:pt idx="874">
                  <c:v>15713947</c:v>
                </c:pt>
                <c:pt idx="875">
                  <c:v>22890540</c:v>
                </c:pt>
                <c:pt idx="876">
                  <c:v>24823291</c:v>
                </c:pt>
                <c:pt idx="877">
                  <c:v>21791090</c:v>
                </c:pt>
                <c:pt idx="878">
                  <c:v>52621868</c:v>
                </c:pt>
                <c:pt idx="879">
                  <c:v>56671832</c:v>
                </c:pt>
                <c:pt idx="880">
                  <c:v>70390969</c:v>
                </c:pt>
                <c:pt idx="881">
                  <c:v>79501805</c:v>
                </c:pt>
                <c:pt idx="882">
                  <c:v>149238901</c:v>
                </c:pt>
                <c:pt idx="883">
                  <c:v>20248758</c:v>
                </c:pt>
                <c:pt idx="884">
                  <c:v>19621849</c:v>
                </c:pt>
                <c:pt idx="885">
                  <c:v>16043896</c:v>
                </c:pt>
                <c:pt idx="886">
                  <c:v>19051252</c:v>
                </c:pt>
                <c:pt idx="887">
                  <c:v>17233315</c:v>
                </c:pt>
                <c:pt idx="888">
                  <c:v>37489544</c:v>
                </c:pt>
                <c:pt idx="889">
                  <c:v>10632156</c:v>
                </c:pt>
                <c:pt idx="890">
                  <c:v>10228853</c:v>
                </c:pt>
                <c:pt idx="891">
                  <c:v>14321164</c:v>
                </c:pt>
                <c:pt idx="892">
                  <c:v>16241960</c:v>
                </c:pt>
                <c:pt idx="893">
                  <c:v>25808430</c:v>
                </c:pt>
                <c:pt idx="894">
                  <c:v>12084844</c:v>
                </c:pt>
                <c:pt idx="895">
                  <c:v>10476384</c:v>
                </c:pt>
                <c:pt idx="896">
                  <c:v>14836173</c:v>
                </c:pt>
                <c:pt idx="897">
                  <c:v>10586894</c:v>
                </c:pt>
                <c:pt idx="898">
                  <c:v>12490094</c:v>
                </c:pt>
                <c:pt idx="899">
                  <c:v>9936365</c:v>
                </c:pt>
                <c:pt idx="900">
                  <c:v>19421004</c:v>
                </c:pt>
                <c:pt idx="901">
                  <c:v>10735658</c:v>
                </c:pt>
                <c:pt idx="902">
                  <c:v>7858486</c:v>
                </c:pt>
                <c:pt idx="903">
                  <c:v>11190075</c:v>
                </c:pt>
                <c:pt idx="904">
                  <c:v>18850939</c:v>
                </c:pt>
                <c:pt idx="905">
                  <c:v>27692208</c:v>
                </c:pt>
                <c:pt idx="906">
                  <c:v>15418634</c:v>
                </c:pt>
                <c:pt idx="907">
                  <c:v>18155926</c:v>
                </c:pt>
                <c:pt idx="908">
                  <c:v>20358146</c:v>
                </c:pt>
                <c:pt idx="909">
                  <c:v>23581637</c:v>
                </c:pt>
                <c:pt idx="910">
                  <c:v>47178466</c:v>
                </c:pt>
                <c:pt idx="911">
                  <c:v>10998260</c:v>
                </c:pt>
                <c:pt idx="912">
                  <c:v>18468527</c:v>
                </c:pt>
                <c:pt idx="913">
                  <c:v>9674128</c:v>
                </c:pt>
                <c:pt idx="914">
                  <c:v>14940336</c:v>
                </c:pt>
                <c:pt idx="915">
                  <c:v>15603733</c:v>
                </c:pt>
                <c:pt idx="916">
                  <c:v>14736840</c:v>
                </c:pt>
                <c:pt idx="917">
                  <c:v>24436949</c:v>
                </c:pt>
                <c:pt idx="918">
                  <c:v>47263771</c:v>
                </c:pt>
                <c:pt idx="919">
                  <c:v>44526781</c:v>
                </c:pt>
                <c:pt idx="920">
                  <c:v>18311537</c:v>
                </c:pt>
                <c:pt idx="921">
                  <c:v>23656813</c:v>
                </c:pt>
                <c:pt idx="922">
                  <c:v>16464973</c:v>
                </c:pt>
                <c:pt idx="923">
                  <c:v>29019824</c:v>
                </c:pt>
                <c:pt idx="924">
                  <c:v>28852257</c:v>
                </c:pt>
                <c:pt idx="925">
                  <c:v>20480406</c:v>
                </c:pt>
                <c:pt idx="926">
                  <c:v>10830411</c:v>
                </c:pt>
                <c:pt idx="927">
                  <c:v>13085323</c:v>
                </c:pt>
                <c:pt idx="928">
                  <c:v>11834045</c:v>
                </c:pt>
                <c:pt idx="929">
                  <c:v>20925008</c:v>
                </c:pt>
                <c:pt idx="930">
                  <c:v>17879443</c:v>
                </c:pt>
                <c:pt idx="931">
                  <c:v>11088659</c:v>
                </c:pt>
                <c:pt idx="932">
                  <c:v>10248249</c:v>
                </c:pt>
                <c:pt idx="933">
                  <c:v>12698779</c:v>
                </c:pt>
                <c:pt idx="934">
                  <c:v>10191296</c:v>
                </c:pt>
                <c:pt idx="935">
                  <c:v>15942408</c:v>
                </c:pt>
                <c:pt idx="936">
                  <c:v>13326068</c:v>
                </c:pt>
                <c:pt idx="937">
                  <c:v>14627153</c:v>
                </c:pt>
                <c:pt idx="938">
                  <c:v>13877208</c:v>
                </c:pt>
                <c:pt idx="939">
                  <c:v>22435272</c:v>
                </c:pt>
                <c:pt idx="940">
                  <c:v>12575210</c:v>
                </c:pt>
                <c:pt idx="941">
                  <c:v>18042675</c:v>
                </c:pt>
                <c:pt idx="942">
                  <c:v>19074685</c:v>
                </c:pt>
                <c:pt idx="943">
                  <c:v>23567549</c:v>
                </c:pt>
                <c:pt idx="944">
                  <c:v>21476893</c:v>
                </c:pt>
                <c:pt idx="945">
                  <c:v>20104244</c:v>
                </c:pt>
                <c:pt idx="946">
                  <c:v>14854294</c:v>
                </c:pt>
                <c:pt idx="947">
                  <c:v>17677889</c:v>
                </c:pt>
                <c:pt idx="948">
                  <c:v>21424291</c:v>
                </c:pt>
                <c:pt idx="949">
                  <c:v>30719587</c:v>
                </c:pt>
                <c:pt idx="950">
                  <c:v>24887924</c:v>
                </c:pt>
                <c:pt idx="951">
                  <c:v>21261361</c:v>
                </c:pt>
                <c:pt idx="952">
                  <c:v>31433280</c:v>
                </c:pt>
                <c:pt idx="953">
                  <c:v>30126021</c:v>
                </c:pt>
                <c:pt idx="954">
                  <c:v>46657520</c:v>
                </c:pt>
                <c:pt idx="955">
                  <c:v>96654991</c:v>
                </c:pt>
                <c:pt idx="956">
                  <c:v>38755111</c:v>
                </c:pt>
                <c:pt idx="957">
                  <c:v>73039531</c:v>
                </c:pt>
                <c:pt idx="958">
                  <c:v>25597550</c:v>
                </c:pt>
                <c:pt idx="959">
                  <c:v>47554219</c:v>
                </c:pt>
                <c:pt idx="960">
                  <c:v>17576137</c:v>
                </c:pt>
                <c:pt idx="961">
                  <c:v>25334878</c:v>
                </c:pt>
                <c:pt idx="962">
                  <c:v>28865798</c:v>
                </c:pt>
                <c:pt idx="963">
                  <c:v>22638020</c:v>
                </c:pt>
                <c:pt idx="964">
                  <c:v>20884367</c:v>
                </c:pt>
                <c:pt idx="965">
                  <c:v>24405319</c:v>
                </c:pt>
                <c:pt idx="966">
                  <c:v>30479551</c:v>
                </c:pt>
                <c:pt idx="967">
                  <c:v>38001828</c:v>
                </c:pt>
                <c:pt idx="968">
                  <c:v>61647120</c:v>
                </c:pt>
                <c:pt idx="969">
                  <c:v>16537612</c:v>
                </c:pt>
                <c:pt idx="970">
                  <c:v>13747541</c:v>
                </c:pt>
                <c:pt idx="971">
                  <c:v>16295368</c:v>
                </c:pt>
                <c:pt idx="972">
                  <c:v>19463495</c:v>
                </c:pt>
                <c:pt idx="973">
                  <c:v>14320889</c:v>
                </c:pt>
                <c:pt idx="974">
                  <c:v>13862655</c:v>
                </c:pt>
                <c:pt idx="975">
                  <c:v>18259282</c:v>
                </c:pt>
                <c:pt idx="976">
                  <c:v>20611626</c:v>
                </c:pt>
                <c:pt idx="977">
                  <c:v>16495657</c:v>
                </c:pt>
                <c:pt idx="978">
                  <c:v>13096755</c:v>
                </c:pt>
                <c:pt idx="979">
                  <c:v>12708021</c:v>
                </c:pt>
                <c:pt idx="980">
                  <c:v>11444814</c:v>
                </c:pt>
                <c:pt idx="981">
                  <c:v>19886214</c:v>
                </c:pt>
                <c:pt idx="982">
                  <c:v>19625381</c:v>
                </c:pt>
                <c:pt idx="983">
                  <c:v>23139735</c:v>
                </c:pt>
                <c:pt idx="984">
                  <c:v>21364882</c:v>
                </c:pt>
                <c:pt idx="985">
                  <c:v>15792299</c:v>
                </c:pt>
                <c:pt idx="986">
                  <c:v>13311926</c:v>
                </c:pt>
                <c:pt idx="987">
                  <c:v>17530742</c:v>
                </c:pt>
                <c:pt idx="988">
                  <c:v>20247639</c:v>
                </c:pt>
                <c:pt idx="989">
                  <c:v>34511670</c:v>
                </c:pt>
                <c:pt idx="990">
                  <c:v>16364247</c:v>
                </c:pt>
                <c:pt idx="991">
                  <c:v>14116874</c:v>
                </c:pt>
                <c:pt idx="992">
                  <c:v>15204883</c:v>
                </c:pt>
                <c:pt idx="993">
                  <c:v>25674227</c:v>
                </c:pt>
                <c:pt idx="994">
                  <c:v>31378045</c:v>
                </c:pt>
                <c:pt idx="995">
                  <c:v>29062762</c:v>
                </c:pt>
                <c:pt idx="996">
                  <c:v>36485322</c:v>
                </c:pt>
                <c:pt idx="997">
                  <c:v>27792033</c:v>
                </c:pt>
                <c:pt idx="998">
                  <c:v>26079435</c:v>
                </c:pt>
                <c:pt idx="999">
                  <c:v>40681282</c:v>
                </c:pt>
                <c:pt idx="1000">
                  <c:v>27609243</c:v>
                </c:pt>
                <c:pt idx="1001">
                  <c:v>41564683</c:v>
                </c:pt>
                <c:pt idx="1002">
                  <c:v>46050245</c:v>
                </c:pt>
                <c:pt idx="1003">
                  <c:v>134184994</c:v>
                </c:pt>
                <c:pt idx="1004">
                  <c:v>91993104</c:v>
                </c:pt>
                <c:pt idx="1005">
                  <c:v>78578698</c:v>
                </c:pt>
                <c:pt idx="1006">
                  <c:v>48763187</c:v>
                </c:pt>
                <c:pt idx="1007">
                  <c:v>41115805</c:v>
                </c:pt>
                <c:pt idx="1008">
                  <c:v>30787960</c:v>
                </c:pt>
                <c:pt idx="1009">
                  <c:v>19603214</c:v>
                </c:pt>
                <c:pt idx="1010">
                  <c:v>22593086</c:v>
                </c:pt>
                <c:pt idx="1011">
                  <c:v>22988740</c:v>
                </c:pt>
                <c:pt idx="1012">
                  <c:v>17323590</c:v>
                </c:pt>
                <c:pt idx="1013">
                  <c:v>24899212</c:v>
                </c:pt>
                <c:pt idx="1014">
                  <c:v>20846117</c:v>
                </c:pt>
                <c:pt idx="1015">
                  <c:v>25604169</c:v>
                </c:pt>
                <c:pt idx="1016">
                  <c:v>16225536</c:v>
                </c:pt>
                <c:pt idx="1017">
                  <c:v>43429293</c:v>
                </c:pt>
                <c:pt idx="1018">
                  <c:v>25954142</c:v>
                </c:pt>
                <c:pt idx="1019">
                  <c:v>13160617</c:v>
                </c:pt>
                <c:pt idx="1020">
                  <c:v>26675953</c:v>
                </c:pt>
                <c:pt idx="1021">
                  <c:v>51546288</c:v>
                </c:pt>
                <c:pt idx="1022">
                  <c:v>28125203</c:v>
                </c:pt>
                <c:pt idx="1023">
                  <c:v>24070563</c:v>
                </c:pt>
                <c:pt idx="1024">
                  <c:v>19850516</c:v>
                </c:pt>
                <c:pt idx="1025">
                  <c:v>29148891</c:v>
                </c:pt>
                <c:pt idx="1026">
                  <c:v>31776555</c:v>
                </c:pt>
                <c:pt idx="1027">
                  <c:v>110568108</c:v>
                </c:pt>
                <c:pt idx="1028">
                  <c:v>43631374</c:v>
                </c:pt>
                <c:pt idx="1029">
                  <c:v>47283127</c:v>
                </c:pt>
                <c:pt idx="1030">
                  <c:v>70655961</c:v>
                </c:pt>
                <c:pt idx="1031">
                  <c:v>41495834</c:v>
                </c:pt>
                <c:pt idx="1032">
                  <c:v>125490301</c:v>
                </c:pt>
                <c:pt idx="1033">
                  <c:v>105818897</c:v>
                </c:pt>
                <c:pt idx="1034">
                  <c:v>53643263</c:v>
                </c:pt>
                <c:pt idx="1035">
                  <c:v>48457781</c:v>
                </c:pt>
                <c:pt idx="1036">
                  <c:v>57744414</c:v>
                </c:pt>
                <c:pt idx="1037">
                  <c:v>23764654</c:v>
                </c:pt>
                <c:pt idx="1038">
                  <c:v>22131983</c:v>
                </c:pt>
                <c:pt idx="1039">
                  <c:v>48471357</c:v>
                </c:pt>
                <c:pt idx="1040">
                  <c:v>24967899</c:v>
                </c:pt>
                <c:pt idx="1041">
                  <c:v>24712182</c:v>
                </c:pt>
                <c:pt idx="1042">
                  <c:v>28999164</c:v>
                </c:pt>
                <c:pt idx="1043">
                  <c:v>44672447</c:v>
                </c:pt>
                <c:pt idx="1044">
                  <c:v>31785089</c:v>
                </c:pt>
                <c:pt idx="1045">
                  <c:v>67607822</c:v>
                </c:pt>
                <c:pt idx="1046">
                  <c:v>58321158</c:v>
                </c:pt>
                <c:pt idx="1047">
                  <c:v>48304263</c:v>
                </c:pt>
                <c:pt idx="1048">
                  <c:v>63925996</c:v>
                </c:pt>
                <c:pt idx="1049">
                  <c:v>35617404</c:v>
                </c:pt>
                <c:pt idx="1050">
                  <c:v>42970983</c:v>
                </c:pt>
                <c:pt idx="1051">
                  <c:v>56427360</c:v>
                </c:pt>
                <c:pt idx="1052">
                  <c:v>34952401</c:v>
                </c:pt>
                <c:pt idx="1053">
                  <c:v>49067837</c:v>
                </c:pt>
                <c:pt idx="1054">
                  <c:v>18024083</c:v>
                </c:pt>
                <c:pt idx="1055">
                  <c:v>26891799</c:v>
                </c:pt>
                <c:pt idx="1056">
                  <c:v>19527333</c:v>
                </c:pt>
                <c:pt idx="1057">
                  <c:v>18245270</c:v>
                </c:pt>
                <c:pt idx="1058">
                  <c:v>18925262</c:v>
                </c:pt>
                <c:pt idx="1059">
                  <c:v>26546469</c:v>
                </c:pt>
                <c:pt idx="1060">
                  <c:v>15741000</c:v>
                </c:pt>
                <c:pt idx="1061">
                  <c:v>22768284</c:v>
                </c:pt>
                <c:pt idx="1062">
                  <c:v>23695667</c:v>
                </c:pt>
                <c:pt idx="1063">
                  <c:v>40986353</c:v>
                </c:pt>
                <c:pt idx="1064">
                  <c:v>41834797</c:v>
                </c:pt>
                <c:pt idx="1065">
                  <c:v>23775053</c:v>
                </c:pt>
                <c:pt idx="1066">
                  <c:v>22386185</c:v>
                </c:pt>
                <c:pt idx="1067">
                  <c:v>19551630</c:v>
                </c:pt>
                <c:pt idx="1068">
                  <c:v>23255609</c:v>
                </c:pt>
                <c:pt idx="1069">
                  <c:v>26990063</c:v>
                </c:pt>
                <c:pt idx="1070">
                  <c:v>60322445</c:v>
                </c:pt>
                <c:pt idx="1071">
                  <c:v>65227495</c:v>
                </c:pt>
                <c:pt idx="1072">
                  <c:v>39684395</c:v>
                </c:pt>
                <c:pt idx="1073">
                  <c:v>30853963</c:v>
                </c:pt>
                <c:pt idx="1074">
                  <c:v>35693450</c:v>
                </c:pt>
                <c:pt idx="1075">
                  <c:v>22152332</c:v>
                </c:pt>
                <c:pt idx="1076">
                  <c:v>28009042</c:v>
                </c:pt>
                <c:pt idx="1077">
                  <c:v>28425948</c:v>
                </c:pt>
                <c:pt idx="1078">
                  <c:v>15893346</c:v>
                </c:pt>
                <c:pt idx="1079">
                  <c:v>31385396</c:v>
                </c:pt>
                <c:pt idx="1080">
                  <c:v>24222956</c:v>
                </c:pt>
                <c:pt idx="1081">
                  <c:v>41659179</c:v>
                </c:pt>
                <c:pt idx="1082">
                  <c:v>45411815</c:v>
                </c:pt>
                <c:pt idx="1083">
                  <c:v>23180456</c:v>
                </c:pt>
                <c:pt idx="1084">
                  <c:v>45307312</c:v>
                </c:pt>
                <c:pt idx="1085">
                  <c:v>48984610</c:v>
                </c:pt>
                <c:pt idx="1086">
                  <c:v>26595992</c:v>
                </c:pt>
                <c:pt idx="1087">
                  <c:v>20950589</c:v>
                </c:pt>
                <c:pt idx="1088">
                  <c:v>7767144</c:v>
                </c:pt>
                <c:pt idx="1089">
                  <c:v>28198725</c:v>
                </c:pt>
                <c:pt idx="1090">
                  <c:v>46367792</c:v>
                </c:pt>
                <c:pt idx="1091">
                  <c:v>63318644</c:v>
                </c:pt>
                <c:pt idx="1092">
                  <c:v>57459436</c:v>
                </c:pt>
                <c:pt idx="1093">
                  <c:v>35286484</c:v>
                </c:pt>
                <c:pt idx="1094">
                  <c:v>34252005</c:v>
                </c:pt>
                <c:pt idx="1095">
                  <c:v>26997641</c:v>
                </c:pt>
                <c:pt idx="1096">
                  <c:v>18808819</c:v>
                </c:pt>
                <c:pt idx="1097">
                  <c:v>22602903</c:v>
                </c:pt>
                <c:pt idx="1098">
                  <c:v>14370649</c:v>
                </c:pt>
                <c:pt idx="1099">
                  <c:v>16347325</c:v>
                </c:pt>
                <c:pt idx="1100">
                  <c:v>21007139</c:v>
                </c:pt>
                <c:pt idx="1101">
                  <c:v>16820774</c:v>
                </c:pt>
                <c:pt idx="1102">
                  <c:v>45885092</c:v>
                </c:pt>
                <c:pt idx="1103">
                  <c:v>16080575</c:v>
                </c:pt>
                <c:pt idx="1104">
                  <c:v>20145584</c:v>
                </c:pt>
                <c:pt idx="1105">
                  <c:v>22044107</c:v>
                </c:pt>
                <c:pt idx="1106">
                  <c:v>16478833</c:v>
                </c:pt>
                <c:pt idx="1107">
                  <c:v>16148741</c:v>
                </c:pt>
                <c:pt idx="1108">
                  <c:v>19016521</c:v>
                </c:pt>
                <c:pt idx="1109">
                  <c:v>20227056</c:v>
                </c:pt>
                <c:pt idx="1110">
                  <c:v>27116799</c:v>
                </c:pt>
                <c:pt idx="1111">
                  <c:v>38216229</c:v>
                </c:pt>
                <c:pt idx="1112">
                  <c:v>35684395</c:v>
                </c:pt>
                <c:pt idx="1113">
                  <c:v>66250422</c:v>
                </c:pt>
                <c:pt idx="1114">
                  <c:v>22373277</c:v>
                </c:pt>
                <c:pt idx="1115">
                  <c:v>25502126</c:v>
                </c:pt>
                <c:pt idx="1116">
                  <c:v>16286540</c:v>
                </c:pt>
                <c:pt idx="1117">
                  <c:v>21885190</c:v>
                </c:pt>
                <c:pt idx="1118">
                  <c:v>24298942</c:v>
                </c:pt>
                <c:pt idx="1119">
                  <c:v>19756417</c:v>
                </c:pt>
                <c:pt idx="1120">
                  <c:v>18481590</c:v>
                </c:pt>
                <c:pt idx="1121">
                  <c:v>25615786</c:v>
                </c:pt>
                <c:pt idx="1122">
                  <c:v>23194638</c:v>
                </c:pt>
                <c:pt idx="1123">
                  <c:v>26625318</c:v>
                </c:pt>
                <c:pt idx="1124">
                  <c:v>31486355</c:v>
                </c:pt>
                <c:pt idx="1125">
                  <c:v>61785000</c:v>
                </c:pt>
                <c:pt idx="1126">
                  <c:v>18529108</c:v>
                </c:pt>
                <c:pt idx="1127">
                  <c:v>23891325</c:v>
                </c:pt>
                <c:pt idx="1128">
                  <c:v>29782789</c:v>
                </c:pt>
                <c:pt idx="1129">
                  <c:v>33933262</c:v>
                </c:pt>
                <c:pt idx="1130">
                  <c:v>50641398</c:v>
                </c:pt>
                <c:pt idx="1131">
                  <c:v>30771790</c:v>
                </c:pt>
                <c:pt idx="1132">
                  <c:v>30992032</c:v>
                </c:pt>
                <c:pt idx="1133">
                  <c:v>19255948</c:v>
                </c:pt>
                <c:pt idx="1134">
                  <c:v>17784303</c:v>
                </c:pt>
                <c:pt idx="1135">
                  <c:v>27829564</c:v>
                </c:pt>
                <c:pt idx="1136">
                  <c:v>25589032</c:v>
                </c:pt>
                <c:pt idx="1137">
                  <c:v>32660563</c:v>
                </c:pt>
                <c:pt idx="1138">
                  <c:v>41389019</c:v>
                </c:pt>
                <c:pt idx="1139">
                  <c:v>15691462</c:v>
                </c:pt>
                <c:pt idx="1140">
                  <c:v>20585374</c:v>
                </c:pt>
                <c:pt idx="1141">
                  <c:v>39779151</c:v>
                </c:pt>
                <c:pt idx="1142">
                  <c:v>96994911</c:v>
                </c:pt>
                <c:pt idx="1143">
                  <c:v>34645487</c:v>
                </c:pt>
                <c:pt idx="1144">
                  <c:v>47212216</c:v>
                </c:pt>
                <c:pt idx="1145">
                  <c:v>22631175</c:v>
                </c:pt>
                <c:pt idx="1146">
                  <c:v>15199264</c:v>
                </c:pt>
                <c:pt idx="1147">
                  <c:v>14737317</c:v>
                </c:pt>
                <c:pt idx="1148">
                  <c:v>17233813</c:v>
                </c:pt>
                <c:pt idx="1149">
                  <c:v>16910449</c:v>
                </c:pt>
                <c:pt idx="1150">
                  <c:v>15474353</c:v>
                </c:pt>
                <c:pt idx="1151">
                  <c:v>12488159</c:v>
                </c:pt>
                <c:pt idx="1152">
                  <c:v>11740766</c:v>
                </c:pt>
                <c:pt idx="1153">
                  <c:v>28751298</c:v>
                </c:pt>
                <c:pt idx="1154">
                  <c:v>22698888</c:v>
                </c:pt>
                <c:pt idx="1155">
                  <c:v>21287010</c:v>
                </c:pt>
                <c:pt idx="1156">
                  <c:v>55142972</c:v>
                </c:pt>
                <c:pt idx="1157">
                  <c:v>16474505</c:v>
                </c:pt>
                <c:pt idx="1158">
                  <c:v>20911818</c:v>
                </c:pt>
                <c:pt idx="1159">
                  <c:v>17886089</c:v>
                </c:pt>
                <c:pt idx="1160">
                  <c:v>48768332</c:v>
                </c:pt>
                <c:pt idx="1161">
                  <c:v>17187619</c:v>
                </c:pt>
                <c:pt idx="1162">
                  <c:v>13265411</c:v>
                </c:pt>
                <c:pt idx="1163">
                  <c:v>16652851</c:v>
                </c:pt>
                <c:pt idx="1164">
                  <c:v>16315231</c:v>
                </c:pt>
                <c:pt idx="1165">
                  <c:v>14831635</c:v>
                </c:pt>
                <c:pt idx="1166">
                  <c:v>19287132</c:v>
                </c:pt>
                <c:pt idx="1167">
                  <c:v>22645697</c:v>
                </c:pt>
                <c:pt idx="1168">
                  <c:v>60183102</c:v>
                </c:pt>
                <c:pt idx="1169">
                  <c:v>31488108</c:v>
                </c:pt>
                <c:pt idx="1170">
                  <c:v>32572133</c:v>
                </c:pt>
                <c:pt idx="1171">
                  <c:v>28010715</c:v>
                </c:pt>
                <c:pt idx="1172">
                  <c:v>18914963</c:v>
                </c:pt>
                <c:pt idx="1173">
                  <c:v>14882294</c:v>
                </c:pt>
                <c:pt idx="1174">
                  <c:v>22144320</c:v>
                </c:pt>
                <c:pt idx="1175">
                  <c:v>23776757</c:v>
                </c:pt>
                <c:pt idx="1176">
                  <c:v>18474376</c:v>
                </c:pt>
                <c:pt idx="1177">
                  <c:v>20297515</c:v>
                </c:pt>
                <c:pt idx="1178">
                  <c:v>16191544</c:v>
                </c:pt>
                <c:pt idx="1179">
                  <c:v>18769502</c:v>
                </c:pt>
                <c:pt idx="1180">
                  <c:v>21274354</c:v>
                </c:pt>
                <c:pt idx="1181">
                  <c:v>31263172</c:v>
                </c:pt>
                <c:pt idx="1182">
                  <c:v>34710176</c:v>
                </c:pt>
                <c:pt idx="1183">
                  <c:v>37893277</c:v>
                </c:pt>
                <c:pt idx="1184">
                  <c:v>39320871</c:v>
                </c:pt>
                <c:pt idx="1185">
                  <c:v>44297953</c:v>
                </c:pt>
                <c:pt idx="1186">
                  <c:v>41210494</c:v>
                </c:pt>
                <c:pt idx="1187">
                  <c:v>91503336</c:v>
                </c:pt>
                <c:pt idx="1188">
                  <c:v>71956002</c:v>
                </c:pt>
                <c:pt idx="1189">
                  <c:v>75574255</c:v>
                </c:pt>
                <c:pt idx="1190">
                  <c:v>54652978</c:v>
                </c:pt>
                <c:pt idx="1191">
                  <c:v>26546793</c:v>
                </c:pt>
                <c:pt idx="1192">
                  <c:v>31395991</c:v>
                </c:pt>
                <c:pt idx="1193">
                  <c:v>30531449</c:v>
                </c:pt>
                <c:pt idx="1194">
                  <c:v>28887489</c:v>
                </c:pt>
                <c:pt idx="1195">
                  <c:v>24027295</c:v>
                </c:pt>
                <c:pt idx="1196">
                  <c:v>27636105</c:v>
                </c:pt>
                <c:pt idx="1197">
                  <c:v>24462536</c:v>
                </c:pt>
                <c:pt idx="1198">
                  <c:v>22562768</c:v>
                </c:pt>
                <c:pt idx="1199">
                  <c:v>19847133</c:v>
                </c:pt>
                <c:pt idx="1200">
                  <c:v>27199665</c:v>
                </c:pt>
                <c:pt idx="1201">
                  <c:v>39914264</c:v>
                </c:pt>
                <c:pt idx="1202">
                  <c:v>19551313</c:v>
                </c:pt>
                <c:pt idx="1203">
                  <c:v>14629659</c:v>
                </c:pt>
                <c:pt idx="1204">
                  <c:v>21996048</c:v>
                </c:pt>
                <c:pt idx="1205">
                  <c:v>18979188</c:v>
                </c:pt>
                <c:pt idx="1206">
                  <c:v>22631373</c:v>
                </c:pt>
                <c:pt idx="1207">
                  <c:v>28508405</c:v>
                </c:pt>
                <c:pt idx="1208">
                  <c:v>35834621</c:v>
                </c:pt>
                <c:pt idx="1209">
                  <c:v>24578072</c:v>
                </c:pt>
                <c:pt idx="1210">
                  <c:v>24546119</c:v>
                </c:pt>
                <c:pt idx="1211">
                  <c:v>53233404</c:v>
                </c:pt>
                <c:pt idx="1212">
                  <c:v>39013770</c:v>
                </c:pt>
                <c:pt idx="1213">
                  <c:v>58382197</c:v>
                </c:pt>
                <c:pt idx="1214">
                  <c:v>25320734</c:v>
                </c:pt>
                <c:pt idx="1215">
                  <c:v>20142171</c:v>
                </c:pt>
                <c:pt idx="1216">
                  <c:v>20801299</c:v>
                </c:pt>
                <c:pt idx="1217">
                  <c:v>14950243</c:v>
                </c:pt>
                <c:pt idx="1218">
                  <c:v>14949993</c:v>
                </c:pt>
                <c:pt idx="1219">
                  <c:v>20015124</c:v>
                </c:pt>
                <c:pt idx="1220">
                  <c:v>21387527</c:v>
                </c:pt>
                <c:pt idx="1221">
                  <c:v>18095473</c:v>
                </c:pt>
                <c:pt idx="1222">
                  <c:v>25307015</c:v>
                </c:pt>
                <c:pt idx="1223">
                  <c:v>24249585</c:v>
                </c:pt>
                <c:pt idx="1224">
                  <c:v>65586734</c:v>
                </c:pt>
                <c:pt idx="1225">
                  <c:v>17707577</c:v>
                </c:pt>
                <c:pt idx="1226">
                  <c:v>30294317</c:v>
                </c:pt>
                <c:pt idx="1227">
                  <c:v>30164713</c:v>
                </c:pt>
                <c:pt idx="1228">
                  <c:v>21461067</c:v>
                </c:pt>
                <c:pt idx="1229">
                  <c:v>17802635</c:v>
                </c:pt>
                <c:pt idx="1230">
                  <c:v>13085703</c:v>
                </c:pt>
                <c:pt idx="1231">
                  <c:v>18049697</c:v>
                </c:pt>
                <c:pt idx="1232">
                  <c:v>32968029</c:v>
                </c:pt>
                <c:pt idx="1233">
                  <c:v>25163402</c:v>
                </c:pt>
                <c:pt idx="1234">
                  <c:v>23333661</c:v>
                </c:pt>
                <c:pt idx="1235">
                  <c:v>35764287</c:v>
                </c:pt>
                <c:pt idx="1236">
                  <c:v>26667421</c:v>
                </c:pt>
                <c:pt idx="1237">
                  <c:v>27080032</c:v>
                </c:pt>
                <c:pt idx="1238">
                  <c:v>49092699</c:v>
                </c:pt>
                <c:pt idx="1239">
                  <c:v>17744169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6-47D1-AFF3-05C06014A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0388848"/>
        <c:axId val="1230389328"/>
      </c:lineChart>
      <c:catAx>
        <c:axId val="123038884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89328"/>
        <c:crosses val="autoZero"/>
        <c:auto val="1"/>
        <c:lblAlgn val="ctr"/>
        <c:lblOffset val="100"/>
        <c:noMultiLvlLbl val="0"/>
      </c:catAx>
      <c:valAx>
        <c:axId val="12303893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3888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rgbClr val="002060">
                  <a:alpha val="92000"/>
                </a:srgbClr>
              </a:solidFill>
            </a:ln>
          </c:spPr>
          <c:marker>
            <c:symbol val="none"/>
          </c:marker>
          <c:cat>
            <c:numRef>
              <c:f>'Share Price'!$A$2:$A$1243</c:f>
              <c:numCache>
                <c:formatCode>mmm\-yy</c:formatCode>
                <c:ptCount val="1242"/>
              </c:numCache>
            </c:numRef>
          </c:cat>
          <c:val>
            <c:numRef>
              <c:f>'Share Price'!$B$2:$B$1243</c:f>
              <c:numCache>
                <c:formatCode>General</c:formatCode>
                <c:ptCount val="1242"/>
                <c:pt idx="0" formatCode="d\-mmm\-yy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1-4044-84C3-CB71C7A5F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5408"/>
        <c:axId val="151435520"/>
      </c:lineChart>
      <c:catAx>
        <c:axId val="1514254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51435520"/>
        <c:crosses val="autoZero"/>
        <c:auto val="1"/>
        <c:lblAlgn val="ctr"/>
        <c:lblOffset val="100"/>
        <c:noMultiLvlLbl val="1"/>
      </c:catAx>
      <c:valAx>
        <c:axId val="151435520"/>
        <c:scaling>
          <c:orientation val="minMax"/>
          <c:max val="500"/>
          <c:min val="100"/>
        </c:scaling>
        <c:delete val="0"/>
        <c:axPos val="l"/>
        <c:numFmt formatCode="d\-mmm\-yy" sourceLinked="1"/>
        <c:majorTickMark val="none"/>
        <c:minorTickMark val="none"/>
        <c:tickLblPos val="nextTo"/>
        <c:crossAx val="151425408"/>
        <c:crosses val="autoZero"/>
        <c:crossBetween val="between"/>
      </c:valAx>
    </c:plotArea>
    <c:plotVisOnly val="1"/>
    <c:dispBlanksAs val="gap"/>
    <c:showDLblsOverMax val="0"/>
  </c:chart>
  <c:spPr>
    <a:ln w="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3967830113949538"/>
          <c:y val="0.21705426356589147"/>
          <c:w val="0.57288996725182528"/>
          <c:h val="0.77260981912144699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7A3-4578-A82D-914768F22AD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7A3-4578-A82D-914768F22AD8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5-37A3-4578-A82D-914768F22AD8}"/>
              </c:ext>
            </c:extLst>
          </c:dPt>
          <c:dLbls>
            <c:dLbl>
              <c:idx val="0"/>
              <c:layout>
                <c:manualLayout>
                  <c:x val="-0.32222222222222224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A3-4578-A82D-914768F22AD8}"/>
                </c:ext>
              </c:extLst>
            </c:dLbl>
            <c:dLbl>
              <c:idx val="1"/>
              <c:layout>
                <c:manualLayout>
                  <c:x val="-0.36388888888888887"/>
                  <c:y val="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7A3-4578-A82D-914768F22AD8}"/>
                </c:ext>
              </c:extLst>
            </c:dLbl>
            <c:dLbl>
              <c:idx val="2"/>
              <c:layout>
                <c:manualLayout>
                  <c:x val="-0.1638888888888888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3-4578-A82D-914768F22A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'Share Price'!$R$21:$R$23</c:f>
              <c:strCache>
                <c:ptCount val="3"/>
                <c:pt idx="0">
                  <c:v>DIIs</c:v>
                </c:pt>
                <c:pt idx="1">
                  <c:v>FIIs</c:v>
                </c:pt>
                <c:pt idx="2">
                  <c:v>Public &amp; Government</c:v>
                </c:pt>
              </c:strCache>
            </c:strRef>
          </c:cat>
          <c:val>
            <c:numRef>
              <c:f>'Share Price'!$S$21:$S$23</c:f>
              <c:numCache>
                <c:formatCode>0.00%</c:formatCode>
                <c:ptCount val="3"/>
                <c:pt idx="0">
                  <c:v>0.44909999999999994</c:v>
                </c:pt>
                <c:pt idx="1">
                  <c:v>0.4017</c:v>
                </c:pt>
                <c:pt idx="2">
                  <c:v>0.14920000000000003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A3-4578-A82D-914768F22A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52217472"/>
        <c:axId val="173479040"/>
      </c:barChart>
      <c:catAx>
        <c:axId val="1522174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73479040"/>
        <c:crosses val="autoZero"/>
        <c:auto val="1"/>
        <c:lblAlgn val="ctr"/>
        <c:lblOffset val="100"/>
        <c:noMultiLvlLbl val="0"/>
      </c:catAx>
      <c:valAx>
        <c:axId val="17347904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5221747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11508176862506"/>
          <c:y val="0.2499776698343546"/>
          <c:w val="0.78676854742269642"/>
          <c:h val="0.41167986913353816"/>
        </c:manualLayout>
      </c:layout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'Share Price'!$E$4:$E$1240</c:f>
              <c:numCache>
                <c:formatCode>d\-mmm\-yy</c:formatCode>
                <c:ptCount val="1237"/>
              </c:numCache>
            </c:numRef>
          </c:cat>
          <c:val>
            <c:numRef>
              <c:f>'Share Price'!$F$4:$F$1240</c:f>
              <c:numCache>
                <c:formatCode>0.0"M"</c:formatCode>
                <c:ptCount val="1237"/>
              </c:numCache>
            </c:numRef>
          </c:val>
          <c:extLst>
            <c:ext xmlns:c16="http://schemas.microsoft.com/office/drawing/2014/chart" uri="{C3380CC4-5D6E-409C-BE32-E72D297353CC}">
              <c16:uniqueId val="{00000000-0FB6-452D-B851-C8764B422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281072"/>
        <c:axId val="1534264272"/>
      </c:areaChart>
      <c:catAx>
        <c:axId val="1534281072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64272"/>
        <c:crosses val="autoZero"/>
        <c:auto val="1"/>
        <c:lblAlgn val="ctr"/>
        <c:lblOffset val="100"/>
        <c:noMultiLvlLbl val="0"/>
      </c:catAx>
      <c:valAx>
        <c:axId val="153426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8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1011697479578"/>
          <c:y val="3.8850703133397904E-2"/>
          <c:w val="0.8316118398323431"/>
          <c:h val="0.48386627850309361"/>
        </c:manualLayout>
      </c:layout>
      <c:lineChart>
        <c:grouping val="standard"/>
        <c:varyColors val="0"/>
        <c:ser>
          <c:idx val="0"/>
          <c:order val="0"/>
          <c:tx>
            <c:strRef>
              <c:f>'[1]yahoo-2025-04-12'!$B$1</c:f>
              <c:strCache>
                <c:ptCount val="1"/>
                <c:pt idx="0">
                  <c:v>Share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'[1]yahoo-2025-04-12'!$A$2:$A$1241</c:f>
              <c:strCache>
                <c:ptCount val="1240"/>
                <c:pt idx="0">
                  <c:v>Apr 11, 2025</c:v>
                </c:pt>
                <c:pt idx="1">
                  <c:v>Apr 9, 2025</c:v>
                </c:pt>
                <c:pt idx="2">
                  <c:v>Apr 8, 2025</c:v>
                </c:pt>
                <c:pt idx="3">
                  <c:v>Apr 7, 2025</c:v>
                </c:pt>
                <c:pt idx="4">
                  <c:v>Apr 4, 2025</c:v>
                </c:pt>
                <c:pt idx="5">
                  <c:v>Apr 3, 2025</c:v>
                </c:pt>
                <c:pt idx="6">
                  <c:v>Apr 2, 2025</c:v>
                </c:pt>
                <c:pt idx="7">
                  <c:v>Apr 1, 2025</c:v>
                </c:pt>
                <c:pt idx="8">
                  <c:v>Mar 28, 2025</c:v>
                </c:pt>
                <c:pt idx="9">
                  <c:v>Mar 27, 2025</c:v>
                </c:pt>
                <c:pt idx="10">
                  <c:v>Mar 26, 2025</c:v>
                </c:pt>
                <c:pt idx="11">
                  <c:v>Mar 25, 2025</c:v>
                </c:pt>
                <c:pt idx="12">
                  <c:v>Mar 24, 2025</c:v>
                </c:pt>
                <c:pt idx="13">
                  <c:v>Mar 21, 2025</c:v>
                </c:pt>
                <c:pt idx="14">
                  <c:v>Mar 20, 2025</c:v>
                </c:pt>
                <c:pt idx="15">
                  <c:v>Mar 19, 2025</c:v>
                </c:pt>
                <c:pt idx="16">
                  <c:v>Mar 18, 2025</c:v>
                </c:pt>
                <c:pt idx="17">
                  <c:v>Mar 17, 2025</c:v>
                </c:pt>
                <c:pt idx="18">
                  <c:v>Mar 13, 2025</c:v>
                </c:pt>
                <c:pt idx="19">
                  <c:v>Mar 12, 2025</c:v>
                </c:pt>
                <c:pt idx="20">
                  <c:v>Mar 11, 2025</c:v>
                </c:pt>
                <c:pt idx="21">
                  <c:v>Mar 10, 2025</c:v>
                </c:pt>
                <c:pt idx="22">
                  <c:v>Mar 7, 2025</c:v>
                </c:pt>
                <c:pt idx="23">
                  <c:v>Mar 6, 2025</c:v>
                </c:pt>
                <c:pt idx="24">
                  <c:v>Mar 5, 2025</c:v>
                </c:pt>
                <c:pt idx="25">
                  <c:v>Mar 4, 2025</c:v>
                </c:pt>
                <c:pt idx="26">
                  <c:v>Mar 3, 2025</c:v>
                </c:pt>
                <c:pt idx="27">
                  <c:v>Feb 28, 2025</c:v>
                </c:pt>
                <c:pt idx="28">
                  <c:v>Feb 27, 2025</c:v>
                </c:pt>
                <c:pt idx="29">
                  <c:v>Feb 25, 2025</c:v>
                </c:pt>
                <c:pt idx="30">
                  <c:v>Feb 24, 2025</c:v>
                </c:pt>
                <c:pt idx="31">
                  <c:v>Feb 21, 2025</c:v>
                </c:pt>
                <c:pt idx="32">
                  <c:v>Feb 20, 2025</c:v>
                </c:pt>
                <c:pt idx="33">
                  <c:v>Feb 19, 2025</c:v>
                </c:pt>
                <c:pt idx="34">
                  <c:v>Feb 18, 2025</c:v>
                </c:pt>
                <c:pt idx="35">
                  <c:v>Feb 17, 2025</c:v>
                </c:pt>
                <c:pt idx="36">
                  <c:v>Feb 14, 2025</c:v>
                </c:pt>
                <c:pt idx="37">
                  <c:v>Feb 13, 2025</c:v>
                </c:pt>
                <c:pt idx="38">
                  <c:v>Feb 12, 2025</c:v>
                </c:pt>
                <c:pt idx="39">
                  <c:v>Feb 11, 2025</c:v>
                </c:pt>
                <c:pt idx="40">
                  <c:v>Feb 10, 2025</c:v>
                </c:pt>
                <c:pt idx="41">
                  <c:v>Feb 7, 2025</c:v>
                </c:pt>
                <c:pt idx="42">
                  <c:v>Feb 6, 2025</c:v>
                </c:pt>
                <c:pt idx="43">
                  <c:v>Feb 5, 2025</c:v>
                </c:pt>
                <c:pt idx="44">
                  <c:v>Feb 4, 2025</c:v>
                </c:pt>
                <c:pt idx="45">
                  <c:v>Feb 3, 2025</c:v>
                </c:pt>
                <c:pt idx="46">
                  <c:v>Feb 1, 2025</c:v>
                </c:pt>
                <c:pt idx="47">
                  <c:v>Jan 31, 2025</c:v>
                </c:pt>
                <c:pt idx="48">
                  <c:v>Jan 30, 2025</c:v>
                </c:pt>
                <c:pt idx="49">
                  <c:v>Jan 29, 2025</c:v>
                </c:pt>
                <c:pt idx="50">
                  <c:v>Jan 28, 2025</c:v>
                </c:pt>
                <c:pt idx="51">
                  <c:v>Jan 27, 2025</c:v>
                </c:pt>
                <c:pt idx="52">
                  <c:v>Jan 24, 2025</c:v>
                </c:pt>
                <c:pt idx="53">
                  <c:v>Jan 23, 2025</c:v>
                </c:pt>
                <c:pt idx="54">
                  <c:v>Jan 22, 2025</c:v>
                </c:pt>
                <c:pt idx="55">
                  <c:v>Jan 21, 2025</c:v>
                </c:pt>
                <c:pt idx="56">
                  <c:v>Jan 20, 2025</c:v>
                </c:pt>
                <c:pt idx="57">
                  <c:v>Jan 17, 2025</c:v>
                </c:pt>
                <c:pt idx="58">
                  <c:v>Jan 16, 2025</c:v>
                </c:pt>
                <c:pt idx="59">
                  <c:v>Jan 15, 2025</c:v>
                </c:pt>
                <c:pt idx="60">
                  <c:v>Jan 14, 2025</c:v>
                </c:pt>
                <c:pt idx="61">
                  <c:v>Jan 13, 2025</c:v>
                </c:pt>
                <c:pt idx="62">
                  <c:v>Jan 10, 2025</c:v>
                </c:pt>
                <c:pt idx="63">
                  <c:v>Jan 9, 2025</c:v>
                </c:pt>
                <c:pt idx="64">
                  <c:v>Jan 8, 2025</c:v>
                </c:pt>
                <c:pt idx="65">
                  <c:v>Jan 7, 2025</c:v>
                </c:pt>
                <c:pt idx="66">
                  <c:v>Jan 6, 2025</c:v>
                </c:pt>
                <c:pt idx="67">
                  <c:v>Jan 3, 2025</c:v>
                </c:pt>
                <c:pt idx="68">
                  <c:v>Jan 2, 2025</c:v>
                </c:pt>
                <c:pt idx="69">
                  <c:v>Jan 1, 2025</c:v>
                </c:pt>
                <c:pt idx="70">
                  <c:v>Dec 31, 2024</c:v>
                </c:pt>
                <c:pt idx="71">
                  <c:v>Dec 30, 2024</c:v>
                </c:pt>
                <c:pt idx="72">
                  <c:v>Dec 27, 2024</c:v>
                </c:pt>
                <c:pt idx="73">
                  <c:v>Dec 26, 2024</c:v>
                </c:pt>
                <c:pt idx="74">
                  <c:v>Dec 24, 2024</c:v>
                </c:pt>
                <c:pt idx="75">
                  <c:v>Dec 23, 2024</c:v>
                </c:pt>
                <c:pt idx="76">
                  <c:v>Dec 20, 2024</c:v>
                </c:pt>
                <c:pt idx="77">
                  <c:v>Dec 19, 2024</c:v>
                </c:pt>
                <c:pt idx="78">
                  <c:v>Dec 18, 2024</c:v>
                </c:pt>
                <c:pt idx="79">
                  <c:v>Dec 17, 2024</c:v>
                </c:pt>
                <c:pt idx="80">
                  <c:v>Dec 16, 2024</c:v>
                </c:pt>
                <c:pt idx="81">
                  <c:v>Dec 13, 2024</c:v>
                </c:pt>
                <c:pt idx="82">
                  <c:v>Dec 12, 2024</c:v>
                </c:pt>
                <c:pt idx="83">
                  <c:v>Dec 11, 2024</c:v>
                </c:pt>
                <c:pt idx="84">
                  <c:v>Dec 10, 2024</c:v>
                </c:pt>
                <c:pt idx="85">
                  <c:v>Dec 9, 2024</c:v>
                </c:pt>
                <c:pt idx="86">
                  <c:v>Dec 6, 2024</c:v>
                </c:pt>
                <c:pt idx="87">
                  <c:v>Dec 5, 2024</c:v>
                </c:pt>
                <c:pt idx="88">
                  <c:v>Dec 4, 2024</c:v>
                </c:pt>
                <c:pt idx="89">
                  <c:v>Dec 3, 2024</c:v>
                </c:pt>
                <c:pt idx="90">
                  <c:v>Dec 2, 2024</c:v>
                </c:pt>
                <c:pt idx="91">
                  <c:v>Nov 29, 2024</c:v>
                </c:pt>
                <c:pt idx="92">
                  <c:v>Nov 28, 2024</c:v>
                </c:pt>
                <c:pt idx="93">
                  <c:v>Nov 27, 2024</c:v>
                </c:pt>
                <c:pt idx="94">
                  <c:v>Nov 26, 2024</c:v>
                </c:pt>
                <c:pt idx="95">
                  <c:v>Nov 25, 2024</c:v>
                </c:pt>
                <c:pt idx="96">
                  <c:v>Nov 22, 2024</c:v>
                </c:pt>
                <c:pt idx="97">
                  <c:v>Nov 21, 2024</c:v>
                </c:pt>
                <c:pt idx="98">
                  <c:v>Nov 19, 2024</c:v>
                </c:pt>
                <c:pt idx="99">
                  <c:v>Nov 18, 2024</c:v>
                </c:pt>
                <c:pt idx="100">
                  <c:v>Nov 14, 2024</c:v>
                </c:pt>
                <c:pt idx="101">
                  <c:v>Nov 13, 2024</c:v>
                </c:pt>
                <c:pt idx="102">
                  <c:v>Nov 12, 2024</c:v>
                </c:pt>
                <c:pt idx="103">
                  <c:v>Nov 11, 2024</c:v>
                </c:pt>
                <c:pt idx="104">
                  <c:v>Nov 8, 2024</c:v>
                </c:pt>
                <c:pt idx="105">
                  <c:v>Nov 7, 2024</c:v>
                </c:pt>
                <c:pt idx="106">
                  <c:v>Nov 6, 2024</c:v>
                </c:pt>
                <c:pt idx="107">
                  <c:v>Nov 5, 2024</c:v>
                </c:pt>
                <c:pt idx="108">
                  <c:v>Nov 4, 2024</c:v>
                </c:pt>
                <c:pt idx="109">
                  <c:v>Nov 1, 2024</c:v>
                </c:pt>
                <c:pt idx="110">
                  <c:v>Oct 31, 2024</c:v>
                </c:pt>
                <c:pt idx="111">
                  <c:v>Oct 30, 2024</c:v>
                </c:pt>
                <c:pt idx="112">
                  <c:v>Oct 29, 2024</c:v>
                </c:pt>
                <c:pt idx="113">
                  <c:v>Oct 28, 2024</c:v>
                </c:pt>
                <c:pt idx="114">
                  <c:v>Oct 25, 2024</c:v>
                </c:pt>
                <c:pt idx="115">
                  <c:v>Oct 24, 2024</c:v>
                </c:pt>
                <c:pt idx="116">
                  <c:v>Oct 23, 2024</c:v>
                </c:pt>
                <c:pt idx="117">
                  <c:v>Oct 22, 2024</c:v>
                </c:pt>
                <c:pt idx="118">
                  <c:v>Oct 21, 2024</c:v>
                </c:pt>
                <c:pt idx="119">
                  <c:v>Oct 18, 2024</c:v>
                </c:pt>
                <c:pt idx="120">
                  <c:v>Oct 17, 2024</c:v>
                </c:pt>
                <c:pt idx="121">
                  <c:v>Oct 16, 2024</c:v>
                </c:pt>
                <c:pt idx="122">
                  <c:v>Oct 15, 2024</c:v>
                </c:pt>
                <c:pt idx="123">
                  <c:v>Oct 14, 2024</c:v>
                </c:pt>
                <c:pt idx="124">
                  <c:v>Oct 11, 2024</c:v>
                </c:pt>
                <c:pt idx="125">
                  <c:v>Oct 10, 2024</c:v>
                </c:pt>
                <c:pt idx="126">
                  <c:v>Oct 9, 2024</c:v>
                </c:pt>
                <c:pt idx="127">
                  <c:v>Oct 8, 2024</c:v>
                </c:pt>
                <c:pt idx="128">
                  <c:v>Oct 7, 2024</c:v>
                </c:pt>
                <c:pt idx="129">
                  <c:v>Oct 4, 2024</c:v>
                </c:pt>
                <c:pt idx="130">
                  <c:v>Oct 3, 2024</c:v>
                </c:pt>
                <c:pt idx="131">
                  <c:v>Oct 1, 2024</c:v>
                </c:pt>
                <c:pt idx="132">
                  <c:v>Sep 30, 2024</c:v>
                </c:pt>
                <c:pt idx="133">
                  <c:v>Sep 27, 2024</c:v>
                </c:pt>
                <c:pt idx="134">
                  <c:v>Sep 26, 2024</c:v>
                </c:pt>
                <c:pt idx="135">
                  <c:v>Sep 25, 2024</c:v>
                </c:pt>
                <c:pt idx="136">
                  <c:v>Sep 24, 2024</c:v>
                </c:pt>
                <c:pt idx="137">
                  <c:v>Sep 23, 2024</c:v>
                </c:pt>
                <c:pt idx="138">
                  <c:v>Sep 20, 2024</c:v>
                </c:pt>
                <c:pt idx="139">
                  <c:v>Sep 19, 2024</c:v>
                </c:pt>
                <c:pt idx="140">
                  <c:v>Sep 18, 2024</c:v>
                </c:pt>
                <c:pt idx="141">
                  <c:v>Sep 17, 2024</c:v>
                </c:pt>
                <c:pt idx="142">
                  <c:v>Sep 16, 2024</c:v>
                </c:pt>
                <c:pt idx="143">
                  <c:v>Sep 13, 2024</c:v>
                </c:pt>
                <c:pt idx="144">
                  <c:v>Sep 12, 2024</c:v>
                </c:pt>
                <c:pt idx="145">
                  <c:v>Sep 11, 2024</c:v>
                </c:pt>
                <c:pt idx="146">
                  <c:v>Sep 10, 2024</c:v>
                </c:pt>
                <c:pt idx="147">
                  <c:v>Sep 9, 2024</c:v>
                </c:pt>
                <c:pt idx="148">
                  <c:v>Sep 6, 2024</c:v>
                </c:pt>
                <c:pt idx="149">
                  <c:v>Sep 5, 2024</c:v>
                </c:pt>
                <c:pt idx="150">
                  <c:v>Sep 4, 2024</c:v>
                </c:pt>
                <c:pt idx="151">
                  <c:v>Sep 3, 2024</c:v>
                </c:pt>
                <c:pt idx="152">
                  <c:v>Sep 2, 2024</c:v>
                </c:pt>
                <c:pt idx="153">
                  <c:v>Aug 30, 2024</c:v>
                </c:pt>
                <c:pt idx="154">
                  <c:v>Aug 29, 2024</c:v>
                </c:pt>
                <c:pt idx="155">
                  <c:v>Aug 28, 2024</c:v>
                </c:pt>
                <c:pt idx="156">
                  <c:v>Aug 27, 2024</c:v>
                </c:pt>
                <c:pt idx="157">
                  <c:v>Aug 26, 2024</c:v>
                </c:pt>
                <c:pt idx="158">
                  <c:v>Aug 23, 2024</c:v>
                </c:pt>
                <c:pt idx="159">
                  <c:v>Aug 22, 2024</c:v>
                </c:pt>
                <c:pt idx="160">
                  <c:v>Aug 21, 2024</c:v>
                </c:pt>
                <c:pt idx="161">
                  <c:v>Aug 20, 2024</c:v>
                </c:pt>
                <c:pt idx="162">
                  <c:v>Aug 19, 2024</c:v>
                </c:pt>
                <c:pt idx="163">
                  <c:v>Aug 16, 2024</c:v>
                </c:pt>
                <c:pt idx="164">
                  <c:v>Aug 14, 2024</c:v>
                </c:pt>
                <c:pt idx="165">
                  <c:v>Aug 13, 2024</c:v>
                </c:pt>
                <c:pt idx="166">
                  <c:v>Aug 12, 2024</c:v>
                </c:pt>
                <c:pt idx="167">
                  <c:v>Aug 9, 2024</c:v>
                </c:pt>
                <c:pt idx="168">
                  <c:v>Aug 8, 2024</c:v>
                </c:pt>
                <c:pt idx="169">
                  <c:v>Aug 7, 2024</c:v>
                </c:pt>
                <c:pt idx="170">
                  <c:v>Aug 6, 2024</c:v>
                </c:pt>
                <c:pt idx="171">
                  <c:v>Aug 5, 2024</c:v>
                </c:pt>
                <c:pt idx="172">
                  <c:v>Aug 2, 2024</c:v>
                </c:pt>
                <c:pt idx="173">
                  <c:v>Aug 1, 2024</c:v>
                </c:pt>
                <c:pt idx="174">
                  <c:v>Jul 31, 2024</c:v>
                </c:pt>
                <c:pt idx="175">
                  <c:v>Jul 30, 2024</c:v>
                </c:pt>
                <c:pt idx="176">
                  <c:v>Jul 29, 2024</c:v>
                </c:pt>
                <c:pt idx="177">
                  <c:v>Jul 26, 2024</c:v>
                </c:pt>
                <c:pt idx="178">
                  <c:v>Jul 25, 2024</c:v>
                </c:pt>
                <c:pt idx="179">
                  <c:v>Jul 24, 2024</c:v>
                </c:pt>
                <c:pt idx="180">
                  <c:v>Jul 23, 2024</c:v>
                </c:pt>
                <c:pt idx="181">
                  <c:v>Jul 22, 2024</c:v>
                </c:pt>
                <c:pt idx="182">
                  <c:v>Jul 19, 2024</c:v>
                </c:pt>
                <c:pt idx="183">
                  <c:v>Jul 18, 2024</c:v>
                </c:pt>
                <c:pt idx="184">
                  <c:v>Jul 16, 2024</c:v>
                </c:pt>
                <c:pt idx="185">
                  <c:v>Jul 15, 2024</c:v>
                </c:pt>
                <c:pt idx="186">
                  <c:v>Jul 12, 2024</c:v>
                </c:pt>
                <c:pt idx="187">
                  <c:v>Jul 11, 2024</c:v>
                </c:pt>
                <c:pt idx="188">
                  <c:v>Jul 10, 2024</c:v>
                </c:pt>
                <c:pt idx="189">
                  <c:v>Jul 9, 2024</c:v>
                </c:pt>
                <c:pt idx="190">
                  <c:v>Jul 8, 2024</c:v>
                </c:pt>
                <c:pt idx="191">
                  <c:v>Jul 5, 2024</c:v>
                </c:pt>
                <c:pt idx="192">
                  <c:v>Jul 4, 2024</c:v>
                </c:pt>
                <c:pt idx="193">
                  <c:v>Jul 3, 2024</c:v>
                </c:pt>
                <c:pt idx="194">
                  <c:v>Jul 2, 2024</c:v>
                </c:pt>
                <c:pt idx="195">
                  <c:v>Jul 1, 2024</c:v>
                </c:pt>
                <c:pt idx="196">
                  <c:v>Jun 28, 2024</c:v>
                </c:pt>
                <c:pt idx="197">
                  <c:v>Jun 27, 2024</c:v>
                </c:pt>
                <c:pt idx="198">
                  <c:v>Jun 26, 2024</c:v>
                </c:pt>
                <c:pt idx="199">
                  <c:v>Jun 25, 2024</c:v>
                </c:pt>
                <c:pt idx="200">
                  <c:v>Jun 24, 2024</c:v>
                </c:pt>
                <c:pt idx="201">
                  <c:v>Jun 21, 2024</c:v>
                </c:pt>
                <c:pt idx="202">
                  <c:v>Jun 20, 2024</c:v>
                </c:pt>
                <c:pt idx="203">
                  <c:v>Jun 19, 2024</c:v>
                </c:pt>
                <c:pt idx="204">
                  <c:v>Jun 18, 2024</c:v>
                </c:pt>
                <c:pt idx="205">
                  <c:v>Jun 14, 2024</c:v>
                </c:pt>
                <c:pt idx="206">
                  <c:v>Jun 13, 2024</c:v>
                </c:pt>
                <c:pt idx="207">
                  <c:v>Jun 12, 2024</c:v>
                </c:pt>
                <c:pt idx="208">
                  <c:v>Jun 11, 2024</c:v>
                </c:pt>
                <c:pt idx="209">
                  <c:v>Jun 10, 2024</c:v>
                </c:pt>
                <c:pt idx="210">
                  <c:v>Jun 7, 2024</c:v>
                </c:pt>
                <c:pt idx="211">
                  <c:v>Jun 6, 2024</c:v>
                </c:pt>
                <c:pt idx="212">
                  <c:v>Jun 5, 2024</c:v>
                </c:pt>
                <c:pt idx="213">
                  <c:v>Jun 4, 2024</c:v>
                </c:pt>
                <c:pt idx="214">
                  <c:v>Jun 3, 2024</c:v>
                </c:pt>
                <c:pt idx="215">
                  <c:v>May 31, 2024</c:v>
                </c:pt>
                <c:pt idx="216">
                  <c:v>May 30, 2024</c:v>
                </c:pt>
                <c:pt idx="217">
                  <c:v>May 29, 2024</c:v>
                </c:pt>
                <c:pt idx="218">
                  <c:v>May 28, 2024</c:v>
                </c:pt>
                <c:pt idx="219">
                  <c:v>May 27, 2024</c:v>
                </c:pt>
                <c:pt idx="220">
                  <c:v>May 24, 2024</c:v>
                </c:pt>
                <c:pt idx="221">
                  <c:v>May 23, 2024</c:v>
                </c:pt>
                <c:pt idx="222">
                  <c:v>May 22, 2024</c:v>
                </c:pt>
                <c:pt idx="223">
                  <c:v>May 21, 2024</c:v>
                </c:pt>
                <c:pt idx="224">
                  <c:v>May 17, 2024</c:v>
                </c:pt>
                <c:pt idx="225">
                  <c:v>May 16, 2024</c:v>
                </c:pt>
                <c:pt idx="226">
                  <c:v>May 15, 2024</c:v>
                </c:pt>
                <c:pt idx="227">
                  <c:v>May 14, 2024</c:v>
                </c:pt>
                <c:pt idx="228">
                  <c:v>May 13, 2024</c:v>
                </c:pt>
                <c:pt idx="229">
                  <c:v>May 10, 2024</c:v>
                </c:pt>
                <c:pt idx="230">
                  <c:v>May 9, 2024</c:v>
                </c:pt>
                <c:pt idx="231">
                  <c:v>May 8, 2024</c:v>
                </c:pt>
                <c:pt idx="232">
                  <c:v>May 7, 2024</c:v>
                </c:pt>
                <c:pt idx="233">
                  <c:v>May 6, 2024</c:v>
                </c:pt>
                <c:pt idx="234">
                  <c:v>May 3, 2024</c:v>
                </c:pt>
                <c:pt idx="235">
                  <c:v>May 2, 2024</c:v>
                </c:pt>
                <c:pt idx="236">
                  <c:v>Apr 30, 2024</c:v>
                </c:pt>
                <c:pt idx="237">
                  <c:v>Apr 29, 2024</c:v>
                </c:pt>
                <c:pt idx="238">
                  <c:v>Apr 26, 2024</c:v>
                </c:pt>
                <c:pt idx="239">
                  <c:v>Apr 25, 2024</c:v>
                </c:pt>
                <c:pt idx="240">
                  <c:v>Apr 24, 2024</c:v>
                </c:pt>
                <c:pt idx="241">
                  <c:v>Apr 23, 2024</c:v>
                </c:pt>
                <c:pt idx="242">
                  <c:v>Apr 22, 2024</c:v>
                </c:pt>
                <c:pt idx="243">
                  <c:v>Apr 19, 2024</c:v>
                </c:pt>
                <c:pt idx="244">
                  <c:v>Apr 18, 2024</c:v>
                </c:pt>
                <c:pt idx="245">
                  <c:v>Apr 16, 2024</c:v>
                </c:pt>
                <c:pt idx="246">
                  <c:v>Apr 15, 2024</c:v>
                </c:pt>
                <c:pt idx="247">
                  <c:v>Apr 12, 2024</c:v>
                </c:pt>
                <c:pt idx="248">
                  <c:v>Apr 10, 2024</c:v>
                </c:pt>
                <c:pt idx="249">
                  <c:v>Apr 9, 2024</c:v>
                </c:pt>
                <c:pt idx="250">
                  <c:v>Apr 8, 2024</c:v>
                </c:pt>
                <c:pt idx="251">
                  <c:v>Apr 5, 2024</c:v>
                </c:pt>
                <c:pt idx="252">
                  <c:v>Apr 4, 2024</c:v>
                </c:pt>
                <c:pt idx="253">
                  <c:v>Apr 3, 2024</c:v>
                </c:pt>
                <c:pt idx="254">
                  <c:v>Apr 2, 2024</c:v>
                </c:pt>
                <c:pt idx="255">
                  <c:v>Apr 1, 2024</c:v>
                </c:pt>
                <c:pt idx="256">
                  <c:v>Mar 28, 2024</c:v>
                </c:pt>
                <c:pt idx="257">
                  <c:v>Mar 27, 2024</c:v>
                </c:pt>
                <c:pt idx="258">
                  <c:v>Mar 26, 2024</c:v>
                </c:pt>
                <c:pt idx="259">
                  <c:v>Mar 22, 2024</c:v>
                </c:pt>
                <c:pt idx="260">
                  <c:v>Mar 21, 2024</c:v>
                </c:pt>
                <c:pt idx="261">
                  <c:v>Mar 20, 2024</c:v>
                </c:pt>
                <c:pt idx="262">
                  <c:v>Mar 19, 2024</c:v>
                </c:pt>
                <c:pt idx="263">
                  <c:v>Mar 18, 2024</c:v>
                </c:pt>
                <c:pt idx="264">
                  <c:v>Mar 15, 2024</c:v>
                </c:pt>
                <c:pt idx="265">
                  <c:v>Mar 14, 2024</c:v>
                </c:pt>
                <c:pt idx="266">
                  <c:v>Mar 13, 2024</c:v>
                </c:pt>
                <c:pt idx="267">
                  <c:v>Mar 12, 2024</c:v>
                </c:pt>
                <c:pt idx="268">
                  <c:v>Mar 11, 2024</c:v>
                </c:pt>
                <c:pt idx="269">
                  <c:v>Mar 7, 2024</c:v>
                </c:pt>
                <c:pt idx="270">
                  <c:v>Mar 6, 2024</c:v>
                </c:pt>
                <c:pt idx="271">
                  <c:v>Mar 5, 2024</c:v>
                </c:pt>
                <c:pt idx="272">
                  <c:v>Mar 4, 2024</c:v>
                </c:pt>
                <c:pt idx="273">
                  <c:v>Mar 1, 2024</c:v>
                </c:pt>
                <c:pt idx="274">
                  <c:v>Feb 29, 2024</c:v>
                </c:pt>
                <c:pt idx="275">
                  <c:v>Feb 28, 2024</c:v>
                </c:pt>
                <c:pt idx="276">
                  <c:v>Feb 27, 2024</c:v>
                </c:pt>
                <c:pt idx="277">
                  <c:v>Feb 26, 2024</c:v>
                </c:pt>
                <c:pt idx="278">
                  <c:v>Feb 23, 2024</c:v>
                </c:pt>
                <c:pt idx="279">
                  <c:v>Feb 22, 2024</c:v>
                </c:pt>
                <c:pt idx="280">
                  <c:v>Feb 21, 2024</c:v>
                </c:pt>
                <c:pt idx="281">
                  <c:v>Feb 20, 2024</c:v>
                </c:pt>
                <c:pt idx="282">
                  <c:v>Feb 19, 2024</c:v>
                </c:pt>
                <c:pt idx="283">
                  <c:v>Feb 16, 2024</c:v>
                </c:pt>
                <c:pt idx="284">
                  <c:v>Feb 15, 2024</c:v>
                </c:pt>
                <c:pt idx="285">
                  <c:v>Feb 14, 2024</c:v>
                </c:pt>
                <c:pt idx="286">
                  <c:v>Feb 13, 2024</c:v>
                </c:pt>
                <c:pt idx="287">
                  <c:v>Feb 12, 2024</c:v>
                </c:pt>
                <c:pt idx="288">
                  <c:v>Feb 9, 2024</c:v>
                </c:pt>
                <c:pt idx="289">
                  <c:v>Feb 8, 2024</c:v>
                </c:pt>
                <c:pt idx="290">
                  <c:v>Feb 7, 2024</c:v>
                </c:pt>
                <c:pt idx="291">
                  <c:v>Feb 6, 2024</c:v>
                </c:pt>
                <c:pt idx="292">
                  <c:v>Feb 5, 2024</c:v>
                </c:pt>
                <c:pt idx="293">
                  <c:v>Feb 2, 2024</c:v>
                </c:pt>
                <c:pt idx="294">
                  <c:v>Feb 1, 2024</c:v>
                </c:pt>
                <c:pt idx="295">
                  <c:v>Jan 31, 2024</c:v>
                </c:pt>
                <c:pt idx="296">
                  <c:v>Jan 30, 2024</c:v>
                </c:pt>
                <c:pt idx="297">
                  <c:v>Jan 29, 2024</c:v>
                </c:pt>
                <c:pt idx="298">
                  <c:v>Jan 25, 2024</c:v>
                </c:pt>
                <c:pt idx="299">
                  <c:v>Jan 24, 2024</c:v>
                </c:pt>
                <c:pt idx="300">
                  <c:v>Jan 23, 2024</c:v>
                </c:pt>
                <c:pt idx="301">
                  <c:v>Jan 19, 2024</c:v>
                </c:pt>
                <c:pt idx="302">
                  <c:v>Jan 18, 2024</c:v>
                </c:pt>
                <c:pt idx="303">
                  <c:v>Jan 17, 2024</c:v>
                </c:pt>
                <c:pt idx="304">
                  <c:v>Jan 16, 2024</c:v>
                </c:pt>
                <c:pt idx="305">
                  <c:v>Jan 15, 2024</c:v>
                </c:pt>
                <c:pt idx="306">
                  <c:v>Jan 12, 2024</c:v>
                </c:pt>
                <c:pt idx="307">
                  <c:v>Jan 11, 2024</c:v>
                </c:pt>
                <c:pt idx="308">
                  <c:v>Jan 10, 2024</c:v>
                </c:pt>
                <c:pt idx="309">
                  <c:v>Jan 9, 2024</c:v>
                </c:pt>
                <c:pt idx="310">
                  <c:v>Jan 8, 2024</c:v>
                </c:pt>
                <c:pt idx="311">
                  <c:v>Jan 5, 2024</c:v>
                </c:pt>
                <c:pt idx="312">
                  <c:v>Jan 4, 2024</c:v>
                </c:pt>
                <c:pt idx="313">
                  <c:v>Jan 3, 2024</c:v>
                </c:pt>
                <c:pt idx="314">
                  <c:v>Jan 2, 2024</c:v>
                </c:pt>
                <c:pt idx="315">
                  <c:v>Jan 1, 2024</c:v>
                </c:pt>
                <c:pt idx="316">
                  <c:v>Dec 29, 2023</c:v>
                </c:pt>
                <c:pt idx="317">
                  <c:v>Dec 28, 2023</c:v>
                </c:pt>
                <c:pt idx="318">
                  <c:v>Dec 27, 2023</c:v>
                </c:pt>
                <c:pt idx="319">
                  <c:v>Dec 26, 2023</c:v>
                </c:pt>
                <c:pt idx="320">
                  <c:v>Dec 22, 2023</c:v>
                </c:pt>
                <c:pt idx="321">
                  <c:v>Dec 21, 2023</c:v>
                </c:pt>
                <c:pt idx="322">
                  <c:v>Dec 20, 2023</c:v>
                </c:pt>
                <c:pt idx="323">
                  <c:v>Dec 19, 2023</c:v>
                </c:pt>
                <c:pt idx="324">
                  <c:v>Dec 18, 2023</c:v>
                </c:pt>
                <c:pt idx="325">
                  <c:v>Dec 15, 2023</c:v>
                </c:pt>
                <c:pt idx="326">
                  <c:v>Dec 14, 2023</c:v>
                </c:pt>
                <c:pt idx="327">
                  <c:v>Dec 13, 2023</c:v>
                </c:pt>
                <c:pt idx="328">
                  <c:v>Dec 12, 2023</c:v>
                </c:pt>
                <c:pt idx="329">
                  <c:v>Dec 11, 2023</c:v>
                </c:pt>
                <c:pt idx="330">
                  <c:v>Dec 8, 2023</c:v>
                </c:pt>
                <c:pt idx="331">
                  <c:v>Dec 7, 2023</c:v>
                </c:pt>
                <c:pt idx="332">
                  <c:v>Dec 6, 2023</c:v>
                </c:pt>
                <c:pt idx="333">
                  <c:v>Dec 5, 2023</c:v>
                </c:pt>
                <c:pt idx="334">
                  <c:v>Dec 4, 2023</c:v>
                </c:pt>
                <c:pt idx="335">
                  <c:v>Dec 1, 2023</c:v>
                </c:pt>
                <c:pt idx="336">
                  <c:v>Nov 30, 2023</c:v>
                </c:pt>
                <c:pt idx="337">
                  <c:v>Nov 29, 2023</c:v>
                </c:pt>
                <c:pt idx="338">
                  <c:v>Nov 28, 2023</c:v>
                </c:pt>
                <c:pt idx="339">
                  <c:v>Nov 24, 2023</c:v>
                </c:pt>
                <c:pt idx="340">
                  <c:v>Nov 23, 2023</c:v>
                </c:pt>
                <c:pt idx="341">
                  <c:v>Nov 22, 2023</c:v>
                </c:pt>
                <c:pt idx="342">
                  <c:v>Nov 21, 2023</c:v>
                </c:pt>
                <c:pt idx="343">
                  <c:v>Nov 20, 2023</c:v>
                </c:pt>
                <c:pt idx="344">
                  <c:v>Nov 17, 2023</c:v>
                </c:pt>
                <c:pt idx="345">
                  <c:v>Nov 16, 2023</c:v>
                </c:pt>
                <c:pt idx="346">
                  <c:v>Nov 15, 2023</c:v>
                </c:pt>
                <c:pt idx="347">
                  <c:v>Nov 13, 2023</c:v>
                </c:pt>
                <c:pt idx="348">
                  <c:v>Nov 10, 2023</c:v>
                </c:pt>
                <c:pt idx="349">
                  <c:v>Nov 9, 2023</c:v>
                </c:pt>
                <c:pt idx="350">
                  <c:v>Nov 8, 2023</c:v>
                </c:pt>
                <c:pt idx="351">
                  <c:v>Nov 7, 2023</c:v>
                </c:pt>
                <c:pt idx="352">
                  <c:v>Nov 6, 2023</c:v>
                </c:pt>
                <c:pt idx="353">
                  <c:v>Nov 3, 2023</c:v>
                </c:pt>
                <c:pt idx="354">
                  <c:v>Nov 2, 2023</c:v>
                </c:pt>
                <c:pt idx="355">
                  <c:v>Nov 1, 2023</c:v>
                </c:pt>
                <c:pt idx="356">
                  <c:v>Oct 31, 2023</c:v>
                </c:pt>
                <c:pt idx="357">
                  <c:v>Oct 30, 2023</c:v>
                </c:pt>
                <c:pt idx="358">
                  <c:v>Oct 27, 2023</c:v>
                </c:pt>
                <c:pt idx="359">
                  <c:v>Oct 26, 2023</c:v>
                </c:pt>
                <c:pt idx="360">
                  <c:v>Oct 25, 2023</c:v>
                </c:pt>
                <c:pt idx="361">
                  <c:v>Oct 23, 2023</c:v>
                </c:pt>
                <c:pt idx="362">
                  <c:v>Oct 20, 2023</c:v>
                </c:pt>
                <c:pt idx="363">
                  <c:v>Oct 19, 2023</c:v>
                </c:pt>
                <c:pt idx="364">
                  <c:v>Oct 18, 2023</c:v>
                </c:pt>
                <c:pt idx="365">
                  <c:v>Oct 17, 2023</c:v>
                </c:pt>
                <c:pt idx="366">
                  <c:v>Oct 16, 2023</c:v>
                </c:pt>
                <c:pt idx="367">
                  <c:v>Oct 13, 2023</c:v>
                </c:pt>
                <c:pt idx="368">
                  <c:v>Oct 12, 2023</c:v>
                </c:pt>
                <c:pt idx="369">
                  <c:v>Oct 11, 2023</c:v>
                </c:pt>
                <c:pt idx="370">
                  <c:v>Oct 10, 2023</c:v>
                </c:pt>
                <c:pt idx="371">
                  <c:v>Oct 9, 2023</c:v>
                </c:pt>
                <c:pt idx="372">
                  <c:v>Oct 6, 2023</c:v>
                </c:pt>
                <c:pt idx="373">
                  <c:v>Oct 5, 2023</c:v>
                </c:pt>
                <c:pt idx="374">
                  <c:v>Oct 4, 2023</c:v>
                </c:pt>
                <c:pt idx="375">
                  <c:v>Oct 3, 2023</c:v>
                </c:pt>
                <c:pt idx="376">
                  <c:v>Sep 29, 2023</c:v>
                </c:pt>
                <c:pt idx="377">
                  <c:v>Sep 28, 2023</c:v>
                </c:pt>
                <c:pt idx="378">
                  <c:v>Sep 27, 2023</c:v>
                </c:pt>
                <c:pt idx="379">
                  <c:v>Sep 26, 2023</c:v>
                </c:pt>
                <c:pt idx="380">
                  <c:v>Sep 25, 2023</c:v>
                </c:pt>
                <c:pt idx="381">
                  <c:v>Sep 22, 2023</c:v>
                </c:pt>
                <c:pt idx="382">
                  <c:v>Sep 21, 2023</c:v>
                </c:pt>
                <c:pt idx="383">
                  <c:v>Sep 20, 2023</c:v>
                </c:pt>
                <c:pt idx="384">
                  <c:v>Sep 18, 2023</c:v>
                </c:pt>
                <c:pt idx="385">
                  <c:v>Sep 15, 2023</c:v>
                </c:pt>
                <c:pt idx="386">
                  <c:v>Sep 14, 2023</c:v>
                </c:pt>
                <c:pt idx="387">
                  <c:v>Sep 13, 2023</c:v>
                </c:pt>
                <c:pt idx="388">
                  <c:v>Sep 12, 2023</c:v>
                </c:pt>
                <c:pt idx="389">
                  <c:v>Sep 11, 2023</c:v>
                </c:pt>
                <c:pt idx="390">
                  <c:v>Sep 8, 2023</c:v>
                </c:pt>
                <c:pt idx="391">
                  <c:v>Sep 7, 2023</c:v>
                </c:pt>
                <c:pt idx="392">
                  <c:v>Sep 6, 2023</c:v>
                </c:pt>
                <c:pt idx="393">
                  <c:v>Sep 5, 2023</c:v>
                </c:pt>
                <c:pt idx="394">
                  <c:v>Sep 4, 2023</c:v>
                </c:pt>
                <c:pt idx="395">
                  <c:v>Sep 1, 2023</c:v>
                </c:pt>
                <c:pt idx="396">
                  <c:v>Aug 31, 2023</c:v>
                </c:pt>
                <c:pt idx="397">
                  <c:v>Aug 30, 2023</c:v>
                </c:pt>
                <c:pt idx="398">
                  <c:v>Aug 29, 2023</c:v>
                </c:pt>
                <c:pt idx="399">
                  <c:v>Aug 28, 2023</c:v>
                </c:pt>
                <c:pt idx="400">
                  <c:v>Aug 25, 2023</c:v>
                </c:pt>
                <c:pt idx="401">
                  <c:v>Aug 24, 2023</c:v>
                </c:pt>
                <c:pt idx="402">
                  <c:v>Aug 23, 2023</c:v>
                </c:pt>
                <c:pt idx="403">
                  <c:v>Aug 22, 2023</c:v>
                </c:pt>
                <c:pt idx="404">
                  <c:v>Aug 21, 2023</c:v>
                </c:pt>
                <c:pt idx="405">
                  <c:v>Aug 18, 2023</c:v>
                </c:pt>
                <c:pt idx="406">
                  <c:v>Aug 17, 2023</c:v>
                </c:pt>
                <c:pt idx="407">
                  <c:v>Aug 16, 2023</c:v>
                </c:pt>
                <c:pt idx="408">
                  <c:v>Aug 14, 2023</c:v>
                </c:pt>
                <c:pt idx="409">
                  <c:v>Aug 11, 2023</c:v>
                </c:pt>
                <c:pt idx="410">
                  <c:v>Aug 10, 2023</c:v>
                </c:pt>
                <c:pt idx="411">
                  <c:v>Aug 9, 2023</c:v>
                </c:pt>
                <c:pt idx="412">
                  <c:v>Aug 8, 2023</c:v>
                </c:pt>
                <c:pt idx="413">
                  <c:v>Aug 7, 2023</c:v>
                </c:pt>
                <c:pt idx="414">
                  <c:v>Aug 4, 2023</c:v>
                </c:pt>
                <c:pt idx="415">
                  <c:v>Aug 3, 2023</c:v>
                </c:pt>
                <c:pt idx="416">
                  <c:v>Aug 2, 2023</c:v>
                </c:pt>
                <c:pt idx="417">
                  <c:v>Aug 1, 2023</c:v>
                </c:pt>
                <c:pt idx="418">
                  <c:v>Jul 31, 2023</c:v>
                </c:pt>
                <c:pt idx="419">
                  <c:v>Jul 28, 2023</c:v>
                </c:pt>
                <c:pt idx="420">
                  <c:v>Jul 27, 2023</c:v>
                </c:pt>
                <c:pt idx="421">
                  <c:v>Jul 26, 2023</c:v>
                </c:pt>
                <c:pt idx="422">
                  <c:v>Jul 25, 2023</c:v>
                </c:pt>
                <c:pt idx="423">
                  <c:v>Jul 24, 2023</c:v>
                </c:pt>
                <c:pt idx="424">
                  <c:v>Jul 21, 2023</c:v>
                </c:pt>
                <c:pt idx="425">
                  <c:v>Jul 20, 2023</c:v>
                </c:pt>
                <c:pt idx="426">
                  <c:v>Jul 19, 2023</c:v>
                </c:pt>
                <c:pt idx="427">
                  <c:v>Jul 18, 2023</c:v>
                </c:pt>
                <c:pt idx="428">
                  <c:v>Jul 17, 2023</c:v>
                </c:pt>
                <c:pt idx="429">
                  <c:v>Jul 14, 2023</c:v>
                </c:pt>
                <c:pt idx="430">
                  <c:v>Jul 13, 2023</c:v>
                </c:pt>
                <c:pt idx="431">
                  <c:v>Jul 12, 2023</c:v>
                </c:pt>
                <c:pt idx="432">
                  <c:v>Jul 11, 2023</c:v>
                </c:pt>
                <c:pt idx="433">
                  <c:v>Jul 10, 2023</c:v>
                </c:pt>
                <c:pt idx="434">
                  <c:v>Jul 7, 2023</c:v>
                </c:pt>
                <c:pt idx="435">
                  <c:v>Jul 6, 2023</c:v>
                </c:pt>
                <c:pt idx="436">
                  <c:v>Jul 5, 2023</c:v>
                </c:pt>
                <c:pt idx="437">
                  <c:v>Jul 4, 2023</c:v>
                </c:pt>
                <c:pt idx="438">
                  <c:v>Jul 3, 2023</c:v>
                </c:pt>
                <c:pt idx="439">
                  <c:v>Jun 30, 2023</c:v>
                </c:pt>
                <c:pt idx="440">
                  <c:v>Jun 28, 2023</c:v>
                </c:pt>
                <c:pt idx="441">
                  <c:v>Jun 27, 2023</c:v>
                </c:pt>
                <c:pt idx="442">
                  <c:v>Jun 26, 2023</c:v>
                </c:pt>
                <c:pt idx="443">
                  <c:v>Jun 23, 2023</c:v>
                </c:pt>
                <c:pt idx="444">
                  <c:v>Jun 22, 2023</c:v>
                </c:pt>
                <c:pt idx="445">
                  <c:v>Jun 21, 2023</c:v>
                </c:pt>
                <c:pt idx="446">
                  <c:v>Jun 20, 2023</c:v>
                </c:pt>
                <c:pt idx="447">
                  <c:v>Jun 19, 2023</c:v>
                </c:pt>
                <c:pt idx="448">
                  <c:v>Jun 16, 2023</c:v>
                </c:pt>
                <c:pt idx="449">
                  <c:v>Jun 15, 2023</c:v>
                </c:pt>
                <c:pt idx="450">
                  <c:v>Jun 14, 2023</c:v>
                </c:pt>
                <c:pt idx="451">
                  <c:v>Jun 13, 2023</c:v>
                </c:pt>
                <c:pt idx="452">
                  <c:v>Jun 12, 2023</c:v>
                </c:pt>
                <c:pt idx="453">
                  <c:v>Jun 9, 2023</c:v>
                </c:pt>
                <c:pt idx="454">
                  <c:v>Jun 8, 2023</c:v>
                </c:pt>
                <c:pt idx="455">
                  <c:v>Jun 7, 2023</c:v>
                </c:pt>
                <c:pt idx="456">
                  <c:v>Jun 6, 2023</c:v>
                </c:pt>
                <c:pt idx="457">
                  <c:v>Jun 5, 2023</c:v>
                </c:pt>
                <c:pt idx="458">
                  <c:v>Jun 2, 2023</c:v>
                </c:pt>
                <c:pt idx="459">
                  <c:v>Jun 1, 2023</c:v>
                </c:pt>
                <c:pt idx="460">
                  <c:v>May 31, 2023</c:v>
                </c:pt>
                <c:pt idx="461">
                  <c:v>May 30, 2023</c:v>
                </c:pt>
                <c:pt idx="462">
                  <c:v>May 29, 2023</c:v>
                </c:pt>
                <c:pt idx="463">
                  <c:v>May 26, 2023</c:v>
                </c:pt>
                <c:pt idx="464">
                  <c:v>May 25, 2023</c:v>
                </c:pt>
                <c:pt idx="465">
                  <c:v>May 24, 2023</c:v>
                </c:pt>
                <c:pt idx="466">
                  <c:v>May 23, 2023</c:v>
                </c:pt>
                <c:pt idx="467">
                  <c:v>May 22, 2023</c:v>
                </c:pt>
                <c:pt idx="468">
                  <c:v>May 19, 2023</c:v>
                </c:pt>
                <c:pt idx="469">
                  <c:v>May 18, 2023</c:v>
                </c:pt>
                <c:pt idx="470">
                  <c:v>May 17, 2023</c:v>
                </c:pt>
                <c:pt idx="471">
                  <c:v>May 16, 2023</c:v>
                </c:pt>
                <c:pt idx="472">
                  <c:v>May 15, 2023</c:v>
                </c:pt>
                <c:pt idx="473">
                  <c:v>May 12, 2023</c:v>
                </c:pt>
                <c:pt idx="474">
                  <c:v>May 11, 2023</c:v>
                </c:pt>
                <c:pt idx="475">
                  <c:v>May 10, 2023</c:v>
                </c:pt>
                <c:pt idx="476">
                  <c:v>May 9, 2023</c:v>
                </c:pt>
                <c:pt idx="477">
                  <c:v>May 8, 2023</c:v>
                </c:pt>
                <c:pt idx="478">
                  <c:v>May 5, 2023</c:v>
                </c:pt>
                <c:pt idx="479">
                  <c:v>May 4, 2023</c:v>
                </c:pt>
                <c:pt idx="480">
                  <c:v>May 3, 2023</c:v>
                </c:pt>
                <c:pt idx="481">
                  <c:v>May 2, 2023</c:v>
                </c:pt>
                <c:pt idx="482">
                  <c:v>Apr 28, 2023</c:v>
                </c:pt>
                <c:pt idx="483">
                  <c:v>Apr 27, 2023</c:v>
                </c:pt>
                <c:pt idx="484">
                  <c:v>Apr 26, 2023</c:v>
                </c:pt>
                <c:pt idx="485">
                  <c:v>Apr 25, 2023</c:v>
                </c:pt>
                <c:pt idx="486">
                  <c:v>Apr 24, 2023</c:v>
                </c:pt>
                <c:pt idx="487">
                  <c:v>Apr 21, 2023</c:v>
                </c:pt>
                <c:pt idx="488">
                  <c:v>Apr 20, 2023</c:v>
                </c:pt>
                <c:pt idx="489">
                  <c:v>Apr 19, 2023</c:v>
                </c:pt>
                <c:pt idx="490">
                  <c:v>Apr 18, 2023</c:v>
                </c:pt>
                <c:pt idx="491">
                  <c:v>Apr 17, 2023</c:v>
                </c:pt>
                <c:pt idx="492">
                  <c:v>Apr 13, 2023</c:v>
                </c:pt>
                <c:pt idx="493">
                  <c:v>Apr 12, 2023</c:v>
                </c:pt>
                <c:pt idx="494">
                  <c:v>Apr 11, 2023</c:v>
                </c:pt>
                <c:pt idx="495">
                  <c:v>Apr 10, 2023</c:v>
                </c:pt>
                <c:pt idx="496">
                  <c:v>Apr 6, 2023</c:v>
                </c:pt>
                <c:pt idx="497">
                  <c:v>Apr 5, 2023</c:v>
                </c:pt>
                <c:pt idx="498">
                  <c:v>Apr 3, 2023</c:v>
                </c:pt>
                <c:pt idx="499">
                  <c:v>Mar 31, 2023</c:v>
                </c:pt>
                <c:pt idx="500">
                  <c:v>Mar 29, 2023</c:v>
                </c:pt>
                <c:pt idx="501">
                  <c:v>Mar 28, 2023</c:v>
                </c:pt>
                <c:pt idx="502">
                  <c:v>Mar 27, 2023</c:v>
                </c:pt>
                <c:pt idx="503">
                  <c:v>Mar 24, 2023</c:v>
                </c:pt>
                <c:pt idx="504">
                  <c:v>Mar 23, 2023</c:v>
                </c:pt>
                <c:pt idx="505">
                  <c:v>Mar 22, 2023</c:v>
                </c:pt>
                <c:pt idx="506">
                  <c:v>Mar 21, 2023</c:v>
                </c:pt>
                <c:pt idx="507">
                  <c:v>Mar 20, 2023</c:v>
                </c:pt>
                <c:pt idx="508">
                  <c:v>Mar 17, 2023</c:v>
                </c:pt>
                <c:pt idx="509">
                  <c:v>Mar 16, 2023</c:v>
                </c:pt>
                <c:pt idx="510">
                  <c:v>Mar 15, 2023</c:v>
                </c:pt>
                <c:pt idx="511">
                  <c:v>Mar 14, 2023</c:v>
                </c:pt>
                <c:pt idx="512">
                  <c:v>Mar 13, 2023</c:v>
                </c:pt>
                <c:pt idx="513">
                  <c:v>Mar 10, 2023</c:v>
                </c:pt>
                <c:pt idx="514">
                  <c:v>Mar 9, 2023</c:v>
                </c:pt>
                <c:pt idx="515">
                  <c:v>Mar 8, 2023</c:v>
                </c:pt>
                <c:pt idx="516">
                  <c:v>Mar 6, 2023</c:v>
                </c:pt>
                <c:pt idx="517">
                  <c:v>Mar 3, 2023</c:v>
                </c:pt>
                <c:pt idx="518">
                  <c:v>Mar 2, 2023</c:v>
                </c:pt>
                <c:pt idx="519">
                  <c:v>Mar 1, 2023</c:v>
                </c:pt>
                <c:pt idx="520">
                  <c:v>Feb 28, 2023</c:v>
                </c:pt>
                <c:pt idx="521">
                  <c:v>Feb 27, 2023</c:v>
                </c:pt>
                <c:pt idx="522">
                  <c:v>Feb 24, 2023</c:v>
                </c:pt>
                <c:pt idx="523">
                  <c:v>Feb 23, 2023</c:v>
                </c:pt>
                <c:pt idx="524">
                  <c:v>Feb 22, 2023</c:v>
                </c:pt>
                <c:pt idx="525">
                  <c:v>Feb 21, 2023</c:v>
                </c:pt>
                <c:pt idx="526">
                  <c:v>Feb 20, 2023</c:v>
                </c:pt>
                <c:pt idx="527">
                  <c:v>Feb 17, 2023</c:v>
                </c:pt>
                <c:pt idx="528">
                  <c:v>Feb 16, 2023</c:v>
                </c:pt>
                <c:pt idx="529">
                  <c:v>Feb 15, 2023</c:v>
                </c:pt>
                <c:pt idx="530">
                  <c:v>Feb 14, 2023</c:v>
                </c:pt>
                <c:pt idx="531">
                  <c:v>Feb 13, 2023</c:v>
                </c:pt>
                <c:pt idx="532">
                  <c:v>Feb 10, 2023</c:v>
                </c:pt>
                <c:pt idx="533">
                  <c:v>Feb 9, 2023</c:v>
                </c:pt>
                <c:pt idx="534">
                  <c:v>Feb 8, 2023</c:v>
                </c:pt>
                <c:pt idx="535">
                  <c:v>Feb 7, 2023</c:v>
                </c:pt>
                <c:pt idx="536">
                  <c:v>Feb 6, 2023</c:v>
                </c:pt>
                <c:pt idx="537">
                  <c:v>Feb 3, 2023</c:v>
                </c:pt>
                <c:pt idx="538">
                  <c:v>Feb 2, 2023</c:v>
                </c:pt>
                <c:pt idx="539">
                  <c:v>Feb 1, 2023</c:v>
                </c:pt>
                <c:pt idx="540">
                  <c:v>Jan 31, 2023</c:v>
                </c:pt>
                <c:pt idx="541">
                  <c:v>Jan 30, 2023</c:v>
                </c:pt>
                <c:pt idx="542">
                  <c:v>Jan 27, 2023</c:v>
                </c:pt>
                <c:pt idx="543">
                  <c:v>Jan 25, 2023</c:v>
                </c:pt>
                <c:pt idx="544">
                  <c:v>Jan 24, 2023</c:v>
                </c:pt>
                <c:pt idx="545">
                  <c:v>Jan 23, 2023</c:v>
                </c:pt>
                <c:pt idx="546">
                  <c:v>Jan 20, 2023</c:v>
                </c:pt>
                <c:pt idx="547">
                  <c:v>Jan 19, 2023</c:v>
                </c:pt>
                <c:pt idx="548">
                  <c:v>Jan 18, 2023</c:v>
                </c:pt>
                <c:pt idx="549">
                  <c:v>Jan 17, 2023</c:v>
                </c:pt>
                <c:pt idx="550">
                  <c:v>Jan 16, 2023</c:v>
                </c:pt>
                <c:pt idx="551">
                  <c:v>Jan 13, 2023</c:v>
                </c:pt>
                <c:pt idx="552">
                  <c:v>Jan 12, 2023</c:v>
                </c:pt>
                <c:pt idx="553">
                  <c:v>Jan 11, 2023</c:v>
                </c:pt>
                <c:pt idx="554">
                  <c:v>Jan 10, 2023</c:v>
                </c:pt>
                <c:pt idx="555">
                  <c:v>Jan 9, 2023</c:v>
                </c:pt>
                <c:pt idx="556">
                  <c:v>Jan 6, 2023</c:v>
                </c:pt>
                <c:pt idx="557">
                  <c:v>Jan 5, 2023</c:v>
                </c:pt>
                <c:pt idx="558">
                  <c:v>Jan 4, 2023</c:v>
                </c:pt>
                <c:pt idx="559">
                  <c:v>Jan 3, 2023</c:v>
                </c:pt>
                <c:pt idx="560">
                  <c:v>Jan 2, 2023</c:v>
                </c:pt>
                <c:pt idx="561">
                  <c:v>Dec 30, 2022</c:v>
                </c:pt>
                <c:pt idx="562">
                  <c:v>Dec 29, 2022</c:v>
                </c:pt>
                <c:pt idx="563">
                  <c:v>Dec 28, 2022</c:v>
                </c:pt>
                <c:pt idx="564">
                  <c:v>Dec 27, 2022</c:v>
                </c:pt>
                <c:pt idx="565">
                  <c:v>Dec 26, 2022</c:v>
                </c:pt>
                <c:pt idx="566">
                  <c:v>Dec 23, 2022</c:v>
                </c:pt>
                <c:pt idx="567">
                  <c:v>Dec 22, 2022</c:v>
                </c:pt>
                <c:pt idx="568">
                  <c:v>Dec 21, 2022</c:v>
                </c:pt>
                <c:pt idx="569">
                  <c:v>Dec 20, 2022</c:v>
                </c:pt>
                <c:pt idx="570">
                  <c:v>Dec 19, 2022</c:v>
                </c:pt>
                <c:pt idx="571">
                  <c:v>Dec 16, 2022</c:v>
                </c:pt>
                <c:pt idx="572">
                  <c:v>Dec 15, 2022</c:v>
                </c:pt>
                <c:pt idx="573">
                  <c:v>Dec 14, 2022</c:v>
                </c:pt>
                <c:pt idx="574">
                  <c:v>Dec 13, 2022</c:v>
                </c:pt>
                <c:pt idx="575">
                  <c:v>Dec 12, 2022</c:v>
                </c:pt>
                <c:pt idx="576">
                  <c:v>Dec 9, 2022</c:v>
                </c:pt>
                <c:pt idx="577">
                  <c:v>Dec 8, 2022</c:v>
                </c:pt>
                <c:pt idx="578">
                  <c:v>Dec 7, 2022</c:v>
                </c:pt>
                <c:pt idx="579">
                  <c:v>Dec 6, 2022</c:v>
                </c:pt>
                <c:pt idx="580">
                  <c:v>Dec 5, 2022</c:v>
                </c:pt>
                <c:pt idx="581">
                  <c:v>Dec 2, 2022</c:v>
                </c:pt>
                <c:pt idx="582">
                  <c:v>Dec 1, 2022</c:v>
                </c:pt>
                <c:pt idx="583">
                  <c:v>Nov 30, 2022</c:v>
                </c:pt>
                <c:pt idx="584">
                  <c:v>Nov 29, 2022</c:v>
                </c:pt>
                <c:pt idx="585">
                  <c:v>Nov 28, 2022</c:v>
                </c:pt>
                <c:pt idx="586">
                  <c:v>Nov 25, 2022</c:v>
                </c:pt>
                <c:pt idx="587">
                  <c:v>Nov 24, 2022</c:v>
                </c:pt>
                <c:pt idx="588">
                  <c:v>Nov 23, 2022</c:v>
                </c:pt>
                <c:pt idx="589">
                  <c:v>Nov 22, 2022</c:v>
                </c:pt>
                <c:pt idx="590">
                  <c:v>Nov 21, 2022</c:v>
                </c:pt>
                <c:pt idx="591">
                  <c:v>Nov 18, 2022</c:v>
                </c:pt>
                <c:pt idx="592">
                  <c:v>Nov 17, 2022</c:v>
                </c:pt>
                <c:pt idx="593">
                  <c:v>Nov 16, 2022</c:v>
                </c:pt>
                <c:pt idx="594">
                  <c:v>Nov 15, 2022</c:v>
                </c:pt>
                <c:pt idx="595">
                  <c:v>Nov 14, 2022</c:v>
                </c:pt>
                <c:pt idx="596">
                  <c:v>Nov 11, 2022</c:v>
                </c:pt>
                <c:pt idx="597">
                  <c:v>Nov 10, 2022</c:v>
                </c:pt>
                <c:pt idx="598">
                  <c:v>Nov 9, 2022</c:v>
                </c:pt>
                <c:pt idx="599">
                  <c:v>Nov 7, 2022</c:v>
                </c:pt>
                <c:pt idx="600">
                  <c:v>Nov 4, 2022</c:v>
                </c:pt>
                <c:pt idx="601">
                  <c:v>Nov 3, 2022</c:v>
                </c:pt>
                <c:pt idx="602">
                  <c:v>Nov 2, 2022</c:v>
                </c:pt>
                <c:pt idx="603">
                  <c:v>Nov 1, 2022</c:v>
                </c:pt>
                <c:pt idx="604">
                  <c:v>Oct 31, 2022</c:v>
                </c:pt>
                <c:pt idx="605">
                  <c:v>Oct 28, 2022</c:v>
                </c:pt>
                <c:pt idx="606">
                  <c:v>Oct 27, 2022</c:v>
                </c:pt>
                <c:pt idx="607">
                  <c:v>Oct 25, 2022</c:v>
                </c:pt>
                <c:pt idx="608">
                  <c:v>Oct 24, 2022</c:v>
                </c:pt>
                <c:pt idx="609">
                  <c:v>Oct 21, 2022</c:v>
                </c:pt>
                <c:pt idx="610">
                  <c:v>Oct 20, 2022</c:v>
                </c:pt>
                <c:pt idx="611">
                  <c:v>Oct 19, 2022</c:v>
                </c:pt>
                <c:pt idx="612">
                  <c:v>Oct 18, 2022</c:v>
                </c:pt>
                <c:pt idx="613">
                  <c:v>Oct 17, 2022</c:v>
                </c:pt>
                <c:pt idx="614">
                  <c:v>Oct 14, 2022</c:v>
                </c:pt>
                <c:pt idx="615">
                  <c:v>Oct 13, 2022</c:v>
                </c:pt>
                <c:pt idx="616">
                  <c:v>Oct 12, 2022</c:v>
                </c:pt>
                <c:pt idx="617">
                  <c:v>Oct 11, 2022</c:v>
                </c:pt>
                <c:pt idx="618">
                  <c:v>Oct 10, 2022</c:v>
                </c:pt>
                <c:pt idx="619">
                  <c:v>Oct 7, 2022</c:v>
                </c:pt>
                <c:pt idx="620">
                  <c:v>Oct 6, 2022</c:v>
                </c:pt>
                <c:pt idx="621">
                  <c:v>Oct 4, 2022</c:v>
                </c:pt>
                <c:pt idx="622">
                  <c:v>Oct 3, 2022</c:v>
                </c:pt>
                <c:pt idx="623">
                  <c:v>Sep 30, 2022</c:v>
                </c:pt>
                <c:pt idx="624">
                  <c:v>Sep 29, 2022</c:v>
                </c:pt>
                <c:pt idx="625">
                  <c:v>Sep 28, 2022</c:v>
                </c:pt>
                <c:pt idx="626">
                  <c:v>Sep 27, 2022</c:v>
                </c:pt>
                <c:pt idx="627">
                  <c:v>Sep 26, 2022</c:v>
                </c:pt>
                <c:pt idx="628">
                  <c:v>Sep 23, 2022</c:v>
                </c:pt>
                <c:pt idx="629">
                  <c:v>Sep 22, 2022</c:v>
                </c:pt>
                <c:pt idx="630">
                  <c:v>Sep 21, 2022</c:v>
                </c:pt>
                <c:pt idx="631">
                  <c:v>Sep 20, 2022</c:v>
                </c:pt>
                <c:pt idx="632">
                  <c:v>Sep 19, 2022</c:v>
                </c:pt>
                <c:pt idx="633">
                  <c:v>Sep 16, 2022</c:v>
                </c:pt>
                <c:pt idx="634">
                  <c:v>Sep 15, 2022</c:v>
                </c:pt>
                <c:pt idx="635">
                  <c:v>Sep 14, 2022</c:v>
                </c:pt>
                <c:pt idx="636">
                  <c:v>Sep 13, 2022</c:v>
                </c:pt>
                <c:pt idx="637">
                  <c:v>Sep 12, 2022</c:v>
                </c:pt>
                <c:pt idx="638">
                  <c:v>Sep 9, 2022</c:v>
                </c:pt>
                <c:pt idx="639">
                  <c:v>Sep 8, 2022</c:v>
                </c:pt>
                <c:pt idx="640">
                  <c:v>Sep 7, 2022</c:v>
                </c:pt>
                <c:pt idx="641">
                  <c:v>Sep 6, 2022</c:v>
                </c:pt>
                <c:pt idx="642">
                  <c:v>Sep 5, 2022</c:v>
                </c:pt>
                <c:pt idx="643">
                  <c:v>Sep 2, 2022</c:v>
                </c:pt>
                <c:pt idx="644">
                  <c:v>Sep 1, 2022</c:v>
                </c:pt>
                <c:pt idx="645">
                  <c:v>Aug 30, 2022</c:v>
                </c:pt>
                <c:pt idx="646">
                  <c:v>Aug 29, 2022</c:v>
                </c:pt>
                <c:pt idx="647">
                  <c:v>Aug 26, 2022</c:v>
                </c:pt>
                <c:pt idx="648">
                  <c:v>Aug 25, 2022</c:v>
                </c:pt>
                <c:pt idx="649">
                  <c:v>Aug 24, 2022</c:v>
                </c:pt>
                <c:pt idx="650">
                  <c:v>Aug 23, 2022</c:v>
                </c:pt>
                <c:pt idx="651">
                  <c:v>Aug 22, 2022</c:v>
                </c:pt>
                <c:pt idx="652">
                  <c:v>Aug 19, 2022</c:v>
                </c:pt>
                <c:pt idx="653">
                  <c:v>Aug 18, 2022</c:v>
                </c:pt>
                <c:pt idx="654">
                  <c:v>Aug 17, 2022</c:v>
                </c:pt>
                <c:pt idx="655">
                  <c:v>Aug 16, 2022</c:v>
                </c:pt>
                <c:pt idx="656">
                  <c:v>Aug 12, 2022</c:v>
                </c:pt>
                <c:pt idx="657">
                  <c:v>Aug 11, 2022</c:v>
                </c:pt>
                <c:pt idx="658">
                  <c:v>Aug 10, 2022</c:v>
                </c:pt>
                <c:pt idx="659">
                  <c:v>Aug 8, 2022</c:v>
                </c:pt>
                <c:pt idx="660">
                  <c:v>Aug 5, 2022</c:v>
                </c:pt>
                <c:pt idx="661">
                  <c:v>Aug 4, 2022</c:v>
                </c:pt>
                <c:pt idx="662">
                  <c:v>Aug 3, 2022</c:v>
                </c:pt>
                <c:pt idx="663">
                  <c:v>Aug 2, 2022</c:v>
                </c:pt>
                <c:pt idx="664">
                  <c:v>Aug 1, 2022</c:v>
                </c:pt>
                <c:pt idx="665">
                  <c:v>Jul 29, 2022</c:v>
                </c:pt>
                <c:pt idx="666">
                  <c:v>Jul 28, 2022</c:v>
                </c:pt>
                <c:pt idx="667">
                  <c:v>Jul 27, 2022</c:v>
                </c:pt>
                <c:pt idx="668">
                  <c:v>Jul 26, 2022</c:v>
                </c:pt>
                <c:pt idx="669">
                  <c:v>Jul 25, 2022</c:v>
                </c:pt>
                <c:pt idx="670">
                  <c:v>Jul 22, 2022</c:v>
                </c:pt>
                <c:pt idx="671">
                  <c:v>Jul 21, 2022</c:v>
                </c:pt>
                <c:pt idx="672">
                  <c:v>Jul 20, 2022</c:v>
                </c:pt>
                <c:pt idx="673">
                  <c:v>Jul 19, 2022</c:v>
                </c:pt>
                <c:pt idx="674">
                  <c:v>Jul 18, 2022</c:v>
                </c:pt>
                <c:pt idx="675">
                  <c:v>Jul 15, 2022</c:v>
                </c:pt>
                <c:pt idx="676">
                  <c:v>Jul 14, 2022</c:v>
                </c:pt>
                <c:pt idx="677">
                  <c:v>Jul 13, 2022</c:v>
                </c:pt>
                <c:pt idx="678">
                  <c:v>Jul 12, 2022</c:v>
                </c:pt>
                <c:pt idx="679">
                  <c:v>Jul 11, 2022</c:v>
                </c:pt>
                <c:pt idx="680">
                  <c:v>Jul 8, 2022</c:v>
                </c:pt>
                <c:pt idx="681">
                  <c:v>Jul 7, 2022</c:v>
                </c:pt>
                <c:pt idx="682">
                  <c:v>Jul 6, 2022</c:v>
                </c:pt>
                <c:pt idx="683">
                  <c:v>Jul 5, 2022</c:v>
                </c:pt>
                <c:pt idx="684">
                  <c:v>Jul 4, 2022</c:v>
                </c:pt>
                <c:pt idx="685">
                  <c:v>Jul 1, 2022</c:v>
                </c:pt>
                <c:pt idx="686">
                  <c:v>Jun 30, 2022</c:v>
                </c:pt>
                <c:pt idx="687">
                  <c:v>Jun 29, 2022</c:v>
                </c:pt>
                <c:pt idx="688">
                  <c:v>Jun 28, 2022</c:v>
                </c:pt>
                <c:pt idx="689">
                  <c:v>Jun 27, 2022</c:v>
                </c:pt>
                <c:pt idx="690">
                  <c:v>Jun 24, 2022</c:v>
                </c:pt>
                <c:pt idx="691">
                  <c:v>Jun 23, 2022</c:v>
                </c:pt>
                <c:pt idx="692">
                  <c:v>Jun 22, 2022</c:v>
                </c:pt>
                <c:pt idx="693">
                  <c:v>Jun 21, 2022</c:v>
                </c:pt>
                <c:pt idx="694">
                  <c:v>Jun 20, 2022</c:v>
                </c:pt>
                <c:pt idx="695">
                  <c:v>Jun 17, 2022</c:v>
                </c:pt>
                <c:pt idx="696">
                  <c:v>Jun 16, 2022</c:v>
                </c:pt>
                <c:pt idx="697">
                  <c:v>Jun 15, 2022</c:v>
                </c:pt>
                <c:pt idx="698">
                  <c:v>Jun 14, 2022</c:v>
                </c:pt>
                <c:pt idx="699">
                  <c:v>Jun 13, 2022</c:v>
                </c:pt>
                <c:pt idx="700">
                  <c:v>Jun 10, 2022</c:v>
                </c:pt>
                <c:pt idx="701">
                  <c:v>Jun 9, 2022</c:v>
                </c:pt>
                <c:pt idx="702">
                  <c:v>Jun 8, 2022</c:v>
                </c:pt>
                <c:pt idx="703">
                  <c:v>Jun 7, 2022</c:v>
                </c:pt>
                <c:pt idx="704">
                  <c:v>Jun 6, 2022</c:v>
                </c:pt>
                <c:pt idx="705">
                  <c:v>Jun 3, 2022</c:v>
                </c:pt>
                <c:pt idx="706">
                  <c:v>Jun 2, 2022</c:v>
                </c:pt>
                <c:pt idx="707">
                  <c:v>Jun 1, 2022</c:v>
                </c:pt>
                <c:pt idx="708">
                  <c:v>May 31, 2022</c:v>
                </c:pt>
                <c:pt idx="709">
                  <c:v>May 30, 2022</c:v>
                </c:pt>
                <c:pt idx="710">
                  <c:v>May 27, 2022</c:v>
                </c:pt>
                <c:pt idx="711">
                  <c:v>May 26, 2022</c:v>
                </c:pt>
                <c:pt idx="712">
                  <c:v>May 25, 2022</c:v>
                </c:pt>
                <c:pt idx="713">
                  <c:v>May 24, 2022</c:v>
                </c:pt>
                <c:pt idx="714">
                  <c:v>May 23, 2022</c:v>
                </c:pt>
                <c:pt idx="715">
                  <c:v>May 20, 2022</c:v>
                </c:pt>
                <c:pt idx="716">
                  <c:v>May 19, 2022</c:v>
                </c:pt>
                <c:pt idx="717">
                  <c:v>May 18, 2022</c:v>
                </c:pt>
                <c:pt idx="718">
                  <c:v>May 17, 2022</c:v>
                </c:pt>
                <c:pt idx="719">
                  <c:v>May 16, 2022</c:v>
                </c:pt>
                <c:pt idx="720">
                  <c:v>May 13, 2022</c:v>
                </c:pt>
                <c:pt idx="721">
                  <c:v>May 12, 2022</c:v>
                </c:pt>
                <c:pt idx="722">
                  <c:v>May 11, 2022</c:v>
                </c:pt>
                <c:pt idx="723">
                  <c:v>May 10, 2022</c:v>
                </c:pt>
                <c:pt idx="724">
                  <c:v>May 9, 2022</c:v>
                </c:pt>
                <c:pt idx="725">
                  <c:v>May 6, 2022</c:v>
                </c:pt>
                <c:pt idx="726">
                  <c:v>May 5, 2022</c:v>
                </c:pt>
                <c:pt idx="727">
                  <c:v>May 4, 2022</c:v>
                </c:pt>
                <c:pt idx="728">
                  <c:v>May 2, 2022</c:v>
                </c:pt>
                <c:pt idx="729">
                  <c:v>Apr 29, 2022</c:v>
                </c:pt>
                <c:pt idx="730">
                  <c:v>Apr 28, 2022</c:v>
                </c:pt>
                <c:pt idx="731">
                  <c:v>Apr 27, 2022</c:v>
                </c:pt>
                <c:pt idx="732">
                  <c:v>Apr 26, 2022</c:v>
                </c:pt>
                <c:pt idx="733">
                  <c:v>Apr 25, 2022</c:v>
                </c:pt>
                <c:pt idx="734">
                  <c:v>Apr 22, 2022</c:v>
                </c:pt>
                <c:pt idx="735">
                  <c:v>Apr 21, 2022</c:v>
                </c:pt>
                <c:pt idx="736">
                  <c:v>Apr 20, 2022</c:v>
                </c:pt>
                <c:pt idx="737">
                  <c:v>Apr 19, 2022</c:v>
                </c:pt>
                <c:pt idx="738">
                  <c:v>Apr 18, 2022</c:v>
                </c:pt>
                <c:pt idx="739">
                  <c:v>Apr 13, 2022</c:v>
                </c:pt>
                <c:pt idx="740">
                  <c:v>Apr 12, 2022</c:v>
                </c:pt>
                <c:pt idx="741">
                  <c:v>Apr 11, 2022</c:v>
                </c:pt>
                <c:pt idx="742">
                  <c:v>Apr 8, 2022</c:v>
                </c:pt>
                <c:pt idx="743">
                  <c:v>Apr 7, 2022</c:v>
                </c:pt>
                <c:pt idx="744">
                  <c:v>Apr 6, 2022</c:v>
                </c:pt>
                <c:pt idx="745">
                  <c:v>Apr 5, 2022</c:v>
                </c:pt>
                <c:pt idx="746">
                  <c:v>Apr 4, 2022</c:v>
                </c:pt>
                <c:pt idx="747">
                  <c:v>Apr 1, 2022</c:v>
                </c:pt>
                <c:pt idx="748">
                  <c:v>Mar 31, 2022</c:v>
                </c:pt>
                <c:pt idx="749">
                  <c:v>Mar 30, 2022</c:v>
                </c:pt>
                <c:pt idx="750">
                  <c:v>Mar 29, 2022</c:v>
                </c:pt>
                <c:pt idx="751">
                  <c:v>Mar 28, 2022</c:v>
                </c:pt>
                <c:pt idx="752">
                  <c:v>Mar 25, 2022</c:v>
                </c:pt>
                <c:pt idx="753">
                  <c:v>Mar 24, 2022</c:v>
                </c:pt>
                <c:pt idx="754">
                  <c:v>Mar 23, 2022</c:v>
                </c:pt>
                <c:pt idx="755">
                  <c:v>Mar 22, 2022</c:v>
                </c:pt>
                <c:pt idx="756">
                  <c:v>Mar 21, 2022</c:v>
                </c:pt>
                <c:pt idx="757">
                  <c:v>Mar 17, 2022</c:v>
                </c:pt>
                <c:pt idx="758">
                  <c:v>Mar 16, 2022</c:v>
                </c:pt>
                <c:pt idx="759">
                  <c:v>Mar 15, 2022</c:v>
                </c:pt>
                <c:pt idx="760">
                  <c:v>Mar 14, 2022</c:v>
                </c:pt>
                <c:pt idx="761">
                  <c:v>Mar 11, 2022</c:v>
                </c:pt>
                <c:pt idx="762">
                  <c:v>Mar 10, 2022</c:v>
                </c:pt>
                <c:pt idx="763">
                  <c:v>Mar 9, 2022</c:v>
                </c:pt>
                <c:pt idx="764">
                  <c:v>Mar 8, 2022</c:v>
                </c:pt>
                <c:pt idx="765">
                  <c:v>Mar 7, 2022</c:v>
                </c:pt>
                <c:pt idx="766">
                  <c:v>Mar 4, 2022</c:v>
                </c:pt>
                <c:pt idx="767">
                  <c:v>Mar 3, 2022</c:v>
                </c:pt>
                <c:pt idx="768">
                  <c:v>Mar 2, 2022</c:v>
                </c:pt>
                <c:pt idx="769">
                  <c:v>Feb 28, 2022</c:v>
                </c:pt>
                <c:pt idx="770">
                  <c:v>Feb 25, 2022</c:v>
                </c:pt>
                <c:pt idx="771">
                  <c:v>Feb 24, 2022</c:v>
                </c:pt>
                <c:pt idx="772">
                  <c:v>Feb 23, 2022</c:v>
                </c:pt>
                <c:pt idx="773">
                  <c:v>Feb 22, 2022</c:v>
                </c:pt>
                <c:pt idx="774">
                  <c:v>Feb 21, 2022</c:v>
                </c:pt>
                <c:pt idx="775">
                  <c:v>Feb 18, 2022</c:v>
                </c:pt>
                <c:pt idx="776">
                  <c:v>Feb 17, 2022</c:v>
                </c:pt>
                <c:pt idx="777">
                  <c:v>Feb 16, 2022</c:v>
                </c:pt>
                <c:pt idx="778">
                  <c:v>Feb 15, 2022</c:v>
                </c:pt>
                <c:pt idx="779">
                  <c:v>Feb 14, 2022</c:v>
                </c:pt>
                <c:pt idx="780">
                  <c:v>Feb 11, 2022</c:v>
                </c:pt>
                <c:pt idx="781">
                  <c:v>Feb 10, 2022</c:v>
                </c:pt>
                <c:pt idx="782">
                  <c:v>Feb 9, 2022</c:v>
                </c:pt>
                <c:pt idx="783">
                  <c:v>Feb 8, 2022</c:v>
                </c:pt>
                <c:pt idx="784">
                  <c:v>Feb 7, 2022</c:v>
                </c:pt>
                <c:pt idx="785">
                  <c:v>Feb 4, 2022</c:v>
                </c:pt>
                <c:pt idx="786">
                  <c:v>Feb 3, 2022</c:v>
                </c:pt>
                <c:pt idx="787">
                  <c:v>Feb 2, 2022</c:v>
                </c:pt>
                <c:pt idx="788">
                  <c:v>Feb 1, 2022</c:v>
                </c:pt>
                <c:pt idx="789">
                  <c:v>Jan 31, 2022</c:v>
                </c:pt>
                <c:pt idx="790">
                  <c:v>Jan 28, 2022</c:v>
                </c:pt>
                <c:pt idx="791">
                  <c:v>Jan 27, 2022</c:v>
                </c:pt>
                <c:pt idx="792">
                  <c:v>Jan 25, 2022</c:v>
                </c:pt>
                <c:pt idx="793">
                  <c:v>Jan 24, 2022</c:v>
                </c:pt>
                <c:pt idx="794">
                  <c:v>Jan 21, 2022</c:v>
                </c:pt>
                <c:pt idx="795">
                  <c:v>Jan 20, 2022</c:v>
                </c:pt>
                <c:pt idx="796">
                  <c:v>Jan 19, 2022</c:v>
                </c:pt>
                <c:pt idx="797">
                  <c:v>Jan 18, 2022</c:v>
                </c:pt>
                <c:pt idx="798">
                  <c:v>Jan 17, 2022</c:v>
                </c:pt>
                <c:pt idx="799">
                  <c:v>Jan 14, 2022</c:v>
                </c:pt>
                <c:pt idx="800">
                  <c:v>Jan 13, 2022</c:v>
                </c:pt>
                <c:pt idx="801">
                  <c:v>Jan 12, 2022</c:v>
                </c:pt>
                <c:pt idx="802">
                  <c:v>Jan 11, 2022</c:v>
                </c:pt>
                <c:pt idx="803">
                  <c:v>Jan 10, 2022</c:v>
                </c:pt>
                <c:pt idx="804">
                  <c:v>Jan 7, 2022</c:v>
                </c:pt>
                <c:pt idx="805">
                  <c:v>Jan 6, 2022</c:v>
                </c:pt>
                <c:pt idx="806">
                  <c:v>Jan 5, 2022</c:v>
                </c:pt>
                <c:pt idx="807">
                  <c:v>Jan 4, 2022</c:v>
                </c:pt>
                <c:pt idx="808">
                  <c:v>Jan 3, 2022</c:v>
                </c:pt>
                <c:pt idx="809">
                  <c:v>Dec 31, 2021</c:v>
                </c:pt>
                <c:pt idx="810">
                  <c:v>Dec 30, 2021</c:v>
                </c:pt>
                <c:pt idx="811">
                  <c:v>Dec 29, 2021</c:v>
                </c:pt>
                <c:pt idx="812">
                  <c:v>Dec 28, 2021</c:v>
                </c:pt>
                <c:pt idx="813">
                  <c:v>Dec 27, 2021</c:v>
                </c:pt>
                <c:pt idx="814">
                  <c:v>Dec 24, 2021</c:v>
                </c:pt>
                <c:pt idx="815">
                  <c:v>Dec 23, 2021</c:v>
                </c:pt>
                <c:pt idx="816">
                  <c:v>Dec 22, 2021</c:v>
                </c:pt>
                <c:pt idx="817">
                  <c:v>Dec 21, 2021</c:v>
                </c:pt>
                <c:pt idx="818">
                  <c:v>Dec 20, 2021</c:v>
                </c:pt>
                <c:pt idx="819">
                  <c:v>Dec 17, 2021</c:v>
                </c:pt>
                <c:pt idx="820">
                  <c:v>Dec 16, 2021</c:v>
                </c:pt>
                <c:pt idx="821">
                  <c:v>Dec 15, 2021</c:v>
                </c:pt>
                <c:pt idx="822">
                  <c:v>Dec 14, 2021</c:v>
                </c:pt>
                <c:pt idx="823">
                  <c:v>Dec 13, 2021</c:v>
                </c:pt>
                <c:pt idx="824">
                  <c:v>Dec 10, 2021</c:v>
                </c:pt>
                <c:pt idx="825">
                  <c:v>Dec 9, 2021</c:v>
                </c:pt>
                <c:pt idx="826">
                  <c:v>Dec 8, 2021</c:v>
                </c:pt>
                <c:pt idx="827">
                  <c:v>Dec 7, 2021</c:v>
                </c:pt>
                <c:pt idx="828">
                  <c:v>Dec 6, 2021</c:v>
                </c:pt>
                <c:pt idx="829">
                  <c:v>Dec 3, 2021</c:v>
                </c:pt>
                <c:pt idx="830">
                  <c:v>Dec 2, 2021</c:v>
                </c:pt>
                <c:pt idx="831">
                  <c:v>Dec 1, 2021</c:v>
                </c:pt>
                <c:pt idx="832">
                  <c:v>Nov 30, 2021</c:v>
                </c:pt>
                <c:pt idx="833">
                  <c:v>Nov 29, 2021</c:v>
                </c:pt>
                <c:pt idx="834">
                  <c:v>Nov 26, 2021</c:v>
                </c:pt>
                <c:pt idx="835">
                  <c:v>Nov 25, 2021</c:v>
                </c:pt>
                <c:pt idx="836">
                  <c:v>Nov 24, 2021</c:v>
                </c:pt>
                <c:pt idx="837">
                  <c:v>Nov 23, 2021</c:v>
                </c:pt>
                <c:pt idx="838">
                  <c:v>Nov 22, 2021</c:v>
                </c:pt>
                <c:pt idx="839">
                  <c:v>Nov 18, 2021</c:v>
                </c:pt>
                <c:pt idx="840">
                  <c:v>Nov 17, 2021</c:v>
                </c:pt>
                <c:pt idx="841">
                  <c:v>Nov 16, 2021</c:v>
                </c:pt>
                <c:pt idx="842">
                  <c:v>Nov 15, 2021</c:v>
                </c:pt>
                <c:pt idx="843">
                  <c:v>Nov 12, 2021</c:v>
                </c:pt>
                <c:pt idx="844">
                  <c:v>Nov 11, 2021</c:v>
                </c:pt>
                <c:pt idx="845">
                  <c:v>Nov 10, 2021</c:v>
                </c:pt>
                <c:pt idx="846">
                  <c:v>Nov 9, 2021</c:v>
                </c:pt>
                <c:pt idx="847">
                  <c:v>Nov 8, 2021</c:v>
                </c:pt>
                <c:pt idx="848">
                  <c:v>Nov 4, 2021</c:v>
                </c:pt>
                <c:pt idx="849">
                  <c:v>Nov 3, 2021</c:v>
                </c:pt>
                <c:pt idx="850">
                  <c:v>Nov 2, 2021</c:v>
                </c:pt>
                <c:pt idx="851">
                  <c:v>Nov 1, 2021</c:v>
                </c:pt>
                <c:pt idx="852">
                  <c:v>Oct 29, 2021</c:v>
                </c:pt>
                <c:pt idx="853">
                  <c:v>Oct 28, 2021</c:v>
                </c:pt>
                <c:pt idx="854">
                  <c:v>Oct 27, 2021</c:v>
                </c:pt>
                <c:pt idx="855">
                  <c:v>Oct 26, 2021</c:v>
                </c:pt>
                <c:pt idx="856">
                  <c:v>Oct 25, 2021</c:v>
                </c:pt>
                <c:pt idx="857">
                  <c:v>Oct 22, 2021</c:v>
                </c:pt>
                <c:pt idx="858">
                  <c:v>Oct 21, 2021</c:v>
                </c:pt>
                <c:pt idx="859">
                  <c:v>Oct 20, 2021</c:v>
                </c:pt>
                <c:pt idx="860">
                  <c:v>Oct 19, 2021</c:v>
                </c:pt>
                <c:pt idx="861">
                  <c:v>Oct 18, 2021</c:v>
                </c:pt>
                <c:pt idx="862">
                  <c:v>Oct 14, 2021</c:v>
                </c:pt>
                <c:pt idx="863">
                  <c:v>Oct 13, 2021</c:v>
                </c:pt>
                <c:pt idx="864">
                  <c:v>Oct 12, 2021</c:v>
                </c:pt>
                <c:pt idx="865">
                  <c:v>Oct 11, 2021</c:v>
                </c:pt>
                <c:pt idx="866">
                  <c:v>Oct 8, 2021</c:v>
                </c:pt>
                <c:pt idx="867">
                  <c:v>Oct 7, 2021</c:v>
                </c:pt>
                <c:pt idx="868">
                  <c:v>Oct 6, 2021</c:v>
                </c:pt>
                <c:pt idx="869">
                  <c:v>Oct 5, 2021</c:v>
                </c:pt>
                <c:pt idx="870">
                  <c:v>Oct 4, 2021</c:v>
                </c:pt>
                <c:pt idx="871">
                  <c:v>Oct 1, 2021</c:v>
                </c:pt>
                <c:pt idx="872">
                  <c:v>Sep 30, 2021</c:v>
                </c:pt>
                <c:pt idx="873">
                  <c:v>Sep 29, 2021</c:v>
                </c:pt>
                <c:pt idx="874">
                  <c:v>Sep 28, 2021</c:v>
                </c:pt>
                <c:pt idx="875">
                  <c:v>Sep 27, 2021</c:v>
                </c:pt>
                <c:pt idx="876">
                  <c:v>Sep 24, 2021</c:v>
                </c:pt>
                <c:pt idx="877">
                  <c:v>Sep 23, 2021</c:v>
                </c:pt>
                <c:pt idx="878">
                  <c:v>Sep 22, 2021</c:v>
                </c:pt>
                <c:pt idx="879">
                  <c:v>Sep 21, 2021</c:v>
                </c:pt>
                <c:pt idx="880">
                  <c:v>Sep 20, 2021</c:v>
                </c:pt>
                <c:pt idx="881">
                  <c:v>Sep 17, 2021</c:v>
                </c:pt>
                <c:pt idx="882">
                  <c:v>Sep 16, 2021</c:v>
                </c:pt>
                <c:pt idx="883">
                  <c:v>Sep 15, 2021</c:v>
                </c:pt>
                <c:pt idx="884">
                  <c:v>Sep 14, 2021</c:v>
                </c:pt>
                <c:pt idx="885">
                  <c:v>Sep 13, 2021</c:v>
                </c:pt>
                <c:pt idx="886">
                  <c:v>Sep 9, 2021</c:v>
                </c:pt>
                <c:pt idx="887">
                  <c:v>Sep 8, 2021</c:v>
                </c:pt>
                <c:pt idx="888">
                  <c:v>Sep 7, 2021</c:v>
                </c:pt>
                <c:pt idx="889">
                  <c:v>Sep 6, 2021</c:v>
                </c:pt>
                <c:pt idx="890">
                  <c:v>Sep 3, 2021</c:v>
                </c:pt>
                <c:pt idx="891">
                  <c:v>Sep 2, 2021</c:v>
                </c:pt>
                <c:pt idx="892">
                  <c:v>Sep 1, 2021</c:v>
                </c:pt>
                <c:pt idx="893">
                  <c:v>Aug 31, 2021</c:v>
                </c:pt>
                <c:pt idx="894">
                  <c:v>Aug 30, 2021</c:v>
                </c:pt>
                <c:pt idx="895">
                  <c:v>Aug 27, 2021</c:v>
                </c:pt>
                <c:pt idx="896">
                  <c:v>Aug 26, 2021</c:v>
                </c:pt>
                <c:pt idx="897">
                  <c:v>Aug 25, 2021</c:v>
                </c:pt>
                <c:pt idx="898">
                  <c:v>Aug 24, 2021</c:v>
                </c:pt>
                <c:pt idx="899">
                  <c:v>Aug 23, 2021</c:v>
                </c:pt>
                <c:pt idx="900">
                  <c:v>Aug 20, 2021</c:v>
                </c:pt>
                <c:pt idx="901">
                  <c:v>Aug 18, 2021</c:v>
                </c:pt>
                <c:pt idx="902">
                  <c:v>Aug 17, 2021</c:v>
                </c:pt>
                <c:pt idx="903">
                  <c:v>Aug 16, 2021</c:v>
                </c:pt>
                <c:pt idx="904">
                  <c:v>Aug 13, 2021</c:v>
                </c:pt>
                <c:pt idx="905">
                  <c:v>Aug 12, 2021</c:v>
                </c:pt>
                <c:pt idx="906">
                  <c:v>Aug 11, 2021</c:v>
                </c:pt>
                <c:pt idx="907">
                  <c:v>Aug 10, 2021</c:v>
                </c:pt>
                <c:pt idx="908">
                  <c:v>Aug 9, 2021</c:v>
                </c:pt>
                <c:pt idx="909">
                  <c:v>Aug 6, 2021</c:v>
                </c:pt>
                <c:pt idx="910">
                  <c:v>Aug 5, 2021</c:v>
                </c:pt>
                <c:pt idx="911">
                  <c:v>Aug 4, 2021</c:v>
                </c:pt>
                <c:pt idx="912">
                  <c:v>Aug 3, 2021</c:v>
                </c:pt>
                <c:pt idx="913">
                  <c:v>Aug 2, 2021</c:v>
                </c:pt>
                <c:pt idx="914">
                  <c:v>Jul 30, 2021</c:v>
                </c:pt>
                <c:pt idx="915">
                  <c:v>Jul 29, 2021</c:v>
                </c:pt>
                <c:pt idx="916">
                  <c:v>Jul 28, 2021</c:v>
                </c:pt>
                <c:pt idx="917">
                  <c:v>Jul 27, 2021</c:v>
                </c:pt>
                <c:pt idx="918">
                  <c:v>Jul 26, 2021</c:v>
                </c:pt>
                <c:pt idx="919">
                  <c:v>Jul 23, 2021</c:v>
                </c:pt>
                <c:pt idx="920">
                  <c:v>Jul 22, 2021</c:v>
                </c:pt>
                <c:pt idx="921">
                  <c:v>Jul 20, 2021</c:v>
                </c:pt>
                <c:pt idx="922">
                  <c:v>Jul 19, 2021</c:v>
                </c:pt>
                <c:pt idx="923">
                  <c:v>Jul 16, 2021</c:v>
                </c:pt>
                <c:pt idx="924">
                  <c:v>Jul 15, 2021</c:v>
                </c:pt>
                <c:pt idx="925">
                  <c:v>Jul 14, 2021</c:v>
                </c:pt>
                <c:pt idx="926">
                  <c:v>Jul 13, 2021</c:v>
                </c:pt>
                <c:pt idx="927">
                  <c:v>Jul 12, 2021</c:v>
                </c:pt>
                <c:pt idx="928">
                  <c:v>Jul 9, 2021</c:v>
                </c:pt>
                <c:pt idx="929">
                  <c:v>Jul 8, 2021</c:v>
                </c:pt>
                <c:pt idx="930">
                  <c:v>Jul 7, 2021</c:v>
                </c:pt>
                <c:pt idx="931">
                  <c:v>Jul 6, 2021</c:v>
                </c:pt>
                <c:pt idx="932">
                  <c:v>Jul 5, 2021</c:v>
                </c:pt>
                <c:pt idx="933">
                  <c:v>Jul 2, 2021</c:v>
                </c:pt>
                <c:pt idx="934">
                  <c:v>Jul 1, 2021</c:v>
                </c:pt>
                <c:pt idx="935">
                  <c:v>Jun 30, 2021</c:v>
                </c:pt>
                <c:pt idx="936">
                  <c:v>Jun 29, 2021</c:v>
                </c:pt>
                <c:pt idx="937">
                  <c:v>Jun 28, 2021</c:v>
                </c:pt>
                <c:pt idx="938">
                  <c:v>Jun 25, 2021</c:v>
                </c:pt>
                <c:pt idx="939">
                  <c:v>Jun 24, 2021</c:v>
                </c:pt>
                <c:pt idx="940">
                  <c:v>Jun 23, 2021</c:v>
                </c:pt>
                <c:pt idx="941">
                  <c:v>Jun 22, 2021</c:v>
                </c:pt>
                <c:pt idx="942">
                  <c:v>Jun 21, 2021</c:v>
                </c:pt>
                <c:pt idx="943">
                  <c:v>Jun 18, 2021</c:v>
                </c:pt>
                <c:pt idx="944">
                  <c:v>Jun 17, 2021</c:v>
                </c:pt>
                <c:pt idx="945">
                  <c:v>Jun 16, 2021</c:v>
                </c:pt>
                <c:pt idx="946">
                  <c:v>Jun 15, 2021</c:v>
                </c:pt>
                <c:pt idx="947">
                  <c:v>Jun 14, 2021</c:v>
                </c:pt>
                <c:pt idx="948">
                  <c:v>Jun 11, 2021</c:v>
                </c:pt>
                <c:pt idx="949">
                  <c:v>Jun 10, 2021</c:v>
                </c:pt>
                <c:pt idx="950">
                  <c:v>Jun 9, 2021</c:v>
                </c:pt>
                <c:pt idx="951">
                  <c:v>Jun 8, 2021</c:v>
                </c:pt>
                <c:pt idx="952">
                  <c:v>Jun 7, 2021</c:v>
                </c:pt>
                <c:pt idx="953">
                  <c:v>Jun 4, 2021</c:v>
                </c:pt>
                <c:pt idx="954">
                  <c:v>Jun 3, 2021</c:v>
                </c:pt>
                <c:pt idx="955">
                  <c:v>Jun 2, 2021</c:v>
                </c:pt>
                <c:pt idx="956">
                  <c:v>Jun 1, 2021</c:v>
                </c:pt>
                <c:pt idx="957">
                  <c:v>May 31, 2021</c:v>
                </c:pt>
                <c:pt idx="958">
                  <c:v>May 28, 2021</c:v>
                </c:pt>
                <c:pt idx="959">
                  <c:v>May 27, 2021</c:v>
                </c:pt>
                <c:pt idx="960">
                  <c:v>May 26, 2021</c:v>
                </c:pt>
                <c:pt idx="961">
                  <c:v>May 25, 2021</c:v>
                </c:pt>
                <c:pt idx="962">
                  <c:v>May 24, 2021</c:v>
                </c:pt>
                <c:pt idx="963">
                  <c:v>May 21, 2021</c:v>
                </c:pt>
                <c:pt idx="964">
                  <c:v>May 20, 2021</c:v>
                </c:pt>
                <c:pt idx="965">
                  <c:v>May 19, 2021</c:v>
                </c:pt>
                <c:pt idx="966">
                  <c:v>May 18, 2021</c:v>
                </c:pt>
                <c:pt idx="967">
                  <c:v>May 17, 2021</c:v>
                </c:pt>
                <c:pt idx="968">
                  <c:v>May 14, 2021</c:v>
                </c:pt>
                <c:pt idx="969">
                  <c:v>May 12, 2021</c:v>
                </c:pt>
                <c:pt idx="970">
                  <c:v>May 11, 2021</c:v>
                </c:pt>
                <c:pt idx="971">
                  <c:v>May 10, 2021</c:v>
                </c:pt>
                <c:pt idx="972">
                  <c:v>May 7, 2021</c:v>
                </c:pt>
                <c:pt idx="973">
                  <c:v>May 6, 2021</c:v>
                </c:pt>
                <c:pt idx="974">
                  <c:v>May 5, 2021</c:v>
                </c:pt>
                <c:pt idx="975">
                  <c:v>May 4, 2021</c:v>
                </c:pt>
                <c:pt idx="976">
                  <c:v>May 3, 2021</c:v>
                </c:pt>
                <c:pt idx="977">
                  <c:v>Apr 30, 2021</c:v>
                </c:pt>
                <c:pt idx="978">
                  <c:v>Apr 29, 2021</c:v>
                </c:pt>
                <c:pt idx="979">
                  <c:v>Apr 28, 2021</c:v>
                </c:pt>
                <c:pt idx="980">
                  <c:v>Apr 27, 2021</c:v>
                </c:pt>
                <c:pt idx="981">
                  <c:v>Apr 26, 2021</c:v>
                </c:pt>
                <c:pt idx="982">
                  <c:v>Apr 23, 2021</c:v>
                </c:pt>
                <c:pt idx="983">
                  <c:v>Apr 22, 2021</c:v>
                </c:pt>
                <c:pt idx="984">
                  <c:v>Apr 20, 2021</c:v>
                </c:pt>
                <c:pt idx="985">
                  <c:v>Apr 19, 2021</c:v>
                </c:pt>
                <c:pt idx="986">
                  <c:v>Apr 16, 2021</c:v>
                </c:pt>
                <c:pt idx="987">
                  <c:v>Apr 15, 2021</c:v>
                </c:pt>
                <c:pt idx="988">
                  <c:v>Apr 13, 2021</c:v>
                </c:pt>
                <c:pt idx="989">
                  <c:v>Apr 12, 2021</c:v>
                </c:pt>
                <c:pt idx="990">
                  <c:v>Apr 9, 2021</c:v>
                </c:pt>
                <c:pt idx="991">
                  <c:v>Apr 8, 2021</c:v>
                </c:pt>
                <c:pt idx="992">
                  <c:v>Apr 7, 2021</c:v>
                </c:pt>
                <c:pt idx="993">
                  <c:v>Apr 6, 2021</c:v>
                </c:pt>
                <c:pt idx="994">
                  <c:v>Apr 5, 2021</c:v>
                </c:pt>
                <c:pt idx="995">
                  <c:v>Apr 1, 2021</c:v>
                </c:pt>
                <c:pt idx="996">
                  <c:v>Mar 31, 2021</c:v>
                </c:pt>
                <c:pt idx="997">
                  <c:v>Mar 30, 2021</c:v>
                </c:pt>
                <c:pt idx="998">
                  <c:v>Mar 26, 2021</c:v>
                </c:pt>
                <c:pt idx="999">
                  <c:v>Mar 25, 2021</c:v>
                </c:pt>
                <c:pt idx="1000">
                  <c:v>Mar 24, 2021</c:v>
                </c:pt>
                <c:pt idx="1001">
                  <c:v>Mar 23, 2021</c:v>
                </c:pt>
                <c:pt idx="1002">
                  <c:v>Mar 22, 2021</c:v>
                </c:pt>
                <c:pt idx="1003">
                  <c:v>Mar 19, 2021</c:v>
                </c:pt>
                <c:pt idx="1004">
                  <c:v>Mar 18, 2021</c:v>
                </c:pt>
                <c:pt idx="1005">
                  <c:v>Mar 17, 2021</c:v>
                </c:pt>
                <c:pt idx="1006">
                  <c:v>Mar 16, 2021</c:v>
                </c:pt>
                <c:pt idx="1007">
                  <c:v>Mar 15, 2021</c:v>
                </c:pt>
                <c:pt idx="1008">
                  <c:v>Mar 12, 2021</c:v>
                </c:pt>
                <c:pt idx="1009">
                  <c:v>Mar 10, 2021</c:v>
                </c:pt>
                <c:pt idx="1010">
                  <c:v>Mar 9, 2021</c:v>
                </c:pt>
                <c:pt idx="1011">
                  <c:v>Mar 8, 2021</c:v>
                </c:pt>
                <c:pt idx="1012">
                  <c:v>Mar 5, 2021</c:v>
                </c:pt>
                <c:pt idx="1013">
                  <c:v>Mar 4, 2021</c:v>
                </c:pt>
                <c:pt idx="1014">
                  <c:v>Mar 3, 2021</c:v>
                </c:pt>
                <c:pt idx="1015">
                  <c:v>Mar 2, 2021</c:v>
                </c:pt>
                <c:pt idx="1016">
                  <c:v>Mar 1, 2021</c:v>
                </c:pt>
                <c:pt idx="1017">
                  <c:v>Feb 26, 2021</c:v>
                </c:pt>
                <c:pt idx="1018">
                  <c:v>Feb 25, 2021</c:v>
                </c:pt>
                <c:pt idx="1019">
                  <c:v>Feb 24, 2021</c:v>
                </c:pt>
                <c:pt idx="1020">
                  <c:v>Feb 23, 2021</c:v>
                </c:pt>
                <c:pt idx="1021">
                  <c:v>Feb 22, 2021</c:v>
                </c:pt>
                <c:pt idx="1022">
                  <c:v>Feb 19, 2021</c:v>
                </c:pt>
                <c:pt idx="1023">
                  <c:v>Feb 18, 2021</c:v>
                </c:pt>
                <c:pt idx="1024">
                  <c:v>Feb 17, 2021</c:v>
                </c:pt>
                <c:pt idx="1025">
                  <c:v>Feb 16, 2021</c:v>
                </c:pt>
                <c:pt idx="1026">
                  <c:v>Feb 15, 2021</c:v>
                </c:pt>
                <c:pt idx="1027">
                  <c:v>Feb 12, 2021</c:v>
                </c:pt>
                <c:pt idx="1028">
                  <c:v>Feb 11, 2021</c:v>
                </c:pt>
                <c:pt idx="1029">
                  <c:v>Feb 10, 2021</c:v>
                </c:pt>
                <c:pt idx="1030">
                  <c:v>Feb 9, 2021</c:v>
                </c:pt>
                <c:pt idx="1031">
                  <c:v>Feb 8, 2021</c:v>
                </c:pt>
                <c:pt idx="1032">
                  <c:v>Feb 5, 2021</c:v>
                </c:pt>
                <c:pt idx="1033">
                  <c:v>Feb 4, 2021</c:v>
                </c:pt>
                <c:pt idx="1034">
                  <c:v>Feb 3, 2021</c:v>
                </c:pt>
                <c:pt idx="1035">
                  <c:v>Feb 2, 2021</c:v>
                </c:pt>
                <c:pt idx="1036">
                  <c:v>Feb 1, 2021</c:v>
                </c:pt>
                <c:pt idx="1037">
                  <c:v>Jan 29, 2021</c:v>
                </c:pt>
                <c:pt idx="1038">
                  <c:v>Jan 28, 2021</c:v>
                </c:pt>
                <c:pt idx="1039">
                  <c:v>Jan 27, 2021</c:v>
                </c:pt>
                <c:pt idx="1040">
                  <c:v>Jan 25, 2021</c:v>
                </c:pt>
                <c:pt idx="1041">
                  <c:v>Jan 22, 2021</c:v>
                </c:pt>
                <c:pt idx="1042">
                  <c:v>Jan 21, 2021</c:v>
                </c:pt>
                <c:pt idx="1043">
                  <c:v>Jan 20, 2021</c:v>
                </c:pt>
                <c:pt idx="1044">
                  <c:v>Jan 19, 2021</c:v>
                </c:pt>
                <c:pt idx="1045">
                  <c:v>Jan 18, 2021</c:v>
                </c:pt>
                <c:pt idx="1046">
                  <c:v>Jan 15, 2021</c:v>
                </c:pt>
                <c:pt idx="1047">
                  <c:v>Jan 14, 2021</c:v>
                </c:pt>
                <c:pt idx="1048">
                  <c:v>Jan 13, 2021</c:v>
                </c:pt>
                <c:pt idx="1049">
                  <c:v>Jan 12, 2021</c:v>
                </c:pt>
                <c:pt idx="1050">
                  <c:v>Jan 11, 2021</c:v>
                </c:pt>
                <c:pt idx="1051">
                  <c:v>Jan 8, 2021</c:v>
                </c:pt>
                <c:pt idx="1052">
                  <c:v>Jan 7, 2021</c:v>
                </c:pt>
                <c:pt idx="1053">
                  <c:v>Jan 6, 2021</c:v>
                </c:pt>
                <c:pt idx="1054">
                  <c:v>Jan 5, 2021</c:v>
                </c:pt>
                <c:pt idx="1055">
                  <c:v>Jan 4, 2021</c:v>
                </c:pt>
                <c:pt idx="1056">
                  <c:v>Jan 1, 2021</c:v>
                </c:pt>
                <c:pt idx="1057">
                  <c:v>Dec 31, 2020</c:v>
                </c:pt>
                <c:pt idx="1058">
                  <c:v>Dec 30, 2020</c:v>
                </c:pt>
                <c:pt idx="1059">
                  <c:v>Dec 29, 2020</c:v>
                </c:pt>
                <c:pt idx="1060">
                  <c:v>Dec 28, 2020</c:v>
                </c:pt>
                <c:pt idx="1061">
                  <c:v>Dec 24, 2020</c:v>
                </c:pt>
                <c:pt idx="1062">
                  <c:v>Dec 23, 2020</c:v>
                </c:pt>
                <c:pt idx="1063">
                  <c:v>Dec 22, 2020</c:v>
                </c:pt>
                <c:pt idx="1064">
                  <c:v>Dec 21, 2020</c:v>
                </c:pt>
                <c:pt idx="1065">
                  <c:v>Dec 18, 2020</c:v>
                </c:pt>
                <c:pt idx="1066">
                  <c:v>Dec 17, 2020</c:v>
                </c:pt>
                <c:pt idx="1067">
                  <c:v>Dec 16, 2020</c:v>
                </c:pt>
                <c:pt idx="1068">
                  <c:v>Dec 15, 2020</c:v>
                </c:pt>
                <c:pt idx="1069">
                  <c:v>Dec 14, 2020</c:v>
                </c:pt>
                <c:pt idx="1070">
                  <c:v>Dec 11, 2020</c:v>
                </c:pt>
                <c:pt idx="1071">
                  <c:v>Dec 10, 2020</c:v>
                </c:pt>
                <c:pt idx="1072">
                  <c:v>Dec 9, 2020</c:v>
                </c:pt>
                <c:pt idx="1073">
                  <c:v>Dec 8, 2020</c:v>
                </c:pt>
                <c:pt idx="1074">
                  <c:v>Dec 7, 2020</c:v>
                </c:pt>
                <c:pt idx="1075">
                  <c:v>Dec 4, 2020</c:v>
                </c:pt>
                <c:pt idx="1076">
                  <c:v>Dec 3, 2020</c:v>
                </c:pt>
                <c:pt idx="1077">
                  <c:v>Dec 2, 2020</c:v>
                </c:pt>
                <c:pt idx="1078">
                  <c:v>Dec 1, 2020</c:v>
                </c:pt>
                <c:pt idx="1079">
                  <c:v>Nov 27, 2020</c:v>
                </c:pt>
                <c:pt idx="1080">
                  <c:v>Nov 26, 2020</c:v>
                </c:pt>
                <c:pt idx="1081">
                  <c:v>Nov 25, 2020</c:v>
                </c:pt>
                <c:pt idx="1082">
                  <c:v>Nov 24, 2020</c:v>
                </c:pt>
                <c:pt idx="1083">
                  <c:v>Nov 23, 2020</c:v>
                </c:pt>
                <c:pt idx="1084">
                  <c:v>Nov 20, 2020</c:v>
                </c:pt>
                <c:pt idx="1085">
                  <c:v>Nov 19, 2020</c:v>
                </c:pt>
                <c:pt idx="1086">
                  <c:v>Nov 18, 2020</c:v>
                </c:pt>
                <c:pt idx="1087">
                  <c:v>Nov 17, 2020</c:v>
                </c:pt>
                <c:pt idx="1088">
                  <c:v>Nov 14, 2020</c:v>
                </c:pt>
                <c:pt idx="1089">
                  <c:v>Nov 13, 2020</c:v>
                </c:pt>
                <c:pt idx="1090">
                  <c:v>Nov 12, 2020</c:v>
                </c:pt>
                <c:pt idx="1091">
                  <c:v>Nov 11, 2020</c:v>
                </c:pt>
                <c:pt idx="1092">
                  <c:v>Nov 10, 2020</c:v>
                </c:pt>
                <c:pt idx="1093">
                  <c:v>Nov 9, 2020</c:v>
                </c:pt>
                <c:pt idx="1094">
                  <c:v>Nov 6, 2020</c:v>
                </c:pt>
                <c:pt idx="1095">
                  <c:v>Nov 5, 2020</c:v>
                </c:pt>
                <c:pt idx="1096">
                  <c:v>Nov 4, 2020</c:v>
                </c:pt>
                <c:pt idx="1097">
                  <c:v>Nov 3, 2020</c:v>
                </c:pt>
                <c:pt idx="1098">
                  <c:v>Nov 2, 2020</c:v>
                </c:pt>
                <c:pt idx="1099">
                  <c:v>Oct 30, 2020</c:v>
                </c:pt>
                <c:pt idx="1100">
                  <c:v>Oct 29, 2020</c:v>
                </c:pt>
                <c:pt idx="1101">
                  <c:v>Oct 28, 2020</c:v>
                </c:pt>
                <c:pt idx="1102">
                  <c:v>Oct 27, 2020</c:v>
                </c:pt>
                <c:pt idx="1103">
                  <c:v>Oct 26, 2020</c:v>
                </c:pt>
                <c:pt idx="1104">
                  <c:v>Oct 23, 2020</c:v>
                </c:pt>
                <c:pt idx="1105">
                  <c:v>Oct 22, 2020</c:v>
                </c:pt>
                <c:pt idx="1106">
                  <c:v>Oct 21, 2020</c:v>
                </c:pt>
                <c:pt idx="1107">
                  <c:v>Oct 20, 2020</c:v>
                </c:pt>
                <c:pt idx="1108">
                  <c:v>Oct 19, 2020</c:v>
                </c:pt>
                <c:pt idx="1109">
                  <c:v>Oct 16, 2020</c:v>
                </c:pt>
                <c:pt idx="1110">
                  <c:v>Oct 15, 2020</c:v>
                </c:pt>
                <c:pt idx="1111">
                  <c:v>Oct 14, 2020</c:v>
                </c:pt>
                <c:pt idx="1112">
                  <c:v>Oct 13, 2020</c:v>
                </c:pt>
                <c:pt idx="1113">
                  <c:v>Oct 12, 2020</c:v>
                </c:pt>
                <c:pt idx="1114">
                  <c:v>Oct 9, 2020</c:v>
                </c:pt>
                <c:pt idx="1115">
                  <c:v>Oct 8, 2020</c:v>
                </c:pt>
                <c:pt idx="1116">
                  <c:v>Oct 7, 2020</c:v>
                </c:pt>
                <c:pt idx="1117">
                  <c:v>Oct 6, 2020</c:v>
                </c:pt>
                <c:pt idx="1118">
                  <c:v>Oct 5, 2020</c:v>
                </c:pt>
                <c:pt idx="1119">
                  <c:v>Oct 1, 2020</c:v>
                </c:pt>
                <c:pt idx="1120">
                  <c:v>Sep 30, 2020</c:v>
                </c:pt>
                <c:pt idx="1121">
                  <c:v>Sep 29, 2020</c:v>
                </c:pt>
                <c:pt idx="1122">
                  <c:v>Sep 28, 2020</c:v>
                </c:pt>
                <c:pt idx="1123">
                  <c:v>Sep 25, 2020</c:v>
                </c:pt>
                <c:pt idx="1124">
                  <c:v>Sep 24, 2020</c:v>
                </c:pt>
                <c:pt idx="1125">
                  <c:v>Sep 23, 2020</c:v>
                </c:pt>
                <c:pt idx="1126">
                  <c:v>Sep 22, 2020</c:v>
                </c:pt>
                <c:pt idx="1127">
                  <c:v>Sep 21, 2020</c:v>
                </c:pt>
                <c:pt idx="1128">
                  <c:v>Sep 18, 2020</c:v>
                </c:pt>
                <c:pt idx="1129">
                  <c:v>Sep 17, 2020</c:v>
                </c:pt>
                <c:pt idx="1130">
                  <c:v>Sep 16, 2020</c:v>
                </c:pt>
                <c:pt idx="1131">
                  <c:v>Sep 15, 2020</c:v>
                </c:pt>
                <c:pt idx="1132">
                  <c:v>Sep 14, 2020</c:v>
                </c:pt>
                <c:pt idx="1133">
                  <c:v>Sep 11, 2020</c:v>
                </c:pt>
                <c:pt idx="1134">
                  <c:v>Sep 10, 2020</c:v>
                </c:pt>
                <c:pt idx="1135">
                  <c:v>Sep 9, 2020</c:v>
                </c:pt>
                <c:pt idx="1136">
                  <c:v>Sep 8, 2020</c:v>
                </c:pt>
                <c:pt idx="1137">
                  <c:v>Sep 7, 2020</c:v>
                </c:pt>
                <c:pt idx="1138">
                  <c:v>Sep 4, 2020</c:v>
                </c:pt>
                <c:pt idx="1139">
                  <c:v>Sep 3, 2020</c:v>
                </c:pt>
                <c:pt idx="1140">
                  <c:v>Sep 2, 2020</c:v>
                </c:pt>
                <c:pt idx="1141">
                  <c:v>Sep 1, 2020</c:v>
                </c:pt>
                <c:pt idx="1142">
                  <c:v>Aug 31, 2020</c:v>
                </c:pt>
                <c:pt idx="1143">
                  <c:v>Aug 28, 2020</c:v>
                </c:pt>
                <c:pt idx="1144">
                  <c:v>Aug 27, 2020</c:v>
                </c:pt>
                <c:pt idx="1145">
                  <c:v>Aug 26, 2020</c:v>
                </c:pt>
                <c:pt idx="1146">
                  <c:v>Aug 25, 2020</c:v>
                </c:pt>
                <c:pt idx="1147">
                  <c:v>Aug 24, 2020</c:v>
                </c:pt>
                <c:pt idx="1148">
                  <c:v>Aug 21, 2020</c:v>
                </c:pt>
                <c:pt idx="1149">
                  <c:v>Aug 20, 2020</c:v>
                </c:pt>
                <c:pt idx="1150">
                  <c:v>Aug 19, 2020</c:v>
                </c:pt>
                <c:pt idx="1151">
                  <c:v>Aug 18, 2020</c:v>
                </c:pt>
                <c:pt idx="1152">
                  <c:v>Aug 17, 2020</c:v>
                </c:pt>
                <c:pt idx="1153">
                  <c:v>Aug 14, 2020</c:v>
                </c:pt>
                <c:pt idx="1154">
                  <c:v>Aug 13, 2020</c:v>
                </c:pt>
                <c:pt idx="1155">
                  <c:v>Aug 12, 2020</c:v>
                </c:pt>
                <c:pt idx="1156">
                  <c:v>Aug 11, 2020</c:v>
                </c:pt>
                <c:pt idx="1157">
                  <c:v>Aug 10, 2020</c:v>
                </c:pt>
                <c:pt idx="1158">
                  <c:v>Aug 7, 2020</c:v>
                </c:pt>
                <c:pt idx="1159">
                  <c:v>Aug 6, 2020</c:v>
                </c:pt>
                <c:pt idx="1160">
                  <c:v>Aug 5, 2020</c:v>
                </c:pt>
                <c:pt idx="1161">
                  <c:v>Aug 4, 2020</c:v>
                </c:pt>
                <c:pt idx="1162">
                  <c:v>Aug 3, 2020</c:v>
                </c:pt>
                <c:pt idx="1163">
                  <c:v>Jul 31, 2020</c:v>
                </c:pt>
                <c:pt idx="1164">
                  <c:v>Jul 30, 2020</c:v>
                </c:pt>
                <c:pt idx="1165">
                  <c:v>Jul 29, 2020</c:v>
                </c:pt>
                <c:pt idx="1166">
                  <c:v>Jul 28, 2020</c:v>
                </c:pt>
                <c:pt idx="1167">
                  <c:v>Jul 27, 2020</c:v>
                </c:pt>
                <c:pt idx="1168">
                  <c:v>Jul 24, 2020</c:v>
                </c:pt>
                <c:pt idx="1169">
                  <c:v>Jul 23, 2020</c:v>
                </c:pt>
                <c:pt idx="1170">
                  <c:v>Jul 22, 2020</c:v>
                </c:pt>
                <c:pt idx="1171">
                  <c:v>Jul 21, 2020</c:v>
                </c:pt>
                <c:pt idx="1172">
                  <c:v>Jul 20, 2020</c:v>
                </c:pt>
                <c:pt idx="1173">
                  <c:v>Jul 17, 2020</c:v>
                </c:pt>
                <c:pt idx="1174">
                  <c:v>Jul 16, 2020</c:v>
                </c:pt>
                <c:pt idx="1175">
                  <c:v>Jul 15, 2020</c:v>
                </c:pt>
                <c:pt idx="1176">
                  <c:v>Jul 14, 2020</c:v>
                </c:pt>
                <c:pt idx="1177">
                  <c:v>Jul 13, 2020</c:v>
                </c:pt>
                <c:pt idx="1178">
                  <c:v>Jul 10, 2020</c:v>
                </c:pt>
                <c:pt idx="1179">
                  <c:v>Jul 9, 2020</c:v>
                </c:pt>
                <c:pt idx="1180">
                  <c:v>Jul 8, 2020</c:v>
                </c:pt>
                <c:pt idx="1181">
                  <c:v>Jul 7, 2020</c:v>
                </c:pt>
                <c:pt idx="1182">
                  <c:v>Jul 6, 2020</c:v>
                </c:pt>
                <c:pt idx="1183">
                  <c:v>Jul 3, 2020</c:v>
                </c:pt>
                <c:pt idx="1184">
                  <c:v>Jul 2, 2020</c:v>
                </c:pt>
                <c:pt idx="1185">
                  <c:v>Jul 1, 2020</c:v>
                </c:pt>
                <c:pt idx="1186">
                  <c:v>Jun 30, 2020</c:v>
                </c:pt>
                <c:pt idx="1187">
                  <c:v>Jun 29, 2020</c:v>
                </c:pt>
                <c:pt idx="1188">
                  <c:v>Jun 26, 2020</c:v>
                </c:pt>
                <c:pt idx="1189">
                  <c:v>Jun 25, 2020</c:v>
                </c:pt>
                <c:pt idx="1190">
                  <c:v>Jun 24, 2020</c:v>
                </c:pt>
                <c:pt idx="1191">
                  <c:v>Jun 23, 2020</c:v>
                </c:pt>
                <c:pt idx="1192">
                  <c:v>Jun 22, 2020</c:v>
                </c:pt>
                <c:pt idx="1193">
                  <c:v>Jun 19, 2020</c:v>
                </c:pt>
                <c:pt idx="1194">
                  <c:v>Jun 18, 2020</c:v>
                </c:pt>
                <c:pt idx="1195">
                  <c:v>Jun 17, 2020</c:v>
                </c:pt>
                <c:pt idx="1196">
                  <c:v>Jun 16, 2020</c:v>
                </c:pt>
                <c:pt idx="1197">
                  <c:v>Jun 15, 2020</c:v>
                </c:pt>
                <c:pt idx="1198">
                  <c:v>Jun 12, 2020</c:v>
                </c:pt>
                <c:pt idx="1199">
                  <c:v>Jun 11, 2020</c:v>
                </c:pt>
                <c:pt idx="1200">
                  <c:v>Jun 10, 2020</c:v>
                </c:pt>
                <c:pt idx="1201">
                  <c:v>Jun 9, 2020</c:v>
                </c:pt>
                <c:pt idx="1202">
                  <c:v>Jun 8, 2020</c:v>
                </c:pt>
                <c:pt idx="1203">
                  <c:v>Jun 5, 2020</c:v>
                </c:pt>
                <c:pt idx="1204">
                  <c:v>Jun 4, 2020</c:v>
                </c:pt>
                <c:pt idx="1205">
                  <c:v>Jun 3, 2020</c:v>
                </c:pt>
                <c:pt idx="1206">
                  <c:v>Jun 2, 2020</c:v>
                </c:pt>
                <c:pt idx="1207">
                  <c:v>Jun 1, 2020</c:v>
                </c:pt>
                <c:pt idx="1208">
                  <c:v>May 29, 2020</c:v>
                </c:pt>
                <c:pt idx="1209">
                  <c:v>May 28, 2020</c:v>
                </c:pt>
                <c:pt idx="1210">
                  <c:v>May 27, 2020</c:v>
                </c:pt>
                <c:pt idx="1211">
                  <c:v>May 26, 2020</c:v>
                </c:pt>
                <c:pt idx="1212">
                  <c:v>May 22, 2020</c:v>
                </c:pt>
                <c:pt idx="1213">
                  <c:v>May 21, 2020</c:v>
                </c:pt>
                <c:pt idx="1214">
                  <c:v>May 20, 2020</c:v>
                </c:pt>
                <c:pt idx="1215">
                  <c:v>May 19, 2020</c:v>
                </c:pt>
                <c:pt idx="1216">
                  <c:v>May 18, 2020</c:v>
                </c:pt>
                <c:pt idx="1217">
                  <c:v>May 15, 2020</c:v>
                </c:pt>
                <c:pt idx="1218">
                  <c:v>May 14, 2020</c:v>
                </c:pt>
                <c:pt idx="1219">
                  <c:v>May 13, 2020</c:v>
                </c:pt>
                <c:pt idx="1220">
                  <c:v>May 12, 2020</c:v>
                </c:pt>
                <c:pt idx="1221">
                  <c:v>May 11, 2020</c:v>
                </c:pt>
                <c:pt idx="1222">
                  <c:v>May 8, 2020</c:v>
                </c:pt>
                <c:pt idx="1223">
                  <c:v>May 7, 2020</c:v>
                </c:pt>
                <c:pt idx="1224">
                  <c:v>May 6, 2020</c:v>
                </c:pt>
                <c:pt idx="1225">
                  <c:v>May 5, 2020</c:v>
                </c:pt>
                <c:pt idx="1226">
                  <c:v>May 4, 2020</c:v>
                </c:pt>
                <c:pt idx="1227">
                  <c:v>Apr 30, 2020</c:v>
                </c:pt>
                <c:pt idx="1228">
                  <c:v>Apr 29, 2020</c:v>
                </c:pt>
                <c:pt idx="1229">
                  <c:v>Apr 28, 2020</c:v>
                </c:pt>
                <c:pt idx="1230">
                  <c:v>Apr 27, 2020</c:v>
                </c:pt>
                <c:pt idx="1231">
                  <c:v>Apr 24, 2020</c:v>
                </c:pt>
                <c:pt idx="1232">
                  <c:v>Apr 23, 2020</c:v>
                </c:pt>
                <c:pt idx="1233">
                  <c:v>Apr 22, 2020</c:v>
                </c:pt>
                <c:pt idx="1234">
                  <c:v>Apr 21, 2020</c:v>
                </c:pt>
                <c:pt idx="1235">
                  <c:v>Apr 20, 2020</c:v>
                </c:pt>
                <c:pt idx="1236">
                  <c:v>Apr 17, 2020</c:v>
                </c:pt>
                <c:pt idx="1237">
                  <c:v>Apr 16, 2020</c:v>
                </c:pt>
                <c:pt idx="1238">
                  <c:v>Apr 15, 2020</c:v>
                </c:pt>
                <c:pt idx="1239">
                  <c:v>Apr 13, 2020</c:v>
                </c:pt>
              </c:strCache>
            </c:strRef>
          </c:cat>
          <c:val>
            <c:numRef>
              <c:f>'[1]yahoo-2025-04-12'!$B$2:$B$1241</c:f>
              <c:numCache>
                <c:formatCode>General</c:formatCode>
                <c:ptCount val="1240"/>
                <c:pt idx="0">
                  <c:v>421.55</c:v>
                </c:pt>
                <c:pt idx="1">
                  <c:v>416.3</c:v>
                </c:pt>
                <c:pt idx="2">
                  <c:v>412.55</c:v>
                </c:pt>
                <c:pt idx="3">
                  <c:v>406.05</c:v>
                </c:pt>
                <c:pt idx="4">
                  <c:v>409.7</c:v>
                </c:pt>
                <c:pt idx="5">
                  <c:v>409.4</c:v>
                </c:pt>
                <c:pt idx="6">
                  <c:v>409.05</c:v>
                </c:pt>
                <c:pt idx="7">
                  <c:v>406.65</c:v>
                </c:pt>
                <c:pt idx="8">
                  <c:v>409.75</c:v>
                </c:pt>
                <c:pt idx="9">
                  <c:v>409.45</c:v>
                </c:pt>
                <c:pt idx="10">
                  <c:v>407.35</c:v>
                </c:pt>
                <c:pt idx="11">
                  <c:v>409.8</c:v>
                </c:pt>
                <c:pt idx="12">
                  <c:v>410.9</c:v>
                </c:pt>
                <c:pt idx="13">
                  <c:v>405.55</c:v>
                </c:pt>
                <c:pt idx="14">
                  <c:v>403.95</c:v>
                </c:pt>
                <c:pt idx="15">
                  <c:v>403.05</c:v>
                </c:pt>
                <c:pt idx="16">
                  <c:v>407.95</c:v>
                </c:pt>
                <c:pt idx="17">
                  <c:v>407.95</c:v>
                </c:pt>
                <c:pt idx="18">
                  <c:v>412.05</c:v>
                </c:pt>
                <c:pt idx="19">
                  <c:v>412.4</c:v>
                </c:pt>
                <c:pt idx="20">
                  <c:v>406.2</c:v>
                </c:pt>
                <c:pt idx="21">
                  <c:v>405</c:v>
                </c:pt>
                <c:pt idx="22">
                  <c:v>403.9</c:v>
                </c:pt>
                <c:pt idx="23">
                  <c:v>405.7</c:v>
                </c:pt>
                <c:pt idx="24">
                  <c:v>405.05</c:v>
                </c:pt>
                <c:pt idx="25">
                  <c:v>394.85</c:v>
                </c:pt>
                <c:pt idx="26">
                  <c:v>397.45</c:v>
                </c:pt>
                <c:pt idx="27">
                  <c:v>395</c:v>
                </c:pt>
                <c:pt idx="28">
                  <c:v>401.6</c:v>
                </c:pt>
                <c:pt idx="29">
                  <c:v>404.85</c:v>
                </c:pt>
                <c:pt idx="30">
                  <c:v>401.9</c:v>
                </c:pt>
                <c:pt idx="31">
                  <c:v>400.9</c:v>
                </c:pt>
                <c:pt idx="32">
                  <c:v>402.05</c:v>
                </c:pt>
                <c:pt idx="33">
                  <c:v>406.4</c:v>
                </c:pt>
                <c:pt idx="34">
                  <c:v>405.25</c:v>
                </c:pt>
                <c:pt idx="35">
                  <c:v>408.6</c:v>
                </c:pt>
                <c:pt idx="36">
                  <c:v>410.25</c:v>
                </c:pt>
                <c:pt idx="37">
                  <c:v>409.7</c:v>
                </c:pt>
                <c:pt idx="38">
                  <c:v>409.9</c:v>
                </c:pt>
                <c:pt idx="39">
                  <c:v>411.8</c:v>
                </c:pt>
                <c:pt idx="40">
                  <c:v>420.56</c:v>
                </c:pt>
                <c:pt idx="41">
                  <c:v>424.15</c:v>
                </c:pt>
                <c:pt idx="42">
                  <c:v>434.25</c:v>
                </c:pt>
                <c:pt idx="43">
                  <c:v>441.19</c:v>
                </c:pt>
                <c:pt idx="44">
                  <c:v>448.08</c:v>
                </c:pt>
                <c:pt idx="45">
                  <c:v>447.29</c:v>
                </c:pt>
                <c:pt idx="46">
                  <c:v>455.36</c:v>
                </c:pt>
                <c:pt idx="47">
                  <c:v>440.55</c:v>
                </c:pt>
                <c:pt idx="48">
                  <c:v>429.42</c:v>
                </c:pt>
                <c:pt idx="49">
                  <c:v>426.62</c:v>
                </c:pt>
                <c:pt idx="50">
                  <c:v>428.68</c:v>
                </c:pt>
                <c:pt idx="51">
                  <c:v>433.26</c:v>
                </c:pt>
                <c:pt idx="52">
                  <c:v>434.74</c:v>
                </c:pt>
                <c:pt idx="53">
                  <c:v>433.36</c:v>
                </c:pt>
                <c:pt idx="54">
                  <c:v>430.21</c:v>
                </c:pt>
                <c:pt idx="55">
                  <c:v>430.75</c:v>
                </c:pt>
                <c:pt idx="56">
                  <c:v>430.9</c:v>
                </c:pt>
                <c:pt idx="57">
                  <c:v>433.36</c:v>
                </c:pt>
                <c:pt idx="58">
                  <c:v>426.12</c:v>
                </c:pt>
                <c:pt idx="59">
                  <c:v>430.55</c:v>
                </c:pt>
                <c:pt idx="60">
                  <c:v>429.82</c:v>
                </c:pt>
                <c:pt idx="61">
                  <c:v>432.23</c:v>
                </c:pt>
                <c:pt idx="62">
                  <c:v>437.99</c:v>
                </c:pt>
                <c:pt idx="63">
                  <c:v>443.11</c:v>
                </c:pt>
                <c:pt idx="64">
                  <c:v>442.56</c:v>
                </c:pt>
                <c:pt idx="65">
                  <c:v>434.25</c:v>
                </c:pt>
                <c:pt idx="66">
                  <c:v>435.77</c:v>
                </c:pt>
                <c:pt idx="67">
                  <c:v>474.12</c:v>
                </c:pt>
                <c:pt idx="68">
                  <c:v>481.45</c:v>
                </c:pt>
                <c:pt idx="69">
                  <c:v>476.43</c:v>
                </c:pt>
                <c:pt idx="70">
                  <c:v>476.13</c:v>
                </c:pt>
                <c:pt idx="71">
                  <c:v>469.59</c:v>
                </c:pt>
                <c:pt idx="72">
                  <c:v>471.16</c:v>
                </c:pt>
                <c:pt idx="73">
                  <c:v>469.54</c:v>
                </c:pt>
                <c:pt idx="74">
                  <c:v>471.02</c:v>
                </c:pt>
                <c:pt idx="75">
                  <c:v>466.88</c:v>
                </c:pt>
                <c:pt idx="76">
                  <c:v>457.43</c:v>
                </c:pt>
                <c:pt idx="77">
                  <c:v>459.3</c:v>
                </c:pt>
                <c:pt idx="78">
                  <c:v>463.19</c:v>
                </c:pt>
                <c:pt idx="79">
                  <c:v>462.25</c:v>
                </c:pt>
                <c:pt idx="80">
                  <c:v>462.8</c:v>
                </c:pt>
                <c:pt idx="81">
                  <c:v>462.7</c:v>
                </c:pt>
                <c:pt idx="82">
                  <c:v>453.44</c:v>
                </c:pt>
                <c:pt idx="83">
                  <c:v>458.02</c:v>
                </c:pt>
                <c:pt idx="84">
                  <c:v>458.22</c:v>
                </c:pt>
                <c:pt idx="85">
                  <c:v>457.73</c:v>
                </c:pt>
                <c:pt idx="86">
                  <c:v>463.83</c:v>
                </c:pt>
                <c:pt idx="87">
                  <c:v>460.24</c:v>
                </c:pt>
                <c:pt idx="88">
                  <c:v>459.84</c:v>
                </c:pt>
                <c:pt idx="89">
                  <c:v>465.21</c:v>
                </c:pt>
                <c:pt idx="90">
                  <c:v>469.78</c:v>
                </c:pt>
                <c:pt idx="91">
                  <c:v>469.34</c:v>
                </c:pt>
                <c:pt idx="92">
                  <c:v>467.52</c:v>
                </c:pt>
                <c:pt idx="93">
                  <c:v>469.54</c:v>
                </c:pt>
                <c:pt idx="94">
                  <c:v>469.59</c:v>
                </c:pt>
                <c:pt idx="95">
                  <c:v>469.39</c:v>
                </c:pt>
                <c:pt idx="96">
                  <c:v>467.27</c:v>
                </c:pt>
                <c:pt idx="97">
                  <c:v>450.05</c:v>
                </c:pt>
                <c:pt idx="98">
                  <c:v>460.09</c:v>
                </c:pt>
                <c:pt idx="99">
                  <c:v>459.3</c:v>
                </c:pt>
                <c:pt idx="100">
                  <c:v>458.71</c:v>
                </c:pt>
                <c:pt idx="101">
                  <c:v>464.86</c:v>
                </c:pt>
                <c:pt idx="102">
                  <c:v>465.5</c:v>
                </c:pt>
                <c:pt idx="103">
                  <c:v>469.54</c:v>
                </c:pt>
                <c:pt idx="104">
                  <c:v>470.62</c:v>
                </c:pt>
                <c:pt idx="105">
                  <c:v>470.47</c:v>
                </c:pt>
                <c:pt idx="106">
                  <c:v>473.62</c:v>
                </c:pt>
                <c:pt idx="107">
                  <c:v>472.74</c:v>
                </c:pt>
                <c:pt idx="108">
                  <c:v>477.07</c:v>
                </c:pt>
                <c:pt idx="109">
                  <c:v>482.68</c:v>
                </c:pt>
                <c:pt idx="110">
                  <c:v>481.2</c:v>
                </c:pt>
                <c:pt idx="111">
                  <c:v>483.91</c:v>
                </c:pt>
                <c:pt idx="112">
                  <c:v>480.37</c:v>
                </c:pt>
                <c:pt idx="113">
                  <c:v>476.63</c:v>
                </c:pt>
                <c:pt idx="114">
                  <c:v>474.81</c:v>
                </c:pt>
                <c:pt idx="115">
                  <c:v>464.37</c:v>
                </c:pt>
                <c:pt idx="116">
                  <c:v>472.89</c:v>
                </c:pt>
                <c:pt idx="117">
                  <c:v>474.31</c:v>
                </c:pt>
                <c:pt idx="118">
                  <c:v>476.13</c:v>
                </c:pt>
                <c:pt idx="119">
                  <c:v>479.14</c:v>
                </c:pt>
                <c:pt idx="120">
                  <c:v>481.3</c:v>
                </c:pt>
                <c:pt idx="121">
                  <c:v>485.54</c:v>
                </c:pt>
                <c:pt idx="122">
                  <c:v>490.8</c:v>
                </c:pt>
                <c:pt idx="123">
                  <c:v>489.23</c:v>
                </c:pt>
                <c:pt idx="124">
                  <c:v>480.61</c:v>
                </c:pt>
                <c:pt idx="125">
                  <c:v>484.4</c:v>
                </c:pt>
                <c:pt idx="126">
                  <c:v>484.06</c:v>
                </c:pt>
                <c:pt idx="127">
                  <c:v>500.06</c:v>
                </c:pt>
                <c:pt idx="128">
                  <c:v>502.27</c:v>
                </c:pt>
                <c:pt idx="129">
                  <c:v>495.73</c:v>
                </c:pt>
                <c:pt idx="130">
                  <c:v>504.78</c:v>
                </c:pt>
                <c:pt idx="131">
                  <c:v>508.18</c:v>
                </c:pt>
                <c:pt idx="132">
                  <c:v>510.1</c:v>
                </c:pt>
                <c:pt idx="133">
                  <c:v>514.58000000000004</c:v>
                </c:pt>
                <c:pt idx="134">
                  <c:v>514.63</c:v>
                </c:pt>
                <c:pt idx="135">
                  <c:v>509.51</c:v>
                </c:pt>
                <c:pt idx="136">
                  <c:v>507.24</c:v>
                </c:pt>
                <c:pt idx="137">
                  <c:v>508.92</c:v>
                </c:pt>
                <c:pt idx="138">
                  <c:v>506.41</c:v>
                </c:pt>
                <c:pt idx="139">
                  <c:v>500.35</c:v>
                </c:pt>
                <c:pt idx="140">
                  <c:v>499.47</c:v>
                </c:pt>
                <c:pt idx="141">
                  <c:v>499.86</c:v>
                </c:pt>
                <c:pt idx="142">
                  <c:v>503.16</c:v>
                </c:pt>
                <c:pt idx="143">
                  <c:v>505.87</c:v>
                </c:pt>
                <c:pt idx="144">
                  <c:v>511.43</c:v>
                </c:pt>
                <c:pt idx="145">
                  <c:v>506.36</c:v>
                </c:pt>
                <c:pt idx="146">
                  <c:v>505.62</c:v>
                </c:pt>
                <c:pt idx="147">
                  <c:v>503.8</c:v>
                </c:pt>
                <c:pt idx="148">
                  <c:v>493.9</c:v>
                </c:pt>
                <c:pt idx="149">
                  <c:v>503.26</c:v>
                </c:pt>
                <c:pt idx="150">
                  <c:v>498.48</c:v>
                </c:pt>
                <c:pt idx="151">
                  <c:v>501.48</c:v>
                </c:pt>
                <c:pt idx="152">
                  <c:v>502.12</c:v>
                </c:pt>
                <c:pt idx="153">
                  <c:v>494.1</c:v>
                </c:pt>
                <c:pt idx="154">
                  <c:v>497.25</c:v>
                </c:pt>
                <c:pt idx="155">
                  <c:v>489.57</c:v>
                </c:pt>
                <c:pt idx="156">
                  <c:v>492.82</c:v>
                </c:pt>
                <c:pt idx="157">
                  <c:v>497.84</c:v>
                </c:pt>
                <c:pt idx="158">
                  <c:v>497.94</c:v>
                </c:pt>
                <c:pt idx="159">
                  <c:v>496.71</c:v>
                </c:pt>
                <c:pt idx="160">
                  <c:v>497.55</c:v>
                </c:pt>
                <c:pt idx="161">
                  <c:v>491.05</c:v>
                </c:pt>
                <c:pt idx="162">
                  <c:v>493.66</c:v>
                </c:pt>
                <c:pt idx="163">
                  <c:v>494.84</c:v>
                </c:pt>
                <c:pt idx="164">
                  <c:v>484.55</c:v>
                </c:pt>
                <c:pt idx="165">
                  <c:v>482.39</c:v>
                </c:pt>
                <c:pt idx="166">
                  <c:v>486.91</c:v>
                </c:pt>
                <c:pt idx="167">
                  <c:v>488.19</c:v>
                </c:pt>
                <c:pt idx="168">
                  <c:v>487.06</c:v>
                </c:pt>
                <c:pt idx="169">
                  <c:v>484.99</c:v>
                </c:pt>
                <c:pt idx="170">
                  <c:v>478.74</c:v>
                </c:pt>
                <c:pt idx="171">
                  <c:v>478.45</c:v>
                </c:pt>
                <c:pt idx="172">
                  <c:v>481.5</c:v>
                </c:pt>
                <c:pt idx="173">
                  <c:v>486.03</c:v>
                </c:pt>
                <c:pt idx="174">
                  <c:v>487.65</c:v>
                </c:pt>
                <c:pt idx="175">
                  <c:v>482.29</c:v>
                </c:pt>
                <c:pt idx="176">
                  <c:v>488.34</c:v>
                </c:pt>
                <c:pt idx="177">
                  <c:v>494.4</c:v>
                </c:pt>
                <c:pt idx="178">
                  <c:v>482.34</c:v>
                </c:pt>
                <c:pt idx="179">
                  <c:v>486.37</c:v>
                </c:pt>
                <c:pt idx="180">
                  <c:v>484.55</c:v>
                </c:pt>
                <c:pt idx="181">
                  <c:v>459.3</c:v>
                </c:pt>
                <c:pt idx="182">
                  <c:v>467.18</c:v>
                </c:pt>
                <c:pt idx="183">
                  <c:v>462.94</c:v>
                </c:pt>
                <c:pt idx="184">
                  <c:v>458.32</c:v>
                </c:pt>
                <c:pt idx="185">
                  <c:v>456.2</c:v>
                </c:pt>
                <c:pt idx="186">
                  <c:v>451.92</c:v>
                </c:pt>
                <c:pt idx="187">
                  <c:v>451.52</c:v>
                </c:pt>
                <c:pt idx="188">
                  <c:v>444.43</c:v>
                </c:pt>
                <c:pt idx="189">
                  <c:v>445.57</c:v>
                </c:pt>
                <c:pt idx="190">
                  <c:v>436.71</c:v>
                </c:pt>
                <c:pt idx="191">
                  <c:v>426.91</c:v>
                </c:pt>
                <c:pt idx="192">
                  <c:v>422.38</c:v>
                </c:pt>
                <c:pt idx="193">
                  <c:v>421.64</c:v>
                </c:pt>
                <c:pt idx="194">
                  <c:v>418.89</c:v>
                </c:pt>
                <c:pt idx="195">
                  <c:v>422.38</c:v>
                </c:pt>
                <c:pt idx="196">
                  <c:v>418.3</c:v>
                </c:pt>
                <c:pt idx="197">
                  <c:v>418.99</c:v>
                </c:pt>
                <c:pt idx="198">
                  <c:v>417.36</c:v>
                </c:pt>
                <c:pt idx="199">
                  <c:v>416.72</c:v>
                </c:pt>
                <c:pt idx="200">
                  <c:v>416.72</c:v>
                </c:pt>
                <c:pt idx="201">
                  <c:v>413.08</c:v>
                </c:pt>
                <c:pt idx="202">
                  <c:v>416.72</c:v>
                </c:pt>
                <c:pt idx="203">
                  <c:v>417.07</c:v>
                </c:pt>
                <c:pt idx="204">
                  <c:v>422.09</c:v>
                </c:pt>
                <c:pt idx="205">
                  <c:v>424.45</c:v>
                </c:pt>
                <c:pt idx="206">
                  <c:v>423.61</c:v>
                </c:pt>
                <c:pt idx="207">
                  <c:v>425.58</c:v>
                </c:pt>
                <c:pt idx="208">
                  <c:v>426.27</c:v>
                </c:pt>
                <c:pt idx="209">
                  <c:v>430.11</c:v>
                </c:pt>
                <c:pt idx="210">
                  <c:v>432.33</c:v>
                </c:pt>
                <c:pt idx="211">
                  <c:v>428.63</c:v>
                </c:pt>
                <c:pt idx="212">
                  <c:v>423.61</c:v>
                </c:pt>
                <c:pt idx="213">
                  <c:v>408.75</c:v>
                </c:pt>
                <c:pt idx="214">
                  <c:v>416.28</c:v>
                </c:pt>
                <c:pt idx="215">
                  <c:v>412.51</c:v>
                </c:pt>
                <c:pt idx="216">
                  <c:v>409.99</c:v>
                </c:pt>
                <c:pt idx="217">
                  <c:v>416.86</c:v>
                </c:pt>
                <c:pt idx="218">
                  <c:v>414.97</c:v>
                </c:pt>
                <c:pt idx="219">
                  <c:v>417.39</c:v>
                </c:pt>
                <c:pt idx="220">
                  <c:v>421.94</c:v>
                </c:pt>
                <c:pt idx="221">
                  <c:v>426.92</c:v>
                </c:pt>
                <c:pt idx="222">
                  <c:v>425.52</c:v>
                </c:pt>
                <c:pt idx="223">
                  <c:v>420.58</c:v>
                </c:pt>
                <c:pt idx="224">
                  <c:v>422.03</c:v>
                </c:pt>
                <c:pt idx="225">
                  <c:v>417.34</c:v>
                </c:pt>
                <c:pt idx="226">
                  <c:v>413.81</c:v>
                </c:pt>
                <c:pt idx="227">
                  <c:v>415.65</c:v>
                </c:pt>
                <c:pt idx="228">
                  <c:v>417.73</c:v>
                </c:pt>
                <c:pt idx="229">
                  <c:v>419.18</c:v>
                </c:pt>
                <c:pt idx="230">
                  <c:v>411.2</c:v>
                </c:pt>
                <c:pt idx="231">
                  <c:v>426.58</c:v>
                </c:pt>
                <c:pt idx="232">
                  <c:v>425.95</c:v>
                </c:pt>
                <c:pt idx="233">
                  <c:v>420.54</c:v>
                </c:pt>
                <c:pt idx="234">
                  <c:v>422.18</c:v>
                </c:pt>
                <c:pt idx="235">
                  <c:v>424.65</c:v>
                </c:pt>
                <c:pt idx="236">
                  <c:v>421.41</c:v>
                </c:pt>
                <c:pt idx="237">
                  <c:v>423.87</c:v>
                </c:pt>
                <c:pt idx="238">
                  <c:v>425.61</c:v>
                </c:pt>
                <c:pt idx="239">
                  <c:v>423.24</c:v>
                </c:pt>
                <c:pt idx="240">
                  <c:v>414.88</c:v>
                </c:pt>
                <c:pt idx="241">
                  <c:v>415.17</c:v>
                </c:pt>
                <c:pt idx="242">
                  <c:v>411.39</c:v>
                </c:pt>
                <c:pt idx="243">
                  <c:v>410.86</c:v>
                </c:pt>
                <c:pt idx="244">
                  <c:v>405.16</c:v>
                </c:pt>
                <c:pt idx="245">
                  <c:v>411.97</c:v>
                </c:pt>
                <c:pt idx="246">
                  <c:v>411.97</c:v>
                </c:pt>
                <c:pt idx="247">
                  <c:v>416.04</c:v>
                </c:pt>
                <c:pt idx="248">
                  <c:v>422.66</c:v>
                </c:pt>
                <c:pt idx="249">
                  <c:v>412.41</c:v>
                </c:pt>
                <c:pt idx="250">
                  <c:v>415.07</c:v>
                </c:pt>
                <c:pt idx="251">
                  <c:v>413.57</c:v>
                </c:pt>
                <c:pt idx="252">
                  <c:v>408.93</c:v>
                </c:pt>
                <c:pt idx="253">
                  <c:v>411.3</c:v>
                </c:pt>
                <c:pt idx="254">
                  <c:v>411.93</c:v>
                </c:pt>
                <c:pt idx="255">
                  <c:v>412.75</c:v>
                </c:pt>
                <c:pt idx="256">
                  <c:v>414.34</c:v>
                </c:pt>
                <c:pt idx="257">
                  <c:v>414.01</c:v>
                </c:pt>
                <c:pt idx="258">
                  <c:v>413.67</c:v>
                </c:pt>
                <c:pt idx="259">
                  <c:v>414.59</c:v>
                </c:pt>
                <c:pt idx="260">
                  <c:v>407.48</c:v>
                </c:pt>
                <c:pt idx="261">
                  <c:v>402.11</c:v>
                </c:pt>
                <c:pt idx="262">
                  <c:v>396.16</c:v>
                </c:pt>
                <c:pt idx="263">
                  <c:v>403.8</c:v>
                </c:pt>
                <c:pt idx="264">
                  <c:v>405.4</c:v>
                </c:pt>
                <c:pt idx="265">
                  <c:v>405.93</c:v>
                </c:pt>
                <c:pt idx="266">
                  <c:v>408.64</c:v>
                </c:pt>
                <c:pt idx="267">
                  <c:v>391.23</c:v>
                </c:pt>
                <c:pt idx="268">
                  <c:v>396.01</c:v>
                </c:pt>
                <c:pt idx="269">
                  <c:v>400.03</c:v>
                </c:pt>
                <c:pt idx="270">
                  <c:v>394.51</c:v>
                </c:pt>
                <c:pt idx="271">
                  <c:v>392.87</c:v>
                </c:pt>
                <c:pt idx="272">
                  <c:v>395.72</c:v>
                </c:pt>
                <c:pt idx="273">
                  <c:v>396.11</c:v>
                </c:pt>
                <c:pt idx="274">
                  <c:v>393.02</c:v>
                </c:pt>
                <c:pt idx="275">
                  <c:v>394.95</c:v>
                </c:pt>
                <c:pt idx="276">
                  <c:v>397.71</c:v>
                </c:pt>
                <c:pt idx="277">
                  <c:v>395.82</c:v>
                </c:pt>
                <c:pt idx="278">
                  <c:v>397.95</c:v>
                </c:pt>
                <c:pt idx="279">
                  <c:v>400.9</c:v>
                </c:pt>
                <c:pt idx="280">
                  <c:v>390.16</c:v>
                </c:pt>
                <c:pt idx="281">
                  <c:v>392.82</c:v>
                </c:pt>
                <c:pt idx="282">
                  <c:v>395.87</c:v>
                </c:pt>
                <c:pt idx="283">
                  <c:v>391.37</c:v>
                </c:pt>
                <c:pt idx="284">
                  <c:v>390.69</c:v>
                </c:pt>
                <c:pt idx="285">
                  <c:v>398.09</c:v>
                </c:pt>
                <c:pt idx="286">
                  <c:v>393.45</c:v>
                </c:pt>
                <c:pt idx="287">
                  <c:v>393.55</c:v>
                </c:pt>
                <c:pt idx="288">
                  <c:v>401.91</c:v>
                </c:pt>
                <c:pt idx="289">
                  <c:v>401</c:v>
                </c:pt>
                <c:pt idx="290">
                  <c:v>411.64</c:v>
                </c:pt>
                <c:pt idx="291">
                  <c:v>411.25</c:v>
                </c:pt>
                <c:pt idx="292">
                  <c:v>417.59</c:v>
                </c:pt>
                <c:pt idx="293">
                  <c:v>419.55</c:v>
                </c:pt>
                <c:pt idx="294">
                  <c:v>422.22</c:v>
                </c:pt>
                <c:pt idx="295">
                  <c:v>420.93</c:v>
                </c:pt>
                <c:pt idx="296">
                  <c:v>417.59</c:v>
                </c:pt>
                <c:pt idx="297">
                  <c:v>428.8</c:v>
                </c:pt>
                <c:pt idx="298">
                  <c:v>434.37</c:v>
                </c:pt>
                <c:pt idx="299">
                  <c:v>441.95</c:v>
                </c:pt>
                <c:pt idx="300">
                  <c:v>437.85</c:v>
                </c:pt>
                <c:pt idx="301">
                  <c:v>449.48</c:v>
                </c:pt>
                <c:pt idx="302">
                  <c:v>443.76</c:v>
                </c:pt>
                <c:pt idx="303">
                  <c:v>444.81</c:v>
                </c:pt>
                <c:pt idx="304">
                  <c:v>450.25</c:v>
                </c:pt>
                <c:pt idx="305">
                  <c:v>445.76</c:v>
                </c:pt>
                <c:pt idx="306">
                  <c:v>444.91</c:v>
                </c:pt>
                <c:pt idx="307">
                  <c:v>441.05</c:v>
                </c:pt>
                <c:pt idx="308">
                  <c:v>441.67</c:v>
                </c:pt>
                <c:pt idx="309">
                  <c:v>442.86</c:v>
                </c:pt>
                <c:pt idx="310">
                  <c:v>443.76</c:v>
                </c:pt>
                <c:pt idx="311">
                  <c:v>451.82</c:v>
                </c:pt>
                <c:pt idx="312">
                  <c:v>454.15</c:v>
                </c:pt>
                <c:pt idx="313">
                  <c:v>454.96</c:v>
                </c:pt>
                <c:pt idx="314">
                  <c:v>448.39</c:v>
                </c:pt>
                <c:pt idx="315">
                  <c:v>446.19</c:v>
                </c:pt>
                <c:pt idx="316">
                  <c:v>440.52</c:v>
                </c:pt>
                <c:pt idx="317">
                  <c:v>442.43</c:v>
                </c:pt>
                <c:pt idx="318">
                  <c:v>435.75</c:v>
                </c:pt>
                <c:pt idx="319">
                  <c:v>435.14</c:v>
                </c:pt>
                <c:pt idx="320">
                  <c:v>433.94</c:v>
                </c:pt>
                <c:pt idx="321">
                  <c:v>430.37</c:v>
                </c:pt>
                <c:pt idx="322">
                  <c:v>429.94</c:v>
                </c:pt>
                <c:pt idx="323">
                  <c:v>434.8</c:v>
                </c:pt>
                <c:pt idx="324">
                  <c:v>430.56</c:v>
                </c:pt>
                <c:pt idx="325">
                  <c:v>436.8</c:v>
                </c:pt>
                <c:pt idx="326">
                  <c:v>438.61</c:v>
                </c:pt>
                <c:pt idx="327">
                  <c:v>434.37</c:v>
                </c:pt>
                <c:pt idx="328">
                  <c:v>431.94</c:v>
                </c:pt>
                <c:pt idx="329">
                  <c:v>431.32</c:v>
                </c:pt>
                <c:pt idx="330">
                  <c:v>428.18</c:v>
                </c:pt>
                <c:pt idx="331">
                  <c:v>436.71</c:v>
                </c:pt>
                <c:pt idx="332">
                  <c:v>441.62</c:v>
                </c:pt>
                <c:pt idx="333">
                  <c:v>430.65</c:v>
                </c:pt>
                <c:pt idx="334">
                  <c:v>432.85</c:v>
                </c:pt>
                <c:pt idx="335">
                  <c:v>428.8</c:v>
                </c:pt>
                <c:pt idx="336">
                  <c:v>415.45</c:v>
                </c:pt>
                <c:pt idx="337">
                  <c:v>416.78</c:v>
                </c:pt>
                <c:pt idx="338">
                  <c:v>414.93</c:v>
                </c:pt>
                <c:pt idx="339">
                  <c:v>417.36</c:v>
                </c:pt>
                <c:pt idx="340">
                  <c:v>419.79</c:v>
                </c:pt>
                <c:pt idx="341">
                  <c:v>419.17</c:v>
                </c:pt>
                <c:pt idx="342">
                  <c:v>415.88</c:v>
                </c:pt>
                <c:pt idx="343">
                  <c:v>416.4</c:v>
                </c:pt>
                <c:pt idx="344">
                  <c:v>418.74</c:v>
                </c:pt>
                <c:pt idx="345">
                  <c:v>418.17</c:v>
                </c:pt>
                <c:pt idx="346">
                  <c:v>421.31</c:v>
                </c:pt>
                <c:pt idx="347">
                  <c:v>415.64</c:v>
                </c:pt>
                <c:pt idx="348">
                  <c:v>416.16</c:v>
                </c:pt>
                <c:pt idx="349">
                  <c:v>414.11</c:v>
                </c:pt>
                <c:pt idx="350">
                  <c:v>416.55</c:v>
                </c:pt>
                <c:pt idx="351">
                  <c:v>412.49</c:v>
                </c:pt>
                <c:pt idx="352">
                  <c:v>415.02</c:v>
                </c:pt>
                <c:pt idx="353">
                  <c:v>413.02</c:v>
                </c:pt>
                <c:pt idx="354">
                  <c:v>411.02</c:v>
                </c:pt>
                <c:pt idx="355">
                  <c:v>408.11</c:v>
                </c:pt>
                <c:pt idx="356">
                  <c:v>408.39</c:v>
                </c:pt>
                <c:pt idx="357">
                  <c:v>410.35</c:v>
                </c:pt>
                <c:pt idx="358">
                  <c:v>413.5</c:v>
                </c:pt>
                <c:pt idx="359">
                  <c:v>414.07</c:v>
                </c:pt>
                <c:pt idx="360">
                  <c:v>412.49</c:v>
                </c:pt>
                <c:pt idx="361">
                  <c:v>415.54</c:v>
                </c:pt>
                <c:pt idx="362">
                  <c:v>417.83</c:v>
                </c:pt>
                <c:pt idx="363">
                  <c:v>429.37</c:v>
                </c:pt>
                <c:pt idx="364">
                  <c:v>430.56</c:v>
                </c:pt>
                <c:pt idx="365">
                  <c:v>432.28</c:v>
                </c:pt>
                <c:pt idx="366">
                  <c:v>427.99</c:v>
                </c:pt>
                <c:pt idx="367">
                  <c:v>427.41</c:v>
                </c:pt>
                <c:pt idx="368">
                  <c:v>429.65</c:v>
                </c:pt>
                <c:pt idx="369">
                  <c:v>427.32</c:v>
                </c:pt>
                <c:pt idx="370">
                  <c:v>423.65</c:v>
                </c:pt>
                <c:pt idx="371">
                  <c:v>419.88</c:v>
                </c:pt>
                <c:pt idx="372">
                  <c:v>421.5</c:v>
                </c:pt>
                <c:pt idx="373">
                  <c:v>415.69</c:v>
                </c:pt>
                <c:pt idx="374">
                  <c:v>415.74</c:v>
                </c:pt>
                <c:pt idx="375">
                  <c:v>419.21</c:v>
                </c:pt>
                <c:pt idx="376">
                  <c:v>423.65</c:v>
                </c:pt>
                <c:pt idx="377">
                  <c:v>420.17</c:v>
                </c:pt>
                <c:pt idx="378">
                  <c:v>428.18</c:v>
                </c:pt>
                <c:pt idx="379">
                  <c:v>421.79</c:v>
                </c:pt>
                <c:pt idx="380">
                  <c:v>421.93</c:v>
                </c:pt>
                <c:pt idx="381">
                  <c:v>422.41</c:v>
                </c:pt>
                <c:pt idx="382">
                  <c:v>426.6</c:v>
                </c:pt>
                <c:pt idx="383">
                  <c:v>431.8</c:v>
                </c:pt>
                <c:pt idx="384">
                  <c:v>430.94</c:v>
                </c:pt>
                <c:pt idx="385">
                  <c:v>427.41</c:v>
                </c:pt>
                <c:pt idx="386">
                  <c:v>428.94</c:v>
                </c:pt>
                <c:pt idx="387">
                  <c:v>432.32</c:v>
                </c:pt>
                <c:pt idx="388">
                  <c:v>430.08</c:v>
                </c:pt>
                <c:pt idx="389">
                  <c:v>426.32</c:v>
                </c:pt>
                <c:pt idx="390">
                  <c:v>421.98</c:v>
                </c:pt>
                <c:pt idx="391">
                  <c:v>425.08</c:v>
                </c:pt>
                <c:pt idx="392">
                  <c:v>426.56</c:v>
                </c:pt>
                <c:pt idx="393">
                  <c:v>422.41</c:v>
                </c:pt>
                <c:pt idx="394">
                  <c:v>417.07</c:v>
                </c:pt>
                <c:pt idx="395">
                  <c:v>420.45</c:v>
                </c:pt>
                <c:pt idx="396">
                  <c:v>419.17</c:v>
                </c:pt>
                <c:pt idx="397">
                  <c:v>422.12</c:v>
                </c:pt>
                <c:pt idx="398">
                  <c:v>419.55</c:v>
                </c:pt>
                <c:pt idx="399">
                  <c:v>420.79</c:v>
                </c:pt>
                <c:pt idx="400">
                  <c:v>422.65</c:v>
                </c:pt>
                <c:pt idx="401">
                  <c:v>429.84</c:v>
                </c:pt>
                <c:pt idx="402">
                  <c:v>429.42</c:v>
                </c:pt>
                <c:pt idx="403">
                  <c:v>433.04</c:v>
                </c:pt>
                <c:pt idx="404">
                  <c:v>426.89</c:v>
                </c:pt>
                <c:pt idx="405">
                  <c:v>421.03</c:v>
                </c:pt>
                <c:pt idx="406">
                  <c:v>420.41</c:v>
                </c:pt>
                <c:pt idx="407">
                  <c:v>429.22</c:v>
                </c:pt>
                <c:pt idx="408">
                  <c:v>428.22</c:v>
                </c:pt>
                <c:pt idx="409">
                  <c:v>427.79</c:v>
                </c:pt>
                <c:pt idx="410">
                  <c:v>430.65</c:v>
                </c:pt>
                <c:pt idx="411">
                  <c:v>437.23</c:v>
                </c:pt>
                <c:pt idx="412">
                  <c:v>431.23</c:v>
                </c:pt>
                <c:pt idx="413">
                  <c:v>433.66</c:v>
                </c:pt>
                <c:pt idx="414">
                  <c:v>433.71</c:v>
                </c:pt>
                <c:pt idx="415">
                  <c:v>434.75</c:v>
                </c:pt>
                <c:pt idx="416">
                  <c:v>438.61</c:v>
                </c:pt>
                <c:pt idx="417">
                  <c:v>443.1</c:v>
                </c:pt>
                <c:pt idx="418">
                  <c:v>443.95</c:v>
                </c:pt>
                <c:pt idx="419">
                  <c:v>446.57</c:v>
                </c:pt>
                <c:pt idx="420">
                  <c:v>443.33</c:v>
                </c:pt>
                <c:pt idx="421">
                  <c:v>450.2</c:v>
                </c:pt>
                <c:pt idx="422">
                  <c:v>440.71</c:v>
                </c:pt>
                <c:pt idx="423">
                  <c:v>449.34</c:v>
                </c:pt>
                <c:pt idx="424">
                  <c:v>467.55</c:v>
                </c:pt>
                <c:pt idx="425">
                  <c:v>469.17</c:v>
                </c:pt>
                <c:pt idx="426">
                  <c:v>456.49</c:v>
                </c:pt>
                <c:pt idx="427">
                  <c:v>450.44</c:v>
                </c:pt>
                <c:pt idx="428">
                  <c:v>450.29</c:v>
                </c:pt>
                <c:pt idx="429">
                  <c:v>450.82</c:v>
                </c:pt>
                <c:pt idx="430">
                  <c:v>449.96</c:v>
                </c:pt>
                <c:pt idx="431">
                  <c:v>450.25</c:v>
                </c:pt>
                <c:pt idx="432">
                  <c:v>451.06</c:v>
                </c:pt>
                <c:pt idx="433">
                  <c:v>444.1</c:v>
                </c:pt>
                <c:pt idx="434">
                  <c:v>446.53</c:v>
                </c:pt>
                <c:pt idx="435">
                  <c:v>451.77</c:v>
                </c:pt>
                <c:pt idx="436">
                  <c:v>452.91</c:v>
                </c:pt>
                <c:pt idx="437">
                  <c:v>444.57</c:v>
                </c:pt>
                <c:pt idx="438">
                  <c:v>441.62</c:v>
                </c:pt>
                <c:pt idx="439">
                  <c:v>430.51</c:v>
                </c:pt>
                <c:pt idx="440">
                  <c:v>428.37</c:v>
                </c:pt>
                <c:pt idx="441">
                  <c:v>424.32</c:v>
                </c:pt>
                <c:pt idx="442">
                  <c:v>424.89</c:v>
                </c:pt>
                <c:pt idx="443">
                  <c:v>423.98</c:v>
                </c:pt>
                <c:pt idx="444">
                  <c:v>426.75</c:v>
                </c:pt>
                <c:pt idx="445">
                  <c:v>426.17</c:v>
                </c:pt>
                <c:pt idx="446">
                  <c:v>431.7</c:v>
                </c:pt>
                <c:pt idx="447">
                  <c:v>432.42</c:v>
                </c:pt>
                <c:pt idx="448">
                  <c:v>431.94</c:v>
                </c:pt>
                <c:pt idx="449">
                  <c:v>427.18</c:v>
                </c:pt>
                <c:pt idx="450">
                  <c:v>423.74</c:v>
                </c:pt>
                <c:pt idx="451">
                  <c:v>424.6</c:v>
                </c:pt>
                <c:pt idx="452">
                  <c:v>416.55</c:v>
                </c:pt>
                <c:pt idx="453">
                  <c:v>417.98</c:v>
                </c:pt>
                <c:pt idx="454">
                  <c:v>422.22</c:v>
                </c:pt>
                <c:pt idx="455">
                  <c:v>423.22</c:v>
                </c:pt>
                <c:pt idx="456">
                  <c:v>422.12</c:v>
                </c:pt>
                <c:pt idx="457">
                  <c:v>420.07</c:v>
                </c:pt>
                <c:pt idx="458">
                  <c:v>422.69</c:v>
                </c:pt>
                <c:pt idx="459">
                  <c:v>419.17</c:v>
                </c:pt>
                <c:pt idx="460">
                  <c:v>424.7</c:v>
                </c:pt>
                <c:pt idx="461">
                  <c:v>428.89</c:v>
                </c:pt>
                <c:pt idx="462">
                  <c:v>421.69</c:v>
                </c:pt>
                <c:pt idx="463">
                  <c:v>416.53</c:v>
                </c:pt>
                <c:pt idx="464">
                  <c:v>414.23</c:v>
                </c:pt>
                <c:pt idx="465">
                  <c:v>407.05</c:v>
                </c:pt>
                <c:pt idx="466">
                  <c:v>402.96</c:v>
                </c:pt>
                <c:pt idx="467">
                  <c:v>398.83</c:v>
                </c:pt>
                <c:pt idx="468">
                  <c:v>394.23</c:v>
                </c:pt>
                <c:pt idx="469">
                  <c:v>394.09</c:v>
                </c:pt>
                <c:pt idx="470">
                  <c:v>401.51</c:v>
                </c:pt>
                <c:pt idx="471">
                  <c:v>398.08</c:v>
                </c:pt>
                <c:pt idx="472">
                  <c:v>401.69</c:v>
                </c:pt>
                <c:pt idx="473">
                  <c:v>394.79</c:v>
                </c:pt>
                <c:pt idx="474">
                  <c:v>394.74</c:v>
                </c:pt>
                <c:pt idx="475">
                  <c:v>399.39</c:v>
                </c:pt>
                <c:pt idx="476">
                  <c:v>397.94</c:v>
                </c:pt>
                <c:pt idx="477">
                  <c:v>405.12</c:v>
                </c:pt>
                <c:pt idx="478">
                  <c:v>402.59</c:v>
                </c:pt>
                <c:pt idx="479">
                  <c:v>398.69</c:v>
                </c:pt>
                <c:pt idx="480">
                  <c:v>401.08</c:v>
                </c:pt>
                <c:pt idx="481">
                  <c:v>398.55</c:v>
                </c:pt>
                <c:pt idx="482">
                  <c:v>399.58</c:v>
                </c:pt>
                <c:pt idx="483">
                  <c:v>390.61</c:v>
                </c:pt>
                <c:pt idx="484">
                  <c:v>387.09</c:v>
                </c:pt>
                <c:pt idx="485">
                  <c:v>386.44</c:v>
                </c:pt>
                <c:pt idx="486">
                  <c:v>383.76</c:v>
                </c:pt>
                <c:pt idx="487">
                  <c:v>383.34</c:v>
                </c:pt>
                <c:pt idx="488">
                  <c:v>375.87</c:v>
                </c:pt>
                <c:pt idx="489">
                  <c:v>374.42</c:v>
                </c:pt>
                <c:pt idx="490">
                  <c:v>374.18</c:v>
                </c:pt>
                <c:pt idx="491">
                  <c:v>375.73</c:v>
                </c:pt>
                <c:pt idx="492">
                  <c:v>371.46</c:v>
                </c:pt>
                <c:pt idx="493">
                  <c:v>369.53</c:v>
                </c:pt>
                <c:pt idx="494">
                  <c:v>371.83</c:v>
                </c:pt>
                <c:pt idx="495">
                  <c:v>364.84</c:v>
                </c:pt>
                <c:pt idx="496">
                  <c:v>363.71</c:v>
                </c:pt>
                <c:pt idx="497">
                  <c:v>362.82</c:v>
                </c:pt>
                <c:pt idx="498">
                  <c:v>355.78</c:v>
                </c:pt>
                <c:pt idx="499">
                  <c:v>360.1</c:v>
                </c:pt>
                <c:pt idx="500">
                  <c:v>359.39</c:v>
                </c:pt>
                <c:pt idx="501">
                  <c:v>356.58</c:v>
                </c:pt>
                <c:pt idx="502">
                  <c:v>357</c:v>
                </c:pt>
                <c:pt idx="503">
                  <c:v>355.59</c:v>
                </c:pt>
                <c:pt idx="504">
                  <c:v>357.42</c:v>
                </c:pt>
                <c:pt idx="505">
                  <c:v>354.7</c:v>
                </c:pt>
                <c:pt idx="506">
                  <c:v>353.95</c:v>
                </c:pt>
                <c:pt idx="507">
                  <c:v>355.68</c:v>
                </c:pt>
                <c:pt idx="508">
                  <c:v>352.63</c:v>
                </c:pt>
                <c:pt idx="509">
                  <c:v>358.17</c:v>
                </c:pt>
                <c:pt idx="510">
                  <c:v>356.25</c:v>
                </c:pt>
                <c:pt idx="511">
                  <c:v>356.53</c:v>
                </c:pt>
                <c:pt idx="512">
                  <c:v>360.24</c:v>
                </c:pt>
                <c:pt idx="513">
                  <c:v>364.32</c:v>
                </c:pt>
                <c:pt idx="514">
                  <c:v>363.85</c:v>
                </c:pt>
                <c:pt idx="515">
                  <c:v>368.45</c:v>
                </c:pt>
                <c:pt idx="516">
                  <c:v>364.46</c:v>
                </c:pt>
                <c:pt idx="517">
                  <c:v>361.46</c:v>
                </c:pt>
                <c:pt idx="518">
                  <c:v>352.63</c:v>
                </c:pt>
                <c:pt idx="519">
                  <c:v>355.59</c:v>
                </c:pt>
                <c:pt idx="520">
                  <c:v>353.71</c:v>
                </c:pt>
                <c:pt idx="521">
                  <c:v>358.88</c:v>
                </c:pt>
                <c:pt idx="522">
                  <c:v>361.6</c:v>
                </c:pt>
                <c:pt idx="523">
                  <c:v>363.95</c:v>
                </c:pt>
                <c:pt idx="524">
                  <c:v>360.43</c:v>
                </c:pt>
                <c:pt idx="525">
                  <c:v>358.92</c:v>
                </c:pt>
                <c:pt idx="526">
                  <c:v>360.61</c:v>
                </c:pt>
                <c:pt idx="527">
                  <c:v>360</c:v>
                </c:pt>
                <c:pt idx="528">
                  <c:v>359.2</c:v>
                </c:pt>
                <c:pt idx="529">
                  <c:v>358.88</c:v>
                </c:pt>
                <c:pt idx="530">
                  <c:v>357.23</c:v>
                </c:pt>
                <c:pt idx="531">
                  <c:v>345.91</c:v>
                </c:pt>
                <c:pt idx="532">
                  <c:v>343.27</c:v>
                </c:pt>
                <c:pt idx="533">
                  <c:v>345.96</c:v>
                </c:pt>
                <c:pt idx="534">
                  <c:v>347.16</c:v>
                </c:pt>
                <c:pt idx="535">
                  <c:v>345.03</c:v>
                </c:pt>
                <c:pt idx="536">
                  <c:v>354.41</c:v>
                </c:pt>
                <c:pt idx="537">
                  <c:v>351.87</c:v>
                </c:pt>
                <c:pt idx="538">
                  <c:v>349.98</c:v>
                </c:pt>
                <c:pt idx="539">
                  <c:v>334.08</c:v>
                </c:pt>
                <c:pt idx="540">
                  <c:v>325.70999999999998</c:v>
                </c:pt>
                <c:pt idx="541">
                  <c:v>318.73</c:v>
                </c:pt>
                <c:pt idx="542">
                  <c:v>319.83999999999997</c:v>
                </c:pt>
                <c:pt idx="543">
                  <c:v>313.60000000000002</c:v>
                </c:pt>
                <c:pt idx="544">
                  <c:v>313.32</c:v>
                </c:pt>
                <c:pt idx="545">
                  <c:v>312.20999999999998</c:v>
                </c:pt>
                <c:pt idx="546">
                  <c:v>309.3</c:v>
                </c:pt>
                <c:pt idx="547">
                  <c:v>307.04000000000002</c:v>
                </c:pt>
                <c:pt idx="548">
                  <c:v>309.35000000000002</c:v>
                </c:pt>
                <c:pt idx="549">
                  <c:v>307.13</c:v>
                </c:pt>
                <c:pt idx="550">
                  <c:v>305.24</c:v>
                </c:pt>
                <c:pt idx="551">
                  <c:v>303.89999999999998</c:v>
                </c:pt>
                <c:pt idx="552">
                  <c:v>304.91000000000003</c:v>
                </c:pt>
                <c:pt idx="553">
                  <c:v>306.70999999999998</c:v>
                </c:pt>
                <c:pt idx="554">
                  <c:v>308.19</c:v>
                </c:pt>
                <c:pt idx="555">
                  <c:v>312.49</c:v>
                </c:pt>
                <c:pt idx="556">
                  <c:v>309.72000000000003</c:v>
                </c:pt>
                <c:pt idx="557">
                  <c:v>308.24</c:v>
                </c:pt>
                <c:pt idx="558">
                  <c:v>302.27999999999997</c:v>
                </c:pt>
                <c:pt idx="559">
                  <c:v>306.07</c:v>
                </c:pt>
                <c:pt idx="560">
                  <c:v>307.69</c:v>
                </c:pt>
                <c:pt idx="561">
                  <c:v>306.48</c:v>
                </c:pt>
                <c:pt idx="562">
                  <c:v>310</c:v>
                </c:pt>
                <c:pt idx="563">
                  <c:v>309.12</c:v>
                </c:pt>
                <c:pt idx="564">
                  <c:v>307.95999999999998</c:v>
                </c:pt>
                <c:pt idx="565">
                  <c:v>309.3</c:v>
                </c:pt>
                <c:pt idx="566">
                  <c:v>302</c:v>
                </c:pt>
                <c:pt idx="567">
                  <c:v>307.32</c:v>
                </c:pt>
                <c:pt idx="568">
                  <c:v>309.81</c:v>
                </c:pt>
                <c:pt idx="569">
                  <c:v>314.43</c:v>
                </c:pt>
                <c:pt idx="570">
                  <c:v>314.76</c:v>
                </c:pt>
                <c:pt idx="571">
                  <c:v>309.77</c:v>
                </c:pt>
                <c:pt idx="572">
                  <c:v>313.23</c:v>
                </c:pt>
                <c:pt idx="573">
                  <c:v>319.29000000000002</c:v>
                </c:pt>
                <c:pt idx="574">
                  <c:v>319.47000000000003</c:v>
                </c:pt>
                <c:pt idx="575">
                  <c:v>317.25</c:v>
                </c:pt>
                <c:pt idx="576">
                  <c:v>315.58999999999997</c:v>
                </c:pt>
                <c:pt idx="577">
                  <c:v>312.82</c:v>
                </c:pt>
                <c:pt idx="578">
                  <c:v>314.39</c:v>
                </c:pt>
                <c:pt idx="579">
                  <c:v>311.8</c:v>
                </c:pt>
                <c:pt idx="580">
                  <c:v>311.29000000000002</c:v>
                </c:pt>
                <c:pt idx="581">
                  <c:v>311.66000000000003</c:v>
                </c:pt>
                <c:pt idx="582">
                  <c:v>313.88</c:v>
                </c:pt>
                <c:pt idx="583">
                  <c:v>314.29000000000002</c:v>
                </c:pt>
                <c:pt idx="584">
                  <c:v>316.42</c:v>
                </c:pt>
                <c:pt idx="585">
                  <c:v>314.33999999999997</c:v>
                </c:pt>
                <c:pt idx="586">
                  <c:v>314.57</c:v>
                </c:pt>
                <c:pt idx="587">
                  <c:v>314.99</c:v>
                </c:pt>
                <c:pt idx="588">
                  <c:v>314.11</c:v>
                </c:pt>
                <c:pt idx="589">
                  <c:v>314.52999999999997</c:v>
                </c:pt>
                <c:pt idx="590">
                  <c:v>311.70999999999998</c:v>
                </c:pt>
                <c:pt idx="591">
                  <c:v>315.27</c:v>
                </c:pt>
                <c:pt idx="592">
                  <c:v>317.72000000000003</c:v>
                </c:pt>
                <c:pt idx="593">
                  <c:v>318.08</c:v>
                </c:pt>
                <c:pt idx="594">
                  <c:v>319.14999999999998</c:v>
                </c:pt>
                <c:pt idx="595">
                  <c:v>320.95</c:v>
                </c:pt>
                <c:pt idx="596">
                  <c:v>329.41</c:v>
                </c:pt>
                <c:pt idx="597">
                  <c:v>329.09</c:v>
                </c:pt>
                <c:pt idx="598">
                  <c:v>333.43</c:v>
                </c:pt>
                <c:pt idx="599">
                  <c:v>326.77</c:v>
                </c:pt>
                <c:pt idx="600">
                  <c:v>326.87</c:v>
                </c:pt>
                <c:pt idx="601">
                  <c:v>326.95999999999998</c:v>
                </c:pt>
                <c:pt idx="602">
                  <c:v>327.84</c:v>
                </c:pt>
                <c:pt idx="603">
                  <c:v>323.08</c:v>
                </c:pt>
                <c:pt idx="604">
                  <c:v>322.33999999999997</c:v>
                </c:pt>
                <c:pt idx="605">
                  <c:v>319.66000000000003</c:v>
                </c:pt>
                <c:pt idx="606">
                  <c:v>319.66000000000003</c:v>
                </c:pt>
                <c:pt idx="607">
                  <c:v>320.12</c:v>
                </c:pt>
                <c:pt idx="608">
                  <c:v>321.41000000000003</c:v>
                </c:pt>
                <c:pt idx="609">
                  <c:v>319.47000000000003</c:v>
                </c:pt>
                <c:pt idx="610">
                  <c:v>323.26</c:v>
                </c:pt>
                <c:pt idx="611">
                  <c:v>320.16000000000003</c:v>
                </c:pt>
                <c:pt idx="612">
                  <c:v>314.57</c:v>
                </c:pt>
                <c:pt idx="613">
                  <c:v>307.13</c:v>
                </c:pt>
                <c:pt idx="614">
                  <c:v>306.99</c:v>
                </c:pt>
                <c:pt idx="615">
                  <c:v>303.8</c:v>
                </c:pt>
                <c:pt idx="616">
                  <c:v>305.14</c:v>
                </c:pt>
                <c:pt idx="617">
                  <c:v>301.63</c:v>
                </c:pt>
                <c:pt idx="618">
                  <c:v>303.06</c:v>
                </c:pt>
                <c:pt idx="619">
                  <c:v>308.83999999999997</c:v>
                </c:pt>
                <c:pt idx="620">
                  <c:v>311.2</c:v>
                </c:pt>
                <c:pt idx="621">
                  <c:v>307.69</c:v>
                </c:pt>
                <c:pt idx="622">
                  <c:v>299.87</c:v>
                </c:pt>
                <c:pt idx="623">
                  <c:v>307.08</c:v>
                </c:pt>
                <c:pt idx="624">
                  <c:v>307.87</c:v>
                </c:pt>
                <c:pt idx="625">
                  <c:v>300.38</c:v>
                </c:pt>
                <c:pt idx="626">
                  <c:v>309.52999999999997</c:v>
                </c:pt>
                <c:pt idx="627">
                  <c:v>307.45</c:v>
                </c:pt>
                <c:pt idx="628">
                  <c:v>320.20999999999998</c:v>
                </c:pt>
                <c:pt idx="629">
                  <c:v>318.95999999999998</c:v>
                </c:pt>
                <c:pt idx="630">
                  <c:v>315.17</c:v>
                </c:pt>
                <c:pt idx="631">
                  <c:v>310.60000000000002</c:v>
                </c:pt>
                <c:pt idx="632">
                  <c:v>310.23</c:v>
                </c:pt>
                <c:pt idx="633">
                  <c:v>306.25</c:v>
                </c:pt>
                <c:pt idx="634">
                  <c:v>308.83999999999997</c:v>
                </c:pt>
                <c:pt idx="635">
                  <c:v>310</c:v>
                </c:pt>
                <c:pt idx="636">
                  <c:v>309.12</c:v>
                </c:pt>
                <c:pt idx="637">
                  <c:v>305.88</c:v>
                </c:pt>
                <c:pt idx="638">
                  <c:v>305.51</c:v>
                </c:pt>
                <c:pt idx="639">
                  <c:v>304.95999999999998</c:v>
                </c:pt>
                <c:pt idx="640">
                  <c:v>301.45</c:v>
                </c:pt>
                <c:pt idx="641">
                  <c:v>302.42</c:v>
                </c:pt>
                <c:pt idx="642">
                  <c:v>303.99</c:v>
                </c:pt>
                <c:pt idx="643">
                  <c:v>298.72000000000003</c:v>
                </c:pt>
                <c:pt idx="644">
                  <c:v>293.58999999999997</c:v>
                </c:pt>
                <c:pt idx="645">
                  <c:v>296.27</c:v>
                </c:pt>
                <c:pt idx="646">
                  <c:v>289.83999999999997</c:v>
                </c:pt>
                <c:pt idx="647">
                  <c:v>289.24</c:v>
                </c:pt>
                <c:pt idx="648">
                  <c:v>288.74</c:v>
                </c:pt>
                <c:pt idx="649">
                  <c:v>290.35000000000002</c:v>
                </c:pt>
                <c:pt idx="650">
                  <c:v>292.02</c:v>
                </c:pt>
                <c:pt idx="651">
                  <c:v>290.63</c:v>
                </c:pt>
                <c:pt idx="652">
                  <c:v>288.41000000000003</c:v>
                </c:pt>
                <c:pt idx="653">
                  <c:v>291.79000000000002</c:v>
                </c:pt>
                <c:pt idx="654">
                  <c:v>288.92</c:v>
                </c:pt>
                <c:pt idx="655">
                  <c:v>287.07</c:v>
                </c:pt>
                <c:pt idx="656">
                  <c:v>285.22000000000003</c:v>
                </c:pt>
                <c:pt idx="657">
                  <c:v>283.10000000000002</c:v>
                </c:pt>
                <c:pt idx="658">
                  <c:v>287.67</c:v>
                </c:pt>
                <c:pt idx="659">
                  <c:v>289.47000000000003</c:v>
                </c:pt>
                <c:pt idx="660">
                  <c:v>287.35000000000002</c:v>
                </c:pt>
                <c:pt idx="661">
                  <c:v>286.10000000000002</c:v>
                </c:pt>
                <c:pt idx="662">
                  <c:v>284.85000000000002</c:v>
                </c:pt>
                <c:pt idx="663">
                  <c:v>286.52</c:v>
                </c:pt>
                <c:pt idx="664">
                  <c:v>284.25</c:v>
                </c:pt>
                <c:pt idx="665">
                  <c:v>280.14</c:v>
                </c:pt>
                <c:pt idx="666">
                  <c:v>280.51</c:v>
                </c:pt>
                <c:pt idx="667">
                  <c:v>281.16000000000003</c:v>
                </c:pt>
                <c:pt idx="668">
                  <c:v>279.58</c:v>
                </c:pt>
                <c:pt idx="669">
                  <c:v>278.33999999999997</c:v>
                </c:pt>
                <c:pt idx="670">
                  <c:v>277.83</c:v>
                </c:pt>
                <c:pt idx="671">
                  <c:v>276.89999999999998</c:v>
                </c:pt>
                <c:pt idx="672">
                  <c:v>275.64999999999998</c:v>
                </c:pt>
                <c:pt idx="673">
                  <c:v>272.33</c:v>
                </c:pt>
                <c:pt idx="674">
                  <c:v>272.97000000000003</c:v>
                </c:pt>
                <c:pt idx="675">
                  <c:v>271.36</c:v>
                </c:pt>
                <c:pt idx="676">
                  <c:v>268.86</c:v>
                </c:pt>
                <c:pt idx="677">
                  <c:v>271.82</c:v>
                </c:pt>
                <c:pt idx="678">
                  <c:v>270.57</c:v>
                </c:pt>
                <c:pt idx="679">
                  <c:v>272.7</c:v>
                </c:pt>
                <c:pt idx="680">
                  <c:v>270.89</c:v>
                </c:pt>
                <c:pt idx="681">
                  <c:v>269.88</c:v>
                </c:pt>
                <c:pt idx="682">
                  <c:v>267.43</c:v>
                </c:pt>
                <c:pt idx="683">
                  <c:v>265.20999999999998</c:v>
                </c:pt>
                <c:pt idx="684">
                  <c:v>269.83</c:v>
                </c:pt>
                <c:pt idx="685">
                  <c:v>262.85000000000002</c:v>
                </c:pt>
                <c:pt idx="686">
                  <c:v>252.82</c:v>
                </c:pt>
                <c:pt idx="687">
                  <c:v>253.33</c:v>
                </c:pt>
                <c:pt idx="688">
                  <c:v>251.3</c:v>
                </c:pt>
                <c:pt idx="689">
                  <c:v>249.54</c:v>
                </c:pt>
                <c:pt idx="690">
                  <c:v>245.75</c:v>
                </c:pt>
                <c:pt idx="691">
                  <c:v>245.43</c:v>
                </c:pt>
                <c:pt idx="692">
                  <c:v>245.24</c:v>
                </c:pt>
                <c:pt idx="693">
                  <c:v>249.49</c:v>
                </c:pt>
                <c:pt idx="694">
                  <c:v>244.13</c:v>
                </c:pt>
                <c:pt idx="695">
                  <c:v>243.39</c:v>
                </c:pt>
                <c:pt idx="696">
                  <c:v>240.99</c:v>
                </c:pt>
                <c:pt idx="697">
                  <c:v>243.49</c:v>
                </c:pt>
                <c:pt idx="698">
                  <c:v>245.38</c:v>
                </c:pt>
                <c:pt idx="699">
                  <c:v>244.64</c:v>
                </c:pt>
                <c:pt idx="700">
                  <c:v>249.73</c:v>
                </c:pt>
                <c:pt idx="701">
                  <c:v>250.37</c:v>
                </c:pt>
                <c:pt idx="702">
                  <c:v>247.65</c:v>
                </c:pt>
                <c:pt idx="703">
                  <c:v>253.19</c:v>
                </c:pt>
                <c:pt idx="704">
                  <c:v>254.02</c:v>
                </c:pt>
                <c:pt idx="705">
                  <c:v>252.08</c:v>
                </c:pt>
                <c:pt idx="706">
                  <c:v>252.82</c:v>
                </c:pt>
                <c:pt idx="707">
                  <c:v>251.3</c:v>
                </c:pt>
                <c:pt idx="708">
                  <c:v>250.19</c:v>
                </c:pt>
                <c:pt idx="709">
                  <c:v>248.71</c:v>
                </c:pt>
                <c:pt idx="710">
                  <c:v>248.85</c:v>
                </c:pt>
                <c:pt idx="711">
                  <c:v>246.54</c:v>
                </c:pt>
                <c:pt idx="712">
                  <c:v>246.31</c:v>
                </c:pt>
                <c:pt idx="713">
                  <c:v>244.63</c:v>
                </c:pt>
                <c:pt idx="714">
                  <c:v>247.93</c:v>
                </c:pt>
                <c:pt idx="715">
                  <c:v>252.9</c:v>
                </c:pt>
                <c:pt idx="716">
                  <c:v>248.97</c:v>
                </c:pt>
                <c:pt idx="717">
                  <c:v>240.98</c:v>
                </c:pt>
                <c:pt idx="718">
                  <c:v>239.08</c:v>
                </c:pt>
                <c:pt idx="719">
                  <c:v>229.51</c:v>
                </c:pt>
                <c:pt idx="720">
                  <c:v>233.57</c:v>
                </c:pt>
                <c:pt idx="721">
                  <c:v>228.42</c:v>
                </c:pt>
                <c:pt idx="722">
                  <c:v>230.91</c:v>
                </c:pt>
                <c:pt idx="723">
                  <c:v>234.61</c:v>
                </c:pt>
                <c:pt idx="724">
                  <c:v>237.5</c:v>
                </c:pt>
                <c:pt idx="725">
                  <c:v>240.84</c:v>
                </c:pt>
                <c:pt idx="726">
                  <c:v>236.69</c:v>
                </c:pt>
                <c:pt idx="727">
                  <c:v>234.61</c:v>
                </c:pt>
                <c:pt idx="728">
                  <c:v>237.68</c:v>
                </c:pt>
                <c:pt idx="729">
                  <c:v>234.43</c:v>
                </c:pt>
                <c:pt idx="730">
                  <c:v>235.83</c:v>
                </c:pt>
                <c:pt idx="731">
                  <c:v>232.58</c:v>
                </c:pt>
                <c:pt idx="732">
                  <c:v>233.89</c:v>
                </c:pt>
                <c:pt idx="733">
                  <c:v>230.54</c:v>
                </c:pt>
                <c:pt idx="734">
                  <c:v>235.83</c:v>
                </c:pt>
                <c:pt idx="735">
                  <c:v>235.2</c:v>
                </c:pt>
                <c:pt idx="736">
                  <c:v>234.43</c:v>
                </c:pt>
                <c:pt idx="737">
                  <c:v>236.23</c:v>
                </c:pt>
                <c:pt idx="738">
                  <c:v>243.96</c:v>
                </c:pt>
                <c:pt idx="739">
                  <c:v>243.46</c:v>
                </c:pt>
                <c:pt idx="740">
                  <c:v>239.17</c:v>
                </c:pt>
                <c:pt idx="741">
                  <c:v>241.61</c:v>
                </c:pt>
                <c:pt idx="742">
                  <c:v>241.88</c:v>
                </c:pt>
                <c:pt idx="743">
                  <c:v>231.81</c:v>
                </c:pt>
                <c:pt idx="744">
                  <c:v>234.47</c:v>
                </c:pt>
                <c:pt idx="745">
                  <c:v>234.34</c:v>
                </c:pt>
                <c:pt idx="746">
                  <c:v>230.73</c:v>
                </c:pt>
                <c:pt idx="747">
                  <c:v>228.78</c:v>
                </c:pt>
                <c:pt idx="748">
                  <c:v>226.39</c:v>
                </c:pt>
                <c:pt idx="749">
                  <c:v>225.08</c:v>
                </c:pt>
                <c:pt idx="750">
                  <c:v>229.96</c:v>
                </c:pt>
                <c:pt idx="751">
                  <c:v>232.17</c:v>
                </c:pt>
                <c:pt idx="752">
                  <c:v>228.83</c:v>
                </c:pt>
                <c:pt idx="753">
                  <c:v>230.18</c:v>
                </c:pt>
                <c:pt idx="754">
                  <c:v>227.61</c:v>
                </c:pt>
                <c:pt idx="755">
                  <c:v>225.58</c:v>
                </c:pt>
                <c:pt idx="756">
                  <c:v>220.83</c:v>
                </c:pt>
                <c:pt idx="757">
                  <c:v>221.2</c:v>
                </c:pt>
                <c:pt idx="758">
                  <c:v>219.12</c:v>
                </c:pt>
                <c:pt idx="759">
                  <c:v>214.83</c:v>
                </c:pt>
                <c:pt idx="760">
                  <c:v>215.87</c:v>
                </c:pt>
                <c:pt idx="761">
                  <c:v>213.47</c:v>
                </c:pt>
                <c:pt idx="762">
                  <c:v>209.54</c:v>
                </c:pt>
                <c:pt idx="763">
                  <c:v>207.06</c:v>
                </c:pt>
                <c:pt idx="764">
                  <c:v>204.94</c:v>
                </c:pt>
                <c:pt idx="765">
                  <c:v>203.18</c:v>
                </c:pt>
                <c:pt idx="766">
                  <c:v>203.67</c:v>
                </c:pt>
                <c:pt idx="767">
                  <c:v>198.16</c:v>
                </c:pt>
                <c:pt idx="768">
                  <c:v>194.46</c:v>
                </c:pt>
                <c:pt idx="769">
                  <c:v>194.96</c:v>
                </c:pt>
                <c:pt idx="770">
                  <c:v>193.24</c:v>
                </c:pt>
                <c:pt idx="771">
                  <c:v>188.32</c:v>
                </c:pt>
                <c:pt idx="772">
                  <c:v>195.05</c:v>
                </c:pt>
                <c:pt idx="773">
                  <c:v>194.05</c:v>
                </c:pt>
                <c:pt idx="774">
                  <c:v>196.9</c:v>
                </c:pt>
                <c:pt idx="775">
                  <c:v>200.42</c:v>
                </c:pt>
                <c:pt idx="776">
                  <c:v>201.1</c:v>
                </c:pt>
                <c:pt idx="777">
                  <c:v>201.19</c:v>
                </c:pt>
                <c:pt idx="778">
                  <c:v>201.42</c:v>
                </c:pt>
                <c:pt idx="779">
                  <c:v>198.21</c:v>
                </c:pt>
                <c:pt idx="780">
                  <c:v>205.21</c:v>
                </c:pt>
                <c:pt idx="781">
                  <c:v>205.03</c:v>
                </c:pt>
                <c:pt idx="782">
                  <c:v>203.18</c:v>
                </c:pt>
                <c:pt idx="783">
                  <c:v>204.15</c:v>
                </c:pt>
                <c:pt idx="784">
                  <c:v>203.22</c:v>
                </c:pt>
                <c:pt idx="785">
                  <c:v>206.84</c:v>
                </c:pt>
                <c:pt idx="786">
                  <c:v>206.97</c:v>
                </c:pt>
                <c:pt idx="787">
                  <c:v>204.94</c:v>
                </c:pt>
                <c:pt idx="788">
                  <c:v>201.06</c:v>
                </c:pt>
                <c:pt idx="789">
                  <c:v>194.39</c:v>
                </c:pt>
                <c:pt idx="790">
                  <c:v>192.1</c:v>
                </c:pt>
                <c:pt idx="791">
                  <c:v>189.45</c:v>
                </c:pt>
                <c:pt idx="792">
                  <c:v>189.19</c:v>
                </c:pt>
                <c:pt idx="793">
                  <c:v>186.98</c:v>
                </c:pt>
                <c:pt idx="794">
                  <c:v>191.61</c:v>
                </c:pt>
                <c:pt idx="795">
                  <c:v>193.11</c:v>
                </c:pt>
                <c:pt idx="796">
                  <c:v>194.53</c:v>
                </c:pt>
                <c:pt idx="797">
                  <c:v>194.88</c:v>
                </c:pt>
                <c:pt idx="798">
                  <c:v>198.28</c:v>
                </c:pt>
                <c:pt idx="799">
                  <c:v>196.51</c:v>
                </c:pt>
                <c:pt idx="800">
                  <c:v>197.71</c:v>
                </c:pt>
                <c:pt idx="801">
                  <c:v>196.65</c:v>
                </c:pt>
                <c:pt idx="802">
                  <c:v>195.94</c:v>
                </c:pt>
                <c:pt idx="803">
                  <c:v>197.13</c:v>
                </c:pt>
                <c:pt idx="804">
                  <c:v>192.81</c:v>
                </c:pt>
                <c:pt idx="805">
                  <c:v>193.07</c:v>
                </c:pt>
                <c:pt idx="806">
                  <c:v>194.7</c:v>
                </c:pt>
                <c:pt idx="807">
                  <c:v>194.44</c:v>
                </c:pt>
                <c:pt idx="808">
                  <c:v>193.42</c:v>
                </c:pt>
                <c:pt idx="809">
                  <c:v>192.5</c:v>
                </c:pt>
                <c:pt idx="810">
                  <c:v>190.69</c:v>
                </c:pt>
                <c:pt idx="811">
                  <c:v>191.35</c:v>
                </c:pt>
                <c:pt idx="812">
                  <c:v>194.26</c:v>
                </c:pt>
                <c:pt idx="813">
                  <c:v>192.06</c:v>
                </c:pt>
                <c:pt idx="814">
                  <c:v>192.45</c:v>
                </c:pt>
                <c:pt idx="815">
                  <c:v>191.83</c:v>
                </c:pt>
                <c:pt idx="816">
                  <c:v>187.16</c:v>
                </c:pt>
                <c:pt idx="817">
                  <c:v>187.6</c:v>
                </c:pt>
                <c:pt idx="818">
                  <c:v>187.51</c:v>
                </c:pt>
                <c:pt idx="819">
                  <c:v>192.41</c:v>
                </c:pt>
                <c:pt idx="820">
                  <c:v>196.78</c:v>
                </c:pt>
                <c:pt idx="821">
                  <c:v>197.79</c:v>
                </c:pt>
                <c:pt idx="822">
                  <c:v>201.81</c:v>
                </c:pt>
                <c:pt idx="823">
                  <c:v>207.11</c:v>
                </c:pt>
                <c:pt idx="824">
                  <c:v>208.43</c:v>
                </c:pt>
                <c:pt idx="825">
                  <c:v>207.81</c:v>
                </c:pt>
                <c:pt idx="826">
                  <c:v>198.59</c:v>
                </c:pt>
                <c:pt idx="827">
                  <c:v>194.79</c:v>
                </c:pt>
                <c:pt idx="828">
                  <c:v>192.36</c:v>
                </c:pt>
                <c:pt idx="829">
                  <c:v>195.67</c:v>
                </c:pt>
                <c:pt idx="830">
                  <c:v>199.03</c:v>
                </c:pt>
                <c:pt idx="831">
                  <c:v>195.9</c:v>
                </c:pt>
                <c:pt idx="832">
                  <c:v>195.23</c:v>
                </c:pt>
                <c:pt idx="833">
                  <c:v>195.54</c:v>
                </c:pt>
                <c:pt idx="834">
                  <c:v>197.75</c:v>
                </c:pt>
                <c:pt idx="835">
                  <c:v>204.19</c:v>
                </c:pt>
                <c:pt idx="836">
                  <c:v>201.02</c:v>
                </c:pt>
                <c:pt idx="837">
                  <c:v>204.46</c:v>
                </c:pt>
                <c:pt idx="838">
                  <c:v>203.84</c:v>
                </c:pt>
                <c:pt idx="839">
                  <c:v>209.67</c:v>
                </c:pt>
                <c:pt idx="840">
                  <c:v>211.43</c:v>
                </c:pt>
                <c:pt idx="841">
                  <c:v>207.86</c:v>
                </c:pt>
                <c:pt idx="842">
                  <c:v>210.2</c:v>
                </c:pt>
                <c:pt idx="843">
                  <c:v>205.61</c:v>
                </c:pt>
                <c:pt idx="844">
                  <c:v>203.05</c:v>
                </c:pt>
                <c:pt idx="845">
                  <c:v>203.8</c:v>
                </c:pt>
                <c:pt idx="846">
                  <c:v>201.94</c:v>
                </c:pt>
                <c:pt idx="847">
                  <c:v>202.87</c:v>
                </c:pt>
                <c:pt idx="848">
                  <c:v>200</c:v>
                </c:pt>
                <c:pt idx="849">
                  <c:v>196.38</c:v>
                </c:pt>
                <c:pt idx="850">
                  <c:v>199.16</c:v>
                </c:pt>
                <c:pt idx="851">
                  <c:v>200.27</c:v>
                </c:pt>
                <c:pt idx="852">
                  <c:v>197.04</c:v>
                </c:pt>
                <c:pt idx="853">
                  <c:v>198.72</c:v>
                </c:pt>
                <c:pt idx="854">
                  <c:v>210.51</c:v>
                </c:pt>
                <c:pt idx="855">
                  <c:v>208.96</c:v>
                </c:pt>
                <c:pt idx="856">
                  <c:v>206.05</c:v>
                </c:pt>
                <c:pt idx="857">
                  <c:v>208.87</c:v>
                </c:pt>
                <c:pt idx="858">
                  <c:v>216.02</c:v>
                </c:pt>
                <c:pt idx="859">
                  <c:v>217.7</c:v>
                </c:pt>
                <c:pt idx="860">
                  <c:v>217.13</c:v>
                </c:pt>
                <c:pt idx="861">
                  <c:v>231.78</c:v>
                </c:pt>
                <c:pt idx="862">
                  <c:v>226.49</c:v>
                </c:pt>
                <c:pt idx="863">
                  <c:v>220</c:v>
                </c:pt>
                <c:pt idx="864">
                  <c:v>213.02</c:v>
                </c:pt>
                <c:pt idx="865">
                  <c:v>210.15</c:v>
                </c:pt>
                <c:pt idx="866">
                  <c:v>204.55</c:v>
                </c:pt>
                <c:pt idx="867">
                  <c:v>205.65</c:v>
                </c:pt>
                <c:pt idx="868">
                  <c:v>204.15</c:v>
                </c:pt>
                <c:pt idx="869">
                  <c:v>207.2</c:v>
                </c:pt>
                <c:pt idx="870">
                  <c:v>208.87</c:v>
                </c:pt>
                <c:pt idx="871">
                  <c:v>207.77</c:v>
                </c:pt>
                <c:pt idx="872">
                  <c:v>208.48</c:v>
                </c:pt>
                <c:pt idx="873">
                  <c:v>210.2</c:v>
                </c:pt>
                <c:pt idx="874">
                  <c:v>209.89</c:v>
                </c:pt>
                <c:pt idx="875">
                  <c:v>210.73</c:v>
                </c:pt>
                <c:pt idx="876">
                  <c:v>210.51</c:v>
                </c:pt>
                <c:pt idx="877">
                  <c:v>214.08</c:v>
                </c:pt>
                <c:pt idx="878">
                  <c:v>214.96</c:v>
                </c:pt>
                <c:pt idx="879">
                  <c:v>213.2</c:v>
                </c:pt>
                <c:pt idx="880">
                  <c:v>206.36</c:v>
                </c:pt>
                <c:pt idx="881">
                  <c:v>204.06</c:v>
                </c:pt>
                <c:pt idx="882">
                  <c:v>203.71</c:v>
                </c:pt>
                <c:pt idx="883">
                  <c:v>190.69</c:v>
                </c:pt>
                <c:pt idx="884">
                  <c:v>190.78</c:v>
                </c:pt>
                <c:pt idx="885">
                  <c:v>189.05</c:v>
                </c:pt>
                <c:pt idx="886">
                  <c:v>187.73</c:v>
                </c:pt>
                <c:pt idx="887">
                  <c:v>186.49</c:v>
                </c:pt>
                <c:pt idx="888">
                  <c:v>186.94</c:v>
                </c:pt>
                <c:pt idx="889">
                  <c:v>184.77</c:v>
                </c:pt>
                <c:pt idx="890">
                  <c:v>185.92</c:v>
                </c:pt>
                <c:pt idx="891">
                  <c:v>185.17</c:v>
                </c:pt>
                <c:pt idx="892">
                  <c:v>184.95</c:v>
                </c:pt>
                <c:pt idx="893">
                  <c:v>186.54</c:v>
                </c:pt>
                <c:pt idx="894">
                  <c:v>183.62</c:v>
                </c:pt>
                <c:pt idx="895">
                  <c:v>181.77</c:v>
                </c:pt>
                <c:pt idx="896">
                  <c:v>180.62</c:v>
                </c:pt>
                <c:pt idx="897">
                  <c:v>182.21</c:v>
                </c:pt>
                <c:pt idx="898">
                  <c:v>181.64</c:v>
                </c:pt>
                <c:pt idx="899">
                  <c:v>182.12</c:v>
                </c:pt>
                <c:pt idx="900">
                  <c:v>184.42</c:v>
                </c:pt>
                <c:pt idx="901">
                  <c:v>184.46</c:v>
                </c:pt>
                <c:pt idx="902">
                  <c:v>184.68</c:v>
                </c:pt>
                <c:pt idx="903">
                  <c:v>186.18</c:v>
                </c:pt>
                <c:pt idx="904">
                  <c:v>186.67</c:v>
                </c:pt>
                <c:pt idx="905">
                  <c:v>184.42</c:v>
                </c:pt>
                <c:pt idx="906">
                  <c:v>184.2</c:v>
                </c:pt>
                <c:pt idx="907">
                  <c:v>185.26</c:v>
                </c:pt>
                <c:pt idx="908">
                  <c:v>188.74</c:v>
                </c:pt>
                <c:pt idx="909">
                  <c:v>189.14</c:v>
                </c:pt>
                <c:pt idx="910">
                  <c:v>190.02</c:v>
                </c:pt>
                <c:pt idx="911">
                  <c:v>184.15</c:v>
                </c:pt>
                <c:pt idx="912">
                  <c:v>185.3</c:v>
                </c:pt>
                <c:pt idx="913">
                  <c:v>183.01</c:v>
                </c:pt>
                <c:pt idx="914">
                  <c:v>180.93</c:v>
                </c:pt>
                <c:pt idx="915">
                  <c:v>181.9</c:v>
                </c:pt>
                <c:pt idx="916">
                  <c:v>184.6</c:v>
                </c:pt>
                <c:pt idx="917">
                  <c:v>184.2</c:v>
                </c:pt>
                <c:pt idx="918">
                  <c:v>186.41</c:v>
                </c:pt>
                <c:pt idx="919">
                  <c:v>187.51</c:v>
                </c:pt>
                <c:pt idx="920">
                  <c:v>182.74</c:v>
                </c:pt>
                <c:pt idx="921">
                  <c:v>182.57</c:v>
                </c:pt>
                <c:pt idx="922">
                  <c:v>183.4</c:v>
                </c:pt>
                <c:pt idx="923">
                  <c:v>183.54</c:v>
                </c:pt>
                <c:pt idx="924">
                  <c:v>182.08</c:v>
                </c:pt>
                <c:pt idx="925">
                  <c:v>180.18</c:v>
                </c:pt>
                <c:pt idx="926">
                  <c:v>178.2</c:v>
                </c:pt>
                <c:pt idx="927">
                  <c:v>177.53</c:v>
                </c:pt>
                <c:pt idx="928">
                  <c:v>177.75</c:v>
                </c:pt>
                <c:pt idx="929">
                  <c:v>178.33</c:v>
                </c:pt>
                <c:pt idx="930">
                  <c:v>179.87</c:v>
                </c:pt>
                <c:pt idx="931">
                  <c:v>178.77</c:v>
                </c:pt>
                <c:pt idx="932">
                  <c:v>179.78</c:v>
                </c:pt>
                <c:pt idx="933">
                  <c:v>178.68</c:v>
                </c:pt>
                <c:pt idx="934">
                  <c:v>179.21</c:v>
                </c:pt>
                <c:pt idx="935">
                  <c:v>178.95</c:v>
                </c:pt>
                <c:pt idx="936">
                  <c:v>179.48</c:v>
                </c:pt>
                <c:pt idx="937">
                  <c:v>179.74</c:v>
                </c:pt>
                <c:pt idx="938">
                  <c:v>181.02</c:v>
                </c:pt>
                <c:pt idx="939">
                  <c:v>179.43</c:v>
                </c:pt>
                <c:pt idx="940">
                  <c:v>180.05</c:v>
                </c:pt>
                <c:pt idx="941">
                  <c:v>181.06</c:v>
                </c:pt>
                <c:pt idx="942">
                  <c:v>180.49</c:v>
                </c:pt>
                <c:pt idx="943">
                  <c:v>180.58</c:v>
                </c:pt>
                <c:pt idx="944">
                  <c:v>181.55</c:v>
                </c:pt>
                <c:pt idx="945">
                  <c:v>183.49</c:v>
                </c:pt>
                <c:pt idx="946">
                  <c:v>182.79</c:v>
                </c:pt>
                <c:pt idx="947">
                  <c:v>183.01</c:v>
                </c:pt>
                <c:pt idx="948">
                  <c:v>183.54</c:v>
                </c:pt>
                <c:pt idx="949">
                  <c:v>184.77</c:v>
                </c:pt>
                <c:pt idx="950">
                  <c:v>182.52</c:v>
                </c:pt>
                <c:pt idx="951">
                  <c:v>183.51</c:v>
                </c:pt>
                <c:pt idx="952">
                  <c:v>181.62</c:v>
                </c:pt>
                <c:pt idx="953">
                  <c:v>179.3</c:v>
                </c:pt>
                <c:pt idx="954">
                  <c:v>179.56</c:v>
                </c:pt>
                <c:pt idx="955">
                  <c:v>179.51</c:v>
                </c:pt>
                <c:pt idx="956">
                  <c:v>184.88</c:v>
                </c:pt>
                <c:pt idx="957">
                  <c:v>186.04</c:v>
                </c:pt>
                <c:pt idx="958">
                  <c:v>182.86</c:v>
                </c:pt>
                <c:pt idx="959">
                  <c:v>181.36</c:v>
                </c:pt>
                <c:pt idx="960">
                  <c:v>180.89</c:v>
                </c:pt>
                <c:pt idx="961">
                  <c:v>181.15</c:v>
                </c:pt>
                <c:pt idx="962">
                  <c:v>181.66</c:v>
                </c:pt>
                <c:pt idx="963">
                  <c:v>179.56</c:v>
                </c:pt>
                <c:pt idx="964">
                  <c:v>177.8</c:v>
                </c:pt>
                <c:pt idx="965">
                  <c:v>178.44</c:v>
                </c:pt>
                <c:pt idx="966">
                  <c:v>180.42</c:v>
                </c:pt>
                <c:pt idx="967">
                  <c:v>182.61</c:v>
                </c:pt>
                <c:pt idx="968">
                  <c:v>182.31</c:v>
                </c:pt>
                <c:pt idx="969">
                  <c:v>174.58</c:v>
                </c:pt>
                <c:pt idx="970">
                  <c:v>175.22</c:v>
                </c:pt>
                <c:pt idx="971">
                  <c:v>176.55</c:v>
                </c:pt>
                <c:pt idx="972">
                  <c:v>176.38</c:v>
                </c:pt>
                <c:pt idx="973">
                  <c:v>174.15</c:v>
                </c:pt>
                <c:pt idx="974">
                  <c:v>172.99</c:v>
                </c:pt>
                <c:pt idx="975">
                  <c:v>171.44</c:v>
                </c:pt>
                <c:pt idx="976">
                  <c:v>172.6</c:v>
                </c:pt>
                <c:pt idx="977">
                  <c:v>174.02</c:v>
                </c:pt>
                <c:pt idx="978">
                  <c:v>175.48</c:v>
                </c:pt>
                <c:pt idx="979">
                  <c:v>176.51</c:v>
                </c:pt>
                <c:pt idx="980">
                  <c:v>176.42</c:v>
                </c:pt>
                <c:pt idx="981">
                  <c:v>176.34</c:v>
                </c:pt>
                <c:pt idx="982">
                  <c:v>176.38</c:v>
                </c:pt>
                <c:pt idx="983">
                  <c:v>176.85</c:v>
                </c:pt>
                <c:pt idx="984">
                  <c:v>174.83</c:v>
                </c:pt>
                <c:pt idx="985">
                  <c:v>176.59</c:v>
                </c:pt>
                <c:pt idx="986">
                  <c:v>178.61</c:v>
                </c:pt>
                <c:pt idx="987">
                  <c:v>177.54</c:v>
                </c:pt>
                <c:pt idx="988">
                  <c:v>179.26</c:v>
                </c:pt>
                <c:pt idx="989">
                  <c:v>176.34</c:v>
                </c:pt>
                <c:pt idx="990">
                  <c:v>183.04</c:v>
                </c:pt>
                <c:pt idx="991">
                  <c:v>183.17</c:v>
                </c:pt>
                <c:pt idx="992">
                  <c:v>183.64</c:v>
                </c:pt>
                <c:pt idx="993">
                  <c:v>182.65</c:v>
                </c:pt>
                <c:pt idx="994">
                  <c:v>182.56</c:v>
                </c:pt>
                <c:pt idx="995">
                  <c:v>189.01</c:v>
                </c:pt>
                <c:pt idx="996">
                  <c:v>187.67</c:v>
                </c:pt>
                <c:pt idx="997">
                  <c:v>184.28</c:v>
                </c:pt>
                <c:pt idx="998">
                  <c:v>181.15</c:v>
                </c:pt>
                <c:pt idx="999">
                  <c:v>181.75</c:v>
                </c:pt>
                <c:pt idx="1000">
                  <c:v>185.48</c:v>
                </c:pt>
                <c:pt idx="1001">
                  <c:v>190.85</c:v>
                </c:pt>
                <c:pt idx="1002">
                  <c:v>194.12</c:v>
                </c:pt>
                <c:pt idx="1003">
                  <c:v>191.5</c:v>
                </c:pt>
                <c:pt idx="1004">
                  <c:v>186.94</c:v>
                </c:pt>
                <c:pt idx="1005">
                  <c:v>180.89</c:v>
                </c:pt>
                <c:pt idx="1006">
                  <c:v>178.53</c:v>
                </c:pt>
                <c:pt idx="1007">
                  <c:v>176.47</c:v>
                </c:pt>
                <c:pt idx="1008">
                  <c:v>176.25</c:v>
                </c:pt>
                <c:pt idx="1009">
                  <c:v>177.37</c:v>
                </c:pt>
                <c:pt idx="1010">
                  <c:v>178.48</c:v>
                </c:pt>
                <c:pt idx="1011">
                  <c:v>178.66</c:v>
                </c:pt>
                <c:pt idx="1012">
                  <c:v>179.13</c:v>
                </c:pt>
                <c:pt idx="1013">
                  <c:v>180.12</c:v>
                </c:pt>
                <c:pt idx="1014">
                  <c:v>180.33</c:v>
                </c:pt>
                <c:pt idx="1015">
                  <c:v>180.29</c:v>
                </c:pt>
                <c:pt idx="1016">
                  <c:v>177.71</c:v>
                </c:pt>
                <c:pt idx="1017">
                  <c:v>175.09</c:v>
                </c:pt>
                <c:pt idx="1018">
                  <c:v>179.64</c:v>
                </c:pt>
                <c:pt idx="1019">
                  <c:v>179.39</c:v>
                </c:pt>
                <c:pt idx="1020">
                  <c:v>179.09</c:v>
                </c:pt>
                <c:pt idx="1021">
                  <c:v>177.84</c:v>
                </c:pt>
                <c:pt idx="1022">
                  <c:v>181.19</c:v>
                </c:pt>
                <c:pt idx="1023">
                  <c:v>183.62</c:v>
                </c:pt>
                <c:pt idx="1024">
                  <c:v>182.7</c:v>
                </c:pt>
                <c:pt idx="1025">
                  <c:v>183.12</c:v>
                </c:pt>
                <c:pt idx="1026">
                  <c:v>183.41</c:v>
                </c:pt>
                <c:pt idx="1027">
                  <c:v>182.45</c:v>
                </c:pt>
                <c:pt idx="1028">
                  <c:v>190</c:v>
                </c:pt>
                <c:pt idx="1029">
                  <c:v>190.92</c:v>
                </c:pt>
                <c:pt idx="1030">
                  <c:v>192.14</c:v>
                </c:pt>
                <c:pt idx="1031">
                  <c:v>195.58</c:v>
                </c:pt>
                <c:pt idx="1032">
                  <c:v>196.63</c:v>
                </c:pt>
                <c:pt idx="1033">
                  <c:v>192.94</c:v>
                </c:pt>
                <c:pt idx="1034">
                  <c:v>181.86</c:v>
                </c:pt>
                <c:pt idx="1035">
                  <c:v>183.08</c:v>
                </c:pt>
                <c:pt idx="1036">
                  <c:v>181.19</c:v>
                </c:pt>
                <c:pt idx="1037">
                  <c:v>170.53</c:v>
                </c:pt>
                <c:pt idx="1038">
                  <c:v>173.34</c:v>
                </c:pt>
                <c:pt idx="1039">
                  <c:v>176.74</c:v>
                </c:pt>
                <c:pt idx="1040">
                  <c:v>174.35</c:v>
                </c:pt>
                <c:pt idx="1041">
                  <c:v>176.78</c:v>
                </c:pt>
                <c:pt idx="1042">
                  <c:v>179.3</c:v>
                </c:pt>
                <c:pt idx="1043">
                  <c:v>182.62</c:v>
                </c:pt>
                <c:pt idx="1044">
                  <c:v>183.62</c:v>
                </c:pt>
                <c:pt idx="1045">
                  <c:v>184.38</c:v>
                </c:pt>
                <c:pt idx="1046">
                  <c:v>182.78</c:v>
                </c:pt>
                <c:pt idx="1047">
                  <c:v>179.68</c:v>
                </c:pt>
                <c:pt idx="1048">
                  <c:v>177.25</c:v>
                </c:pt>
                <c:pt idx="1049">
                  <c:v>173.22</c:v>
                </c:pt>
                <c:pt idx="1050">
                  <c:v>169.9</c:v>
                </c:pt>
                <c:pt idx="1051">
                  <c:v>169.07</c:v>
                </c:pt>
                <c:pt idx="1052">
                  <c:v>170.16</c:v>
                </c:pt>
                <c:pt idx="1053">
                  <c:v>172.34</c:v>
                </c:pt>
                <c:pt idx="1054">
                  <c:v>177.41</c:v>
                </c:pt>
                <c:pt idx="1055">
                  <c:v>179.05</c:v>
                </c:pt>
                <c:pt idx="1056">
                  <c:v>179.43</c:v>
                </c:pt>
                <c:pt idx="1057">
                  <c:v>175.36</c:v>
                </c:pt>
                <c:pt idx="1058">
                  <c:v>177.16</c:v>
                </c:pt>
                <c:pt idx="1059">
                  <c:v>177.5</c:v>
                </c:pt>
                <c:pt idx="1060">
                  <c:v>175.78</c:v>
                </c:pt>
                <c:pt idx="1061">
                  <c:v>175.02</c:v>
                </c:pt>
                <c:pt idx="1062">
                  <c:v>174.31</c:v>
                </c:pt>
                <c:pt idx="1063">
                  <c:v>170.66</c:v>
                </c:pt>
                <c:pt idx="1064">
                  <c:v>170.28</c:v>
                </c:pt>
                <c:pt idx="1065">
                  <c:v>179.97</c:v>
                </c:pt>
                <c:pt idx="1066">
                  <c:v>178.76</c:v>
                </c:pt>
                <c:pt idx="1067">
                  <c:v>179.55</c:v>
                </c:pt>
                <c:pt idx="1068">
                  <c:v>179.18</c:v>
                </c:pt>
                <c:pt idx="1069">
                  <c:v>181.15</c:v>
                </c:pt>
                <c:pt idx="1070">
                  <c:v>181.48</c:v>
                </c:pt>
                <c:pt idx="1071">
                  <c:v>178.46</c:v>
                </c:pt>
                <c:pt idx="1072">
                  <c:v>172.34</c:v>
                </c:pt>
                <c:pt idx="1073">
                  <c:v>169.86</c:v>
                </c:pt>
                <c:pt idx="1074">
                  <c:v>170.45</c:v>
                </c:pt>
                <c:pt idx="1075">
                  <c:v>166.3</c:v>
                </c:pt>
                <c:pt idx="1076">
                  <c:v>164.62</c:v>
                </c:pt>
                <c:pt idx="1077">
                  <c:v>164.41</c:v>
                </c:pt>
                <c:pt idx="1078">
                  <c:v>163.11000000000001</c:v>
                </c:pt>
                <c:pt idx="1079">
                  <c:v>162.47999999999999</c:v>
                </c:pt>
                <c:pt idx="1080">
                  <c:v>163.44</c:v>
                </c:pt>
                <c:pt idx="1081">
                  <c:v>162.65</c:v>
                </c:pt>
                <c:pt idx="1082">
                  <c:v>164.07</c:v>
                </c:pt>
                <c:pt idx="1083">
                  <c:v>160.13</c:v>
                </c:pt>
                <c:pt idx="1084">
                  <c:v>160.84</c:v>
                </c:pt>
                <c:pt idx="1085">
                  <c:v>157.65</c:v>
                </c:pt>
                <c:pt idx="1086">
                  <c:v>154.41999999999999</c:v>
                </c:pt>
                <c:pt idx="1087">
                  <c:v>157.19</c:v>
                </c:pt>
                <c:pt idx="1088">
                  <c:v>158.24</c:v>
                </c:pt>
                <c:pt idx="1089">
                  <c:v>156.97999999999999</c:v>
                </c:pt>
                <c:pt idx="1090">
                  <c:v>157.74</c:v>
                </c:pt>
                <c:pt idx="1091">
                  <c:v>155.47</c:v>
                </c:pt>
                <c:pt idx="1092">
                  <c:v>149.63999999999999</c:v>
                </c:pt>
                <c:pt idx="1093">
                  <c:v>144.99</c:v>
                </c:pt>
                <c:pt idx="1094">
                  <c:v>145.94999999999999</c:v>
                </c:pt>
                <c:pt idx="1095">
                  <c:v>146.62</c:v>
                </c:pt>
                <c:pt idx="1096">
                  <c:v>142.47</c:v>
                </c:pt>
                <c:pt idx="1097">
                  <c:v>142.72</c:v>
                </c:pt>
                <c:pt idx="1098">
                  <c:v>139.91</c:v>
                </c:pt>
                <c:pt idx="1099">
                  <c:v>138.65</c:v>
                </c:pt>
                <c:pt idx="1100">
                  <c:v>137.47999999999999</c:v>
                </c:pt>
                <c:pt idx="1101">
                  <c:v>138.86000000000001</c:v>
                </c:pt>
                <c:pt idx="1102">
                  <c:v>140.29</c:v>
                </c:pt>
                <c:pt idx="1103">
                  <c:v>141.41999999999999</c:v>
                </c:pt>
                <c:pt idx="1104">
                  <c:v>143.27000000000001</c:v>
                </c:pt>
                <c:pt idx="1105">
                  <c:v>141.41999999999999</c:v>
                </c:pt>
                <c:pt idx="1106">
                  <c:v>140.66</c:v>
                </c:pt>
                <c:pt idx="1107">
                  <c:v>140.5</c:v>
                </c:pt>
                <c:pt idx="1108">
                  <c:v>141.16999999999999</c:v>
                </c:pt>
                <c:pt idx="1109">
                  <c:v>139.03</c:v>
                </c:pt>
                <c:pt idx="1110">
                  <c:v>138.47999999999999</c:v>
                </c:pt>
                <c:pt idx="1111">
                  <c:v>140.79</c:v>
                </c:pt>
                <c:pt idx="1112">
                  <c:v>142.76</c:v>
                </c:pt>
                <c:pt idx="1113">
                  <c:v>144.47999999999999</c:v>
                </c:pt>
                <c:pt idx="1114">
                  <c:v>140.83000000000001</c:v>
                </c:pt>
                <c:pt idx="1115">
                  <c:v>140.24</c:v>
                </c:pt>
                <c:pt idx="1116">
                  <c:v>142.22</c:v>
                </c:pt>
                <c:pt idx="1117">
                  <c:v>142.55000000000001</c:v>
                </c:pt>
                <c:pt idx="1118">
                  <c:v>142.01</c:v>
                </c:pt>
                <c:pt idx="1119">
                  <c:v>143.35</c:v>
                </c:pt>
                <c:pt idx="1120">
                  <c:v>144.06</c:v>
                </c:pt>
                <c:pt idx="1121">
                  <c:v>142.13</c:v>
                </c:pt>
                <c:pt idx="1122">
                  <c:v>145.4</c:v>
                </c:pt>
                <c:pt idx="1123">
                  <c:v>143.27000000000001</c:v>
                </c:pt>
                <c:pt idx="1124">
                  <c:v>139.74</c:v>
                </c:pt>
                <c:pt idx="1125">
                  <c:v>144.72999999999999</c:v>
                </c:pt>
                <c:pt idx="1126">
                  <c:v>146.16</c:v>
                </c:pt>
                <c:pt idx="1127">
                  <c:v>147.46</c:v>
                </c:pt>
                <c:pt idx="1128">
                  <c:v>150.27000000000001</c:v>
                </c:pt>
                <c:pt idx="1129">
                  <c:v>149.85</c:v>
                </c:pt>
                <c:pt idx="1130">
                  <c:v>151.57</c:v>
                </c:pt>
                <c:pt idx="1131">
                  <c:v>152.54</c:v>
                </c:pt>
                <c:pt idx="1132">
                  <c:v>153.84</c:v>
                </c:pt>
                <c:pt idx="1133">
                  <c:v>154.34</c:v>
                </c:pt>
                <c:pt idx="1134">
                  <c:v>155.13999999999999</c:v>
                </c:pt>
                <c:pt idx="1135">
                  <c:v>154.21</c:v>
                </c:pt>
                <c:pt idx="1136">
                  <c:v>157.86000000000001</c:v>
                </c:pt>
                <c:pt idx="1137">
                  <c:v>158.66</c:v>
                </c:pt>
                <c:pt idx="1138">
                  <c:v>156.65</c:v>
                </c:pt>
                <c:pt idx="1139">
                  <c:v>160.76</c:v>
                </c:pt>
                <c:pt idx="1140">
                  <c:v>160.55000000000001</c:v>
                </c:pt>
                <c:pt idx="1141">
                  <c:v>159.58000000000001</c:v>
                </c:pt>
                <c:pt idx="1142">
                  <c:v>160.34</c:v>
                </c:pt>
                <c:pt idx="1143">
                  <c:v>164.07</c:v>
                </c:pt>
                <c:pt idx="1144">
                  <c:v>162.97999999999999</c:v>
                </c:pt>
                <c:pt idx="1145">
                  <c:v>163.57</c:v>
                </c:pt>
                <c:pt idx="1146">
                  <c:v>163.95</c:v>
                </c:pt>
                <c:pt idx="1147">
                  <c:v>165.04</c:v>
                </c:pt>
                <c:pt idx="1148">
                  <c:v>165.12</c:v>
                </c:pt>
                <c:pt idx="1149">
                  <c:v>164.28</c:v>
                </c:pt>
                <c:pt idx="1150">
                  <c:v>166.51</c:v>
                </c:pt>
                <c:pt idx="1151">
                  <c:v>166.59</c:v>
                </c:pt>
                <c:pt idx="1152">
                  <c:v>166.76</c:v>
                </c:pt>
                <c:pt idx="1153">
                  <c:v>164.79</c:v>
                </c:pt>
                <c:pt idx="1154">
                  <c:v>169.02</c:v>
                </c:pt>
                <c:pt idx="1155">
                  <c:v>171.33</c:v>
                </c:pt>
                <c:pt idx="1156">
                  <c:v>170.37</c:v>
                </c:pt>
                <c:pt idx="1157">
                  <c:v>166.84</c:v>
                </c:pt>
                <c:pt idx="1158">
                  <c:v>164.49</c:v>
                </c:pt>
                <c:pt idx="1159">
                  <c:v>163.91</c:v>
                </c:pt>
                <c:pt idx="1160">
                  <c:v>161.77000000000001</c:v>
                </c:pt>
                <c:pt idx="1161">
                  <c:v>162.47999999999999</c:v>
                </c:pt>
                <c:pt idx="1162">
                  <c:v>161.6</c:v>
                </c:pt>
                <c:pt idx="1163">
                  <c:v>162.9</c:v>
                </c:pt>
                <c:pt idx="1164">
                  <c:v>162.22999999999999</c:v>
                </c:pt>
                <c:pt idx="1165">
                  <c:v>165.04</c:v>
                </c:pt>
                <c:pt idx="1166">
                  <c:v>163.95</c:v>
                </c:pt>
                <c:pt idx="1167">
                  <c:v>164.79</c:v>
                </c:pt>
                <c:pt idx="1168">
                  <c:v>167.47</c:v>
                </c:pt>
                <c:pt idx="1169">
                  <c:v>168.39</c:v>
                </c:pt>
                <c:pt idx="1170">
                  <c:v>164.91</c:v>
                </c:pt>
                <c:pt idx="1171">
                  <c:v>161.30000000000001</c:v>
                </c:pt>
                <c:pt idx="1172">
                  <c:v>161.68</c:v>
                </c:pt>
                <c:pt idx="1173">
                  <c:v>162.81</c:v>
                </c:pt>
                <c:pt idx="1174">
                  <c:v>162.65</c:v>
                </c:pt>
                <c:pt idx="1175">
                  <c:v>166.72</c:v>
                </c:pt>
                <c:pt idx="1176">
                  <c:v>164.37</c:v>
                </c:pt>
                <c:pt idx="1177">
                  <c:v>165.75</c:v>
                </c:pt>
                <c:pt idx="1178">
                  <c:v>163.07</c:v>
                </c:pt>
                <c:pt idx="1179">
                  <c:v>163.99</c:v>
                </c:pt>
                <c:pt idx="1180">
                  <c:v>164.7</c:v>
                </c:pt>
                <c:pt idx="1181">
                  <c:v>162.97999999999999</c:v>
                </c:pt>
                <c:pt idx="1182">
                  <c:v>167.64</c:v>
                </c:pt>
                <c:pt idx="1183">
                  <c:v>165.63</c:v>
                </c:pt>
                <c:pt idx="1184">
                  <c:v>164.27</c:v>
                </c:pt>
                <c:pt idx="1185">
                  <c:v>161.91</c:v>
                </c:pt>
                <c:pt idx="1186">
                  <c:v>155.33000000000001</c:v>
                </c:pt>
                <c:pt idx="1187">
                  <c:v>157.41</c:v>
                </c:pt>
                <c:pt idx="1188">
                  <c:v>155.77000000000001</c:v>
                </c:pt>
                <c:pt idx="1189">
                  <c:v>161.28</c:v>
                </c:pt>
                <c:pt idx="1190">
                  <c:v>153.1</c:v>
                </c:pt>
                <c:pt idx="1191">
                  <c:v>148.31</c:v>
                </c:pt>
                <c:pt idx="1192">
                  <c:v>147.63</c:v>
                </c:pt>
                <c:pt idx="1193">
                  <c:v>146.87</c:v>
                </c:pt>
                <c:pt idx="1194">
                  <c:v>148.91</c:v>
                </c:pt>
                <c:pt idx="1195">
                  <c:v>144.6</c:v>
                </c:pt>
                <c:pt idx="1196">
                  <c:v>147.63</c:v>
                </c:pt>
                <c:pt idx="1197">
                  <c:v>149.38999999999999</c:v>
                </c:pt>
                <c:pt idx="1198">
                  <c:v>154.72999999999999</c:v>
                </c:pt>
                <c:pt idx="1199">
                  <c:v>155.01</c:v>
                </c:pt>
                <c:pt idx="1200">
                  <c:v>158.84</c:v>
                </c:pt>
                <c:pt idx="1201">
                  <c:v>158.4</c:v>
                </c:pt>
                <c:pt idx="1202">
                  <c:v>157.72999999999999</c:v>
                </c:pt>
                <c:pt idx="1203">
                  <c:v>159.6</c:v>
                </c:pt>
                <c:pt idx="1204">
                  <c:v>159.72</c:v>
                </c:pt>
                <c:pt idx="1205">
                  <c:v>156.97</c:v>
                </c:pt>
                <c:pt idx="1206">
                  <c:v>157.41</c:v>
                </c:pt>
                <c:pt idx="1207">
                  <c:v>160.04</c:v>
                </c:pt>
                <c:pt idx="1208">
                  <c:v>157.49</c:v>
                </c:pt>
                <c:pt idx="1209">
                  <c:v>152.13999999999999</c:v>
                </c:pt>
                <c:pt idx="1210">
                  <c:v>153.34</c:v>
                </c:pt>
                <c:pt idx="1211">
                  <c:v>152.97999999999999</c:v>
                </c:pt>
                <c:pt idx="1212">
                  <c:v>148.71</c:v>
                </c:pt>
                <c:pt idx="1213">
                  <c:v>150.78</c:v>
                </c:pt>
                <c:pt idx="1214">
                  <c:v>140.25</c:v>
                </c:pt>
                <c:pt idx="1215">
                  <c:v>136.26</c:v>
                </c:pt>
                <c:pt idx="1216">
                  <c:v>131.47</c:v>
                </c:pt>
                <c:pt idx="1217">
                  <c:v>131.38999999999999</c:v>
                </c:pt>
                <c:pt idx="1218">
                  <c:v>130.71</c:v>
                </c:pt>
                <c:pt idx="1219">
                  <c:v>131.99</c:v>
                </c:pt>
                <c:pt idx="1220">
                  <c:v>131.71</c:v>
                </c:pt>
                <c:pt idx="1221">
                  <c:v>126.44</c:v>
                </c:pt>
                <c:pt idx="1222">
                  <c:v>126.28</c:v>
                </c:pt>
                <c:pt idx="1223">
                  <c:v>128.47999999999999</c:v>
                </c:pt>
                <c:pt idx="1224">
                  <c:v>130.79</c:v>
                </c:pt>
                <c:pt idx="1225">
                  <c:v>138.77000000000001</c:v>
                </c:pt>
                <c:pt idx="1226">
                  <c:v>138.88999999999999</c:v>
                </c:pt>
                <c:pt idx="1227">
                  <c:v>145.28</c:v>
                </c:pt>
                <c:pt idx="1228">
                  <c:v>145.36000000000001</c:v>
                </c:pt>
                <c:pt idx="1229">
                  <c:v>143.19999999999999</c:v>
                </c:pt>
                <c:pt idx="1230">
                  <c:v>143.52000000000001</c:v>
                </c:pt>
                <c:pt idx="1231">
                  <c:v>143.68</c:v>
                </c:pt>
                <c:pt idx="1232">
                  <c:v>144.08000000000001</c:v>
                </c:pt>
                <c:pt idx="1233">
                  <c:v>145.44</c:v>
                </c:pt>
                <c:pt idx="1234">
                  <c:v>143.32</c:v>
                </c:pt>
                <c:pt idx="1235">
                  <c:v>144.19999999999999</c:v>
                </c:pt>
                <c:pt idx="1236">
                  <c:v>150.1</c:v>
                </c:pt>
                <c:pt idx="1237">
                  <c:v>148.71</c:v>
                </c:pt>
                <c:pt idx="1238">
                  <c:v>151.1</c:v>
                </c:pt>
                <c:pt idx="1239">
                  <c:v>144.91999999999999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6-416F-A0B8-7873DCF60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953568"/>
        <c:axId val="1417940128"/>
      </c:lineChart>
      <c:catAx>
        <c:axId val="1417953568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40128"/>
        <c:crosses val="autoZero"/>
        <c:auto val="1"/>
        <c:lblAlgn val="ctr"/>
        <c:lblOffset val="100"/>
        <c:noMultiLvlLbl val="0"/>
      </c:catAx>
      <c:valAx>
        <c:axId val="141794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9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38102</xdr:colOff>
      <xdr:row>2</xdr:row>
      <xdr:rowOff>28577</xdr:rowOff>
    </xdr:from>
    <xdr:to>
      <xdr:col>1</xdr:col>
      <xdr:colOff>1228725</xdr:colOff>
      <xdr:row>3</xdr:row>
      <xdr:rowOff>857251</xdr:rowOff>
    </xdr:to>
    <xdr:pic>
      <xdr:nvPicPr>
        <xdr:cNvPr id="2" name="Picture 1" descr="ITC share price NSE India target 2022 - BUY - Check price target ...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7" y="409577"/>
          <a:ext cx="1190623" cy="866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29</xdr:row>
      <xdr:rowOff>9525</xdr:rowOff>
    </xdr:from>
    <xdr:to>
      <xdr:col>11</xdr:col>
      <xdr:colOff>342899</xdr:colOff>
      <xdr:row>36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7</xdr:row>
      <xdr:rowOff>66675</xdr:rowOff>
    </xdr:from>
    <xdr:to>
      <xdr:col>11</xdr:col>
      <xdr:colOff>95251</xdr:colOff>
      <xdr:row>17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AB3218-3E0F-4086-AA6D-BAD7784AC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20</xdr:row>
      <xdr:rowOff>9525</xdr:rowOff>
    </xdr:from>
    <xdr:to>
      <xdr:col>11</xdr:col>
      <xdr:colOff>9525</xdr:colOff>
      <xdr:row>27</xdr:row>
      <xdr:rowOff>9524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43728C-345A-449E-BCCA-A1806159C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1223</xdr:row>
      <xdr:rowOff>133350</xdr:rowOff>
    </xdr:from>
    <xdr:to>
      <xdr:col>4</xdr:col>
      <xdr:colOff>400050</xdr:colOff>
      <xdr:row>1228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17</xdr:row>
      <xdr:rowOff>190499</xdr:rowOff>
    </xdr:from>
    <xdr:to>
      <xdr:col>14</xdr:col>
      <xdr:colOff>600074</xdr:colOff>
      <xdr:row>23</xdr:row>
      <xdr:rowOff>85724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1225</xdr:row>
      <xdr:rowOff>166687</xdr:rowOff>
    </xdr:from>
    <xdr:to>
      <xdr:col>8</xdr:col>
      <xdr:colOff>533400</xdr:colOff>
      <xdr:row>1237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7D75C7-DABB-B40E-8CCE-848843178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9</xdr:col>
      <xdr:colOff>285751</xdr:colOff>
      <xdr:row>11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415009-A6FF-4E70-911F-28F812DE5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yahoo-2025-04-12.csv" TargetMode="External"/><Relationship Id="rId1" Type="http://schemas.openxmlformats.org/officeDocument/2006/relationships/externalLinkPath" Target="yahoo-2025-04-1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ahoo-2025-04-12"/>
    </sheetNames>
    <sheetDataSet>
      <sheetData sheetId="0">
        <row r="1">
          <cell r="B1" t="str">
            <v>Share Price</v>
          </cell>
          <cell r="C1" t="str">
            <v>volume</v>
          </cell>
        </row>
        <row r="2">
          <cell r="A2" t="str">
            <v>Apr 11, 2025</v>
          </cell>
          <cell r="B2">
            <v>421.55</v>
          </cell>
          <cell r="C2">
            <v>8936353</v>
          </cell>
        </row>
        <row r="3">
          <cell r="A3" t="str">
            <v>Apr 9, 2025</v>
          </cell>
          <cell r="B3">
            <v>416.3</v>
          </cell>
          <cell r="C3">
            <v>21785572</v>
          </cell>
        </row>
        <row r="4">
          <cell r="A4" t="str">
            <v>Apr 8, 2025</v>
          </cell>
          <cell r="B4">
            <v>412.55</v>
          </cell>
          <cell r="C4">
            <v>18600796</v>
          </cell>
        </row>
        <row r="5">
          <cell r="A5" t="str">
            <v>Apr 7, 2025</v>
          </cell>
          <cell r="B5">
            <v>406.05</v>
          </cell>
          <cell r="C5">
            <v>26762866</v>
          </cell>
        </row>
        <row r="6">
          <cell r="A6" t="str">
            <v>Apr 4, 2025</v>
          </cell>
          <cell r="B6">
            <v>409.7</v>
          </cell>
          <cell r="C6">
            <v>18627592</v>
          </cell>
        </row>
        <row r="7">
          <cell r="A7" t="str">
            <v>Apr 3, 2025</v>
          </cell>
          <cell r="B7">
            <v>409.4</v>
          </cell>
          <cell r="C7">
            <v>7059566</v>
          </cell>
        </row>
        <row r="8">
          <cell r="A8" t="str">
            <v>Apr 2, 2025</v>
          </cell>
          <cell r="B8">
            <v>409.05</v>
          </cell>
          <cell r="C8">
            <v>8001323</v>
          </cell>
        </row>
        <row r="9">
          <cell r="A9" t="str">
            <v>Apr 1, 2025</v>
          </cell>
          <cell r="B9">
            <v>406.65</v>
          </cell>
          <cell r="C9">
            <v>15206240</v>
          </cell>
        </row>
        <row r="10">
          <cell r="A10" t="str">
            <v>Mar 28, 2025</v>
          </cell>
          <cell r="B10">
            <v>409.75</v>
          </cell>
          <cell r="C10">
            <v>12981873</v>
          </cell>
        </row>
        <row r="11">
          <cell r="A11" t="str">
            <v>Mar 27, 2025</v>
          </cell>
          <cell r="B11">
            <v>409.45</v>
          </cell>
          <cell r="C11">
            <v>18642328</v>
          </cell>
        </row>
        <row r="12">
          <cell r="A12" t="str">
            <v>Mar 26, 2025</v>
          </cell>
          <cell r="B12">
            <v>407.35</v>
          </cell>
          <cell r="C12">
            <v>13891436</v>
          </cell>
        </row>
        <row r="13">
          <cell r="A13" t="str">
            <v>Mar 25, 2025</v>
          </cell>
          <cell r="B13">
            <v>409.8</v>
          </cell>
          <cell r="C13">
            <v>20338110</v>
          </cell>
        </row>
        <row r="14">
          <cell r="A14" t="str">
            <v>Mar 24, 2025</v>
          </cell>
          <cell r="B14">
            <v>410.9</v>
          </cell>
          <cell r="C14">
            <v>14362572</v>
          </cell>
        </row>
        <row r="15">
          <cell r="A15" t="str">
            <v>Mar 21, 2025</v>
          </cell>
          <cell r="B15">
            <v>405.55</v>
          </cell>
          <cell r="C15">
            <v>25302035</v>
          </cell>
        </row>
        <row r="16">
          <cell r="A16" t="str">
            <v>Mar 20, 2025</v>
          </cell>
          <cell r="B16">
            <v>403.95</v>
          </cell>
          <cell r="C16">
            <v>16994037</v>
          </cell>
        </row>
        <row r="17">
          <cell r="A17" t="str">
            <v>Mar 19, 2025</v>
          </cell>
          <cell r="B17">
            <v>403.05</v>
          </cell>
          <cell r="C17">
            <v>12830387</v>
          </cell>
        </row>
        <row r="18">
          <cell r="A18" t="str">
            <v>Mar 18, 2025</v>
          </cell>
          <cell r="B18">
            <v>407.95</v>
          </cell>
          <cell r="C18" t="str">
            <v>-</v>
          </cell>
        </row>
        <row r="19">
          <cell r="A19" t="str">
            <v>Mar 17, 2025</v>
          </cell>
          <cell r="B19">
            <v>407.95</v>
          </cell>
          <cell r="C19">
            <v>5257805</v>
          </cell>
        </row>
        <row r="20">
          <cell r="A20" t="str">
            <v>Mar 13, 2025</v>
          </cell>
          <cell r="B20">
            <v>412.05</v>
          </cell>
          <cell r="C20">
            <v>8196569</v>
          </cell>
        </row>
        <row r="21">
          <cell r="A21" t="str">
            <v>Mar 12, 2025</v>
          </cell>
          <cell r="B21">
            <v>412.4</v>
          </cell>
          <cell r="C21">
            <v>13844306</v>
          </cell>
        </row>
        <row r="22">
          <cell r="A22" t="str">
            <v>Mar 11, 2025</v>
          </cell>
          <cell r="B22">
            <v>406.2</v>
          </cell>
          <cell r="C22">
            <v>11099475</v>
          </cell>
        </row>
        <row r="23">
          <cell r="A23" t="str">
            <v>Mar 10, 2025</v>
          </cell>
          <cell r="B23">
            <v>405</v>
          </cell>
          <cell r="C23">
            <v>9785018</v>
          </cell>
        </row>
        <row r="24">
          <cell r="A24" t="str">
            <v>Mar 7, 2025</v>
          </cell>
          <cell r="B24">
            <v>403.9</v>
          </cell>
          <cell r="C24">
            <v>11180761</v>
          </cell>
        </row>
        <row r="25">
          <cell r="A25" t="str">
            <v>Mar 6, 2025</v>
          </cell>
          <cell r="B25">
            <v>405.7</v>
          </cell>
          <cell r="C25">
            <v>17869996</v>
          </cell>
        </row>
        <row r="26">
          <cell r="A26" t="str">
            <v>Mar 5, 2025</v>
          </cell>
          <cell r="B26">
            <v>405.05</v>
          </cell>
          <cell r="C26">
            <v>15665018</v>
          </cell>
        </row>
        <row r="27">
          <cell r="A27" t="str">
            <v>Mar 4, 2025</v>
          </cell>
          <cell r="B27">
            <v>394.85</v>
          </cell>
          <cell r="C27">
            <v>13404774</v>
          </cell>
        </row>
        <row r="28">
          <cell r="A28" t="str">
            <v>Mar 3, 2025</v>
          </cell>
          <cell r="B28">
            <v>397.45</v>
          </cell>
          <cell r="C28">
            <v>10702826</v>
          </cell>
        </row>
        <row r="29">
          <cell r="A29" t="str">
            <v>Feb 28, 2025</v>
          </cell>
          <cell r="B29">
            <v>395</v>
          </cell>
          <cell r="C29">
            <v>31954776</v>
          </cell>
        </row>
        <row r="30">
          <cell r="A30" t="str">
            <v>Feb 27, 2025</v>
          </cell>
          <cell r="B30">
            <v>401.6</v>
          </cell>
          <cell r="C30">
            <v>19051003</v>
          </cell>
        </row>
        <row r="31">
          <cell r="A31" t="str">
            <v>Feb 25, 2025</v>
          </cell>
          <cell r="B31">
            <v>404.85</v>
          </cell>
          <cell r="C31">
            <v>15760891</v>
          </cell>
        </row>
        <row r="32">
          <cell r="A32" t="str">
            <v>Feb 24, 2025</v>
          </cell>
          <cell r="B32">
            <v>401.9</v>
          </cell>
          <cell r="C32">
            <v>7037625</v>
          </cell>
        </row>
        <row r="33">
          <cell r="A33" t="str">
            <v>Feb 21, 2025</v>
          </cell>
          <cell r="B33">
            <v>400.9</v>
          </cell>
          <cell r="C33">
            <v>8240986</v>
          </cell>
        </row>
        <row r="34">
          <cell r="A34" t="str">
            <v>Feb 20, 2025</v>
          </cell>
          <cell r="B34">
            <v>402.05</v>
          </cell>
          <cell r="C34">
            <v>15355585</v>
          </cell>
        </row>
        <row r="35">
          <cell r="A35" t="str">
            <v>Feb 19, 2025</v>
          </cell>
          <cell r="B35">
            <v>406.4</v>
          </cell>
          <cell r="C35">
            <v>7079032</v>
          </cell>
        </row>
        <row r="36">
          <cell r="A36" t="str">
            <v>Feb 18, 2025</v>
          </cell>
          <cell r="B36">
            <v>405.25</v>
          </cell>
          <cell r="C36">
            <v>12998403</v>
          </cell>
        </row>
        <row r="37">
          <cell r="A37" t="str">
            <v>Feb 17, 2025</v>
          </cell>
          <cell r="B37">
            <v>408.6</v>
          </cell>
          <cell r="C37">
            <v>11975265</v>
          </cell>
        </row>
        <row r="38">
          <cell r="A38" t="str">
            <v>Feb 14, 2025</v>
          </cell>
          <cell r="B38">
            <v>410.25</v>
          </cell>
          <cell r="C38">
            <v>14124236</v>
          </cell>
        </row>
        <row r="39">
          <cell r="A39" t="str">
            <v>Feb 13, 2025</v>
          </cell>
          <cell r="B39">
            <v>409.7</v>
          </cell>
          <cell r="C39">
            <v>12989029</v>
          </cell>
        </row>
        <row r="40">
          <cell r="A40" t="str">
            <v>Feb 12, 2025</v>
          </cell>
          <cell r="B40">
            <v>409.9</v>
          </cell>
          <cell r="C40">
            <v>13884574</v>
          </cell>
        </row>
        <row r="41">
          <cell r="A41" t="str">
            <v>Feb 11, 2025</v>
          </cell>
          <cell r="B41">
            <v>411.8</v>
          </cell>
          <cell r="C41">
            <v>14288751</v>
          </cell>
        </row>
        <row r="42">
          <cell r="A42" t="str">
            <v>Feb 10, 2025</v>
          </cell>
          <cell r="B42">
            <v>420.56</v>
          </cell>
          <cell r="C42">
            <v>12227140</v>
          </cell>
        </row>
        <row r="43">
          <cell r="A43" t="str">
            <v>Feb 7, 2025</v>
          </cell>
          <cell r="B43">
            <v>424.15</v>
          </cell>
          <cell r="C43">
            <v>18875982</v>
          </cell>
        </row>
        <row r="44">
          <cell r="A44" t="str">
            <v>Feb 6, 2025</v>
          </cell>
          <cell r="B44">
            <v>434.25</v>
          </cell>
          <cell r="C44">
            <v>17469129</v>
          </cell>
        </row>
        <row r="45">
          <cell r="A45" t="str">
            <v>Feb 5, 2025</v>
          </cell>
          <cell r="B45">
            <v>441.19</v>
          </cell>
          <cell r="C45">
            <v>12836283</v>
          </cell>
        </row>
        <row r="46">
          <cell r="A46" t="str">
            <v>Feb 4, 2025</v>
          </cell>
          <cell r="B46">
            <v>448.08</v>
          </cell>
          <cell r="C46">
            <v>18923681</v>
          </cell>
        </row>
        <row r="47">
          <cell r="A47" t="str">
            <v>Feb 3, 2025</v>
          </cell>
          <cell r="B47">
            <v>447.29</v>
          </cell>
          <cell r="C47">
            <v>16991730</v>
          </cell>
        </row>
        <row r="48">
          <cell r="A48" t="str">
            <v>Feb 1, 2025</v>
          </cell>
          <cell r="B48">
            <v>455.36</v>
          </cell>
          <cell r="C48">
            <v>30393007</v>
          </cell>
        </row>
        <row r="49">
          <cell r="A49" t="str">
            <v>Jan 31, 2025</v>
          </cell>
          <cell r="B49">
            <v>440.55</v>
          </cell>
          <cell r="C49">
            <v>13546181</v>
          </cell>
        </row>
        <row r="50">
          <cell r="A50" t="str">
            <v>Jan 30, 2025</v>
          </cell>
          <cell r="B50">
            <v>429.42</v>
          </cell>
          <cell r="C50">
            <v>22496695</v>
          </cell>
        </row>
        <row r="51">
          <cell r="A51" t="str">
            <v>Jan 29, 2025</v>
          </cell>
          <cell r="B51">
            <v>426.62</v>
          </cell>
          <cell r="C51">
            <v>15158510</v>
          </cell>
        </row>
        <row r="52">
          <cell r="A52" t="str">
            <v>Jan 28, 2025</v>
          </cell>
          <cell r="B52">
            <v>428.68</v>
          </cell>
          <cell r="C52">
            <v>20813072</v>
          </cell>
        </row>
        <row r="53">
          <cell r="A53" t="str">
            <v>Jan 27, 2025</v>
          </cell>
          <cell r="B53">
            <v>433.26</v>
          </cell>
          <cell r="C53">
            <v>10480203</v>
          </cell>
        </row>
        <row r="54">
          <cell r="A54" t="str">
            <v>Jan 24, 2025</v>
          </cell>
          <cell r="B54">
            <v>434.74</v>
          </cell>
          <cell r="C54">
            <v>9665384</v>
          </cell>
        </row>
        <row r="55">
          <cell r="A55" t="str">
            <v>Jan 23, 2025</v>
          </cell>
          <cell r="B55">
            <v>433.36</v>
          </cell>
          <cell r="C55">
            <v>8888248</v>
          </cell>
        </row>
        <row r="56">
          <cell r="A56" t="str">
            <v>Jan 22, 2025</v>
          </cell>
          <cell r="B56">
            <v>430.21</v>
          </cell>
          <cell r="C56">
            <v>9619648</v>
          </cell>
        </row>
        <row r="57">
          <cell r="A57" t="str">
            <v>Jan 21, 2025</v>
          </cell>
          <cell r="B57">
            <v>430.75</v>
          </cell>
          <cell r="C57">
            <v>15686500</v>
          </cell>
        </row>
        <row r="58">
          <cell r="A58" t="str">
            <v>Jan 20, 2025</v>
          </cell>
          <cell r="B58">
            <v>430.9</v>
          </cell>
          <cell r="C58">
            <v>8742771</v>
          </cell>
        </row>
        <row r="59">
          <cell r="A59" t="str">
            <v>Jan 17, 2025</v>
          </cell>
          <cell r="B59">
            <v>433.36</v>
          </cell>
          <cell r="C59">
            <v>11270061</v>
          </cell>
        </row>
        <row r="60">
          <cell r="A60" t="str">
            <v>Jan 16, 2025</v>
          </cell>
          <cell r="B60">
            <v>426.12</v>
          </cell>
          <cell r="C60">
            <v>15774070</v>
          </cell>
        </row>
        <row r="61">
          <cell r="A61" t="str">
            <v>Jan 15, 2025</v>
          </cell>
          <cell r="B61">
            <v>430.55</v>
          </cell>
          <cell r="C61">
            <v>9786805</v>
          </cell>
        </row>
        <row r="62">
          <cell r="A62" t="str">
            <v>Jan 14, 2025</v>
          </cell>
          <cell r="B62">
            <v>429.82</v>
          </cell>
          <cell r="C62">
            <v>18048459</v>
          </cell>
        </row>
        <row r="63">
          <cell r="A63" t="str">
            <v>Jan 13, 2025</v>
          </cell>
          <cell r="B63">
            <v>432.23</v>
          </cell>
          <cell r="C63">
            <v>17799607</v>
          </cell>
        </row>
        <row r="64">
          <cell r="A64" t="str">
            <v>Jan 10, 2025</v>
          </cell>
          <cell r="B64">
            <v>437.99</v>
          </cell>
          <cell r="C64">
            <v>9145729</v>
          </cell>
        </row>
        <row r="65">
          <cell r="A65" t="str">
            <v>Jan 9, 2025</v>
          </cell>
          <cell r="B65">
            <v>443.11</v>
          </cell>
          <cell r="C65">
            <v>19732649</v>
          </cell>
        </row>
        <row r="66">
          <cell r="A66" t="str">
            <v>Jan 8, 2025</v>
          </cell>
          <cell r="B66">
            <v>442.56</v>
          </cell>
          <cell r="C66">
            <v>13482926</v>
          </cell>
        </row>
        <row r="67">
          <cell r="A67" t="str">
            <v>Jan 7, 2025</v>
          </cell>
          <cell r="B67">
            <v>434.25</v>
          </cell>
          <cell r="C67">
            <v>14294780</v>
          </cell>
        </row>
        <row r="68">
          <cell r="A68" t="str">
            <v>Jan 6, 2025</v>
          </cell>
          <cell r="B68">
            <v>435.77</v>
          </cell>
          <cell r="C68">
            <v>22009958</v>
          </cell>
        </row>
        <row r="69">
          <cell r="A69" t="str">
            <v>Jan 3, 2025</v>
          </cell>
          <cell r="B69">
            <v>474.12</v>
          </cell>
          <cell r="C69">
            <v>37072992</v>
          </cell>
        </row>
        <row r="70">
          <cell r="A70" t="str">
            <v>Jan 2, 2025</v>
          </cell>
          <cell r="B70">
            <v>481.45</v>
          </cell>
          <cell r="C70">
            <v>26124980</v>
          </cell>
        </row>
        <row r="71">
          <cell r="A71" t="str">
            <v>Jan 1, 2025</v>
          </cell>
          <cell r="B71">
            <v>476.43</v>
          </cell>
          <cell r="C71">
            <v>18229128</v>
          </cell>
        </row>
        <row r="72">
          <cell r="A72" t="str">
            <v>Dec 31, 2024</v>
          </cell>
          <cell r="B72">
            <v>476.13</v>
          </cell>
          <cell r="C72">
            <v>13276195</v>
          </cell>
        </row>
        <row r="73">
          <cell r="A73" t="str">
            <v>Dec 30, 2024</v>
          </cell>
          <cell r="B73">
            <v>469.59</v>
          </cell>
          <cell r="C73">
            <v>13074810</v>
          </cell>
        </row>
        <row r="74">
          <cell r="A74" t="str">
            <v>Dec 27, 2024</v>
          </cell>
          <cell r="B74">
            <v>471.16</v>
          </cell>
          <cell r="C74">
            <v>16279450</v>
          </cell>
        </row>
        <row r="75">
          <cell r="A75" t="str">
            <v>Dec 26, 2024</v>
          </cell>
          <cell r="B75">
            <v>469.54</v>
          </cell>
          <cell r="C75">
            <v>8848065</v>
          </cell>
        </row>
        <row r="76">
          <cell r="A76" t="str">
            <v>Dec 24, 2024</v>
          </cell>
          <cell r="B76">
            <v>471.02</v>
          </cell>
          <cell r="C76">
            <v>11564497</v>
          </cell>
        </row>
        <row r="77">
          <cell r="A77" t="str">
            <v>Dec 23, 2024</v>
          </cell>
          <cell r="B77">
            <v>466.88</v>
          </cell>
          <cell r="C77">
            <v>18837469</v>
          </cell>
        </row>
        <row r="78">
          <cell r="A78" t="str">
            <v>Dec 20, 2024</v>
          </cell>
          <cell r="B78">
            <v>457.43</v>
          </cell>
          <cell r="C78">
            <v>19481288</v>
          </cell>
        </row>
        <row r="79">
          <cell r="A79" t="str">
            <v>Dec 19, 2024</v>
          </cell>
          <cell r="B79">
            <v>459.3</v>
          </cell>
          <cell r="C79">
            <v>14599270</v>
          </cell>
        </row>
        <row r="80">
          <cell r="A80" t="str">
            <v>Dec 18, 2024</v>
          </cell>
          <cell r="B80">
            <v>463.19</v>
          </cell>
          <cell r="C80">
            <v>12365167</v>
          </cell>
        </row>
        <row r="81">
          <cell r="A81" t="str">
            <v>Dec 17, 2024</v>
          </cell>
          <cell r="B81">
            <v>462.25</v>
          </cell>
          <cell r="C81">
            <v>19844152</v>
          </cell>
        </row>
        <row r="82">
          <cell r="A82" t="str">
            <v>Dec 16, 2024</v>
          </cell>
          <cell r="B82">
            <v>462.8</v>
          </cell>
          <cell r="C82">
            <v>9007264</v>
          </cell>
        </row>
        <row r="83">
          <cell r="A83" t="str">
            <v>Dec 13, 2024</v>
          </cell>
          <cell r="B83">
            <v>462.7</v>
          </cell>
          <cell r="C83">
            <v>31753858</v>
          </cell>
        </row>
        <row r="84">
          <cell r="A84" t="str">
            <v>Dec 12, 2024</v>
          </cell>
          <cell r="B84">
            <v>453.44</v>
          </cell>
          <cell r="C84">
            <v>12884401</v>
          </cell>
        </row>
        <row r="85">
          <cell r="A85" t="str">
            <v>Dec 11, 2024</v>
          </cell>
          <cell r="B85">
            <v>458.02</v>
          </cell>
          <cell r="C85">
            <v>6745816</v>
          </cell>
        </row>
        <row r="86">
          <cell r="A86" t="str">
            <v>Dec 10, 2024</v>
          </cell>
          <cell r="B86">
            <v>458.22</v>
          </cell>
          <cell r="C86">
            <v>8823805</v>
          </cell>
        </row>
        <row r="87">
          <cell r="A87" t="str">
            <v>Dec 9, 2024</v>
          </cell>
          <cell r="B87">
            <v>457.73</v>
          </cell>
          <cell r="C87">
            <v>11703384</v>
          </cell>
        </row>
        <row r="88">
          <cell r="A88" t="str">
            <v>Dec 6, 2024</v>
          </cell>
          <cell r="B88">
            <v>463.83</v>
          </cell>
          <cell r="C88">
            <v>7551407</v>
          </cell>
        </row>
        <row r="89">
          <cell r="A89" t="str">
            <v>Dec 5, 2024</v>
          </cell>
          <cell r="B89">
            <v>460.24</v>
          </cell>
          <cell r="C89">
            <v>26415053</v>
          </cell>
        </row>
        <row r="90">
          <cell r="A90" t="str">
            <v>Dec 4, 2024</v>
          </cell>
          <cell r="B90">
            <v>459.84</v>
          </cell>
          <cell r="C90">
            <v>13439484</v>
          </cell>
        </row>
        <row r="91">
          <cell r="A91" t="str">
            <v>Dec 3, 2024</v>
          </cell>
          <cell r="B91">
            <v>465.21</v>
          </cell>
          <cell r="C91">
            <v>22218251</v>
          </cell>
        </row>
        <row r="92">
          <cell r="A92" t="str">
            <v>Dec 2, 2024</v>
          </cell>
          <cell r="B92">
            <v>469.78</v>
          </cell>
          <cell r="C92">
            <v>5478598</v>
          </cell>
        </row>
        <row r="93">
          <cell r="A93" t="str">
            <v>Nov 29, 2024</v>
          </cell>
          <cell r="B93">
            <v>469.34</v>
          </cell>
          <cell r="C93">
            <v>8346687</v>
          </cell>
        </row>
        <row r="94">
          <cell r="A94" t="str">
            <v>Nov 28, 2024</v>
          </cell>
          <cell r="B94">
            <v>467.52</v>
          </cell>
          <cell r="C94">
            <v>14412539</v>
          </cell>
        </row>
        <row r="95">
          <cell r="A95" t="str">
            <v>Nov 27, 2024</v>
          </cell>
          <cell r="B95">
            <v>469.54</v>
          </cell>
          <cell r="C95">
            <v>7067013</v>
          </cell>
        </row>
        <row r="96">
          <cell r="A96" t="str">
            <v>Nov 26, 2024</v>
          </cell>
          <cell r="B96">
            <v>469.59</v>
          </cell>
          <cell r="C96">
            <v>6539846</v>
          </cell>
        </row>
        <row r="97">
          <cell r="A97" t="str">
            <v>Nov 25, 2024</v>
          </cell>
          <cell r="B97">
            <v>469.39</v>
          </cell>
          <cell r="C97">
            <v>13891991</v>
          </cell>
        </row>
        <row r="98">
          <cell r="A98" t="str">
            <v>Nov 22, 2024</v>
          </cell>
          <cell r="B98">
            <v>467.27</v>
          </cell>
          <cell r="C98">
            <v>19464568</v>
          </cell>
        </row>
        <row r="99">
          <cell r="A99" t="str">
            <v>Nov 21, 2024</v>
          </cell>
          <cell r="B99">
            <v>450.05</v>
          </cell>
          <cell r="C99">
            <v>19559847</v>
          </cell>
        </row>
        <row r="100">
          <cell r="A100" t="str">
            <v>Nov 19, 2024</v>
          </cell>
          <cell r="B100">
            <v>460.09</v>
          </cell>
          <cell r="C100">
            <v>6857374</v>
          </cell>
        </row>
        <row r="101">
          <cell r="A101" t="str">
            <v>Nov 18, 2024</v>
          </cell>
          <cell r="B101">
            <v>459.3</v>
          </cell>
          <cell r="C101">
            <v>8135260</v>
          </cell>
        </row>
        <row r="102">
          <cell r="A102" t="str">
            <v>Nov 14, 2024</v>
          </cell>
          <cell r="B102">
            <v>458.71</v>
          </cell>
          <cell r="C102">
            <v>11639562</v>
          </cell>
        </row>
        <row r="103">
          <cell r="A103" t="str">
            <v>Nov 13, 2024</v>
          </cell>
          <cell r="B103">
            <v>464.86</v>
          </cell>
          <cell r="C103">
            <v>11120381</v>
          </cell>
        </row>
        <row r="104">
          <cell r="A104" t="str">
            <v>Nov 12, 2024</v>
          </cell>
          <cell r="B104">
            <v>465.5</v>
          </cell>
          <cell r="C104">
            <v>5041916</v>
          </cell>
        </row>
        <row r="105">
          <cell r="A105" t="str">
            <v>Nov 11, 2024</v>
          </cell>
          <cell r="B105">
            <v>469.54</v>
          </cell>
          <cell r="C105">
            <v>5488948</v>
          </cell>
        </row>
        <row r="106">
          <cell r="A106" t="str">
            <v>Nov 8, 2024</v>
          </cell>
          <cell r="B106">
            <v>470.62</v>
          </cell>
          <cell r="C106">
            <v>6090462</v>
          </cell>
        </row>
        <row r="107">
          <cell r="A107" t="str">
            <v>Nov 7, 2024</v>
          </cell>
          <cell r="B107">
            <v>470.47</v>
          </cell>
          <cell r="C107">
            <v>8924280</v>
          </cell>
        </row>
        <row r="108">
          <cell r="A108" t="str">
            <v>Nov 6, 2024</v>
          </cell>
          <cell r="B108">
            <v>473.62</v>
          </cell>
          <cell r="C108">
            <v>11313985</v>
          </cell>
        </row>
        <row r="109">
          <cell r="A109" t="str">
            <v>Nov 5, 2024</v>
          </cell>
          <cell r="B109">
            <v>472.74</v>
          </cell>
          <cell r="C109">
            <v>7327830</v>
          </cell>
        </row>
        <row r="110">
          <cell r="A110" t="str">
            <v>Nov 4, 2024</v>
          </cell>
          <cell r="B110">
            <v>477.07</v>
          </cell>
          <cell r="C110">
            <v>8429731</v>
          </cell>
        </row>
        <row r="111">
          <cell r="A111" t="str">
            <v>Nov 1, 2024</v>
          </cell>
          <cell r="B111">
            <v>482.68</v>
          </cell>
          <cell r="C111">
            <v>1461602</v>
          </cell>
        </row>
        <row r="112">
          <cell r="A112" t="str">
            <v>Oct 31, 2024</v>
          </cell>
          <cell r="B112">
            <v>481.2</v>
          </cell>
          <cell r="C112">
            <v>7810874</v>
          </cell>
        </row>
        <row r="113">
          <cell r="A113" t="str">
            <v>Oct 30, 2024</v>
          </cell>
          <cell r="B113">
            <v>483.91</v>
          </cell>
          <cell r="C113">
            <v>6393835</v>
          </cell>
        </row>
        <row r="114">
          <cell r="A114" t="str">
            <v>Oct 29, 2024</v>
          </cell>
          <cell r="B114">
            <v>480.37</v>
          </cell>
          <cell r="C114">
            <v>6866704</v>
          </cell>
        </row>
        <row r="115">
          <cell r="A115" t="str">
            <v>Oct 28, 2024</v>
          </cell>
          <cell r="B115">
            <v>476.63</v>
          </cell>
          <cell r="C115">
            <v>8614446</v>
          </cell>
        </row>
        <row r="116">
          <cell r="A116" t="str">
            <v>Oct 25, 2024</v>
          </cell>
          <cell r="B116">
            <v>474.81</v>
          </cell>
          <cell r="C116">
            <v>30961625</v>
          </cell>
        </row>
        <row r="117">
          <cell r="A117" t="str">
            <v>Oct 24, 2024</v>
          </cell>
          <cell r="B117">
            <v>464.37</v>
          </cell>
          <cell r="C117">
            <v>13092399</v>
          </cell>
        </row>
        <row r="118">
          <cell r="A118" t="str">
            <v>Oct 23, 2024</v>
          </cell>
          <cell r="B118">
            <v>472.89</v>
          </cell>
          <cell r="C118">
            <v>10162570</v>
          </cell>
        </row>
        <row r="119">
          <cell r="A119" t="str">
            <v>Oct 22, 2024</v>
          </cell>
          <cell r="B119">
            <v>474.31</v>
          </cell>
          <cell r="C119">
            <v>12299288</v>
          </cell>
        </row>
        <row r="120">
          <cell r="A120" t="str">
            <v>Oct 21, 2024</v>
          </cell>
          <cell r="B120">
            <v>476.13</v>
          </cell>
          <cell r="C120">
            <v>7395274</v>
          </cell>
        </row>
        <row r="121">
          <cell r="A121" t="str">
            <v>Oct 18, 2024</v>
          </cell>
          <cell r="B121">
            <v>479.14</v>
          </cell>
          <cell r="C121">
            <v>21778099</v>
          </cell>
        </row>
        <row r="122">
          <cell r="A122" t="str">
            <v>Oct 17, 2024</v>
          </cell>
          <cell r="B122">
            <v>481.3</v>
          </cell>
          <cell r="C122">
            <v>7385299</v>
          </cell>
        </row>
        <row r="123">
          <cell r="A123" t="str">
            <v>Oct 16, 2024</v>
          </cell>
          <cell r="B123">
            <v>485.54</v>
          </cell>
          <cell r="C123">
            <v>6682083</v>
          </cell>
        </row>
        <row r="124">
          <cell r="A124" t="str">
            <v>Oct 15, 2024</v>
          </cell>
          <cell r="B124">
            <v>490.8</v>
          </cell>
          <cell r="C124">
            <v>8037662</v>
          </cell>
        </row>
        <row r="125">
          <cell r="A125" t="str">
            <v>Oct 14, 2024</v>
          </cell>
          <cell r="B125">
            <v>489.23</v>
          </cell>
          <cell r="C125">
            <v>6712103</v>
          </cell>
        </row>
        <row r="126">
          <cell r="A126" t="str">
            <v>Oct 11, 2024</v>
          </cell>
          <cell r="B126">
            <v>480.61</v>
          </cell>
          <cell r="C126">
            <v>14394986</v>
          </cell>
        </row>
        <row r="127">
          <cell r="A127" t="str">
            <v>Oct 10, 2024</v>
          </cell>
          <cell r="B127">
            <v>484.4</v>
          </cell>
          <cell r="C127">
            <v>12799333</v>
          </cell>
        </row>
        <row r="128">
          <cell r="A128" t="str">
            <v>Oct 9, 2024</v>
          </cell>
          <cell r="B128">
            <v>484.06</v>
          </cell>
          <cell r="C128">
            <v>23952459</v>
          </cell>
        </row>
        <row r="129">
          <cell r="A129" t="str">
            <v>Oct 8, 2024</v>
          </cell>
          <cell r="B129">
            <v>500.06</v>
          </cell>
          <cell r="C129">
            <v>9502367</v>
          </cell>
        </row>
        <row r="130">
          <cell r="A130" t="str">
            <v>Oct 7, 2024</v>
          </cell>
          <cell r="B130">
            <v>502.27</v>
          </cell>
          <cell r="C130">
            <v>16479772</v>
          </cell>
        </row>
        <row r="131">
          <cell r="A131" t="str">
            <v>Oct 4, 2024</v>
          </cell>
          <cell r="B131">
            <v>495.73</v>
          </cell>
          <cell r="C131">
            <v>18228912</v>
          </cell>
        </row>
        <row r="132">
          <cell r="A132" t="str">
            <v>Oct 3, 2024</v>
          </cell>
          <cell r="B132">
            <v>504.78</v>
          </cell>
          <cell r="C132">
            <v>15870147</v>
          </cell>
        </row>
        <row r="133">
          <cell r="A133" t="str">
            <v>Oct 1, 2024</v>
          </cell>
          <cell r="B133">
            <v>508.18</v>
          </cell>
          <cell r="C133">
            <v>5089315</v>
          </cell>
        </row>
        <row r="134">
          <cell r="A134" t="str">
            <v>Sep 30, 2024</v>
          </cell>
          <cell r="B134">
            <v>510.1</v>
          </cell>
          <cell r="C134">
            <v>10531347</v>
          </cell>
        </row>
        <row r="135">
          <cell r="A135" t="str">
            <v>Sep 27, 2024</v>
          </cell>
          <cell r="B135">
            <v>514.58000000000004</v>
          </cell>
          <cell r="C135">
            <v>17251962</v>
          </cell>
        </row>
        <row r="136">
          <cell r="A136" t="str">
            <v>Sep 26, 2024</v>
          </cell>
          <cell r="B136">
            <v>514.63</v>
          </cell>
          <cell r="C136">
            <v>15489991</v>
          </cell>
        </row>
        <row r="137">
          <cell r="A137" t="str">
            <v>Sep 25, 2024</v>
          </cell>
          <cell r="B137">
            <v>509.51</v>
          </cell>
          <cell r="C137">
            <v>8476223</v>
          </cell>
        </row>
        <row r="138">
          <cell r="A138" t="str">
            <v>Sep 24, 2024</v>
          </cell>
          <cell r="B138">
            <v>507.24</v>
          </cell>
          <cell r="C138">
            <v>6755320</v>
          </cell>
        </row>
        <row r="139">
          <cell r="A139" t="str">
            <v>Sep 23, 2024</v>
          </cell>
          <cell r="B139">
            <v>508.92</v>
          </cell>
          <cell r="C139">
            <v>7804918</v>
          </cell>
        </row>
        <row r="140">
          <cell r="A140" t="str">
            <v>Sep 20, 2024</v>
          </cell>
          <cell r="B140">
            <v>506.41</v>
          </cell>
          <cell r="C140">
            <v>23808194</v>
          </cell>
        </row>
        <row r="141">
          <cell r="A141" t="str">
            <v>Sep 19, 2024</v>
          </cell>
          <cell r="B141">
            <v>500.35</v>
          </cell>
          <cell r="C141">
            <v>13925311</v>
          </cell>
        </row>
        <row r="142">
          <cell r="A142" t="str">
            <v>Sep 18, 2024</v>
          </cell>
          <cell r="B142">
            <v>499.47</v>
          </cell>
          <cell r="C142">
            <v>5429619</v>
          </cell>
        </row>
        <row r="143">
          <cell r="A143" t="str">
            <v>Sep 17, 2024</v>
          </cell>
          <cell r="B143">
            <v>499.86</v>
          </cell>
          <cell r="C143">
            <v>10486015</v>
          </cell>
        </row>
        <row r="144">
          <cell r="A144" t="str">
            <v>Sep 16, 2024</v>
          </cell>
          <cell r="B144">
            <v>503.16</v>
          </cell>
          <cell r="C144">
            <v>7531604</v>
          </cell>
        </row>
        <row r="145">
          <cell r="A145" t="str">
            <v>Sep 13, 2024</v>
          </cell>
          <cell r="B145">
            <v>505.87</v>
          </cell>
          <cell r="C145">
            <v>8825193</v>
          </cell>
        </row>
        <row r="146">
          <cell r="A146" t="str">
            <v>Sep 12, 2024</v>
          </cell>
          <cell r="B146">
            <v>511.43</v>
          </cell>
          <cell r="C146">
            <v>18377550</v>
          </cell>
        </row>
        <row r="147">
          <cell r="A147" t="str">
            <v>Sep 11, 2024</v>
          </cell>
          <cell r="B147">
            <v>506.36</v>
          </cell>
          <cell r="C147">
            <v>14922832</v>
          </cell>
        </row>
        <row r="148">
          <cell r="A148" t="str">
            <v>Sep 10, 2024</v>
          </cell>
          <cell r="B148">
            <v>505.62</v>
          </cell>
          <cell r="C148">
            <v>10911995</v>
          </cell>
        </row>
        <row r="149">
          <cell r="A149" t="str">
            <v>Sep 9, 2024</v>
          </cell>
          <cell r="B149">
            <v>503.8</v>
          </cell>
          <cell r="C149">
            <v>13736044</v>
          </cell>
        </row>
        <row r="150">
          <cell r="A150" t="str">
            <v>Sep 6, 2024</v>
          </cell>
          <cell r="B150">
            <v>493.9</v>
          </cell>
          <cell r="C150">
            <v>13716752</v>
          </cell>
        </row>
        <row r="151">
          <cell r="A151" t="str">
            <v>Sep 5, 2024</v>
          </cell>
          <cell r="B151">
            <v>503.26</v>
          </cell>
          <cell r="C151">
            <v>10898888</v>
          </cell>
        </row>
        <row r="152">
          <cell r="A152" t="str">
            <v>Sep 4, 2024</v>
          </cell>
          <cell r="B152">
            <v>498.48</v>
          </cell>
          <cell r="C152">
            <v>8414967</v>
          </cell>
        </row>
        <row r="153">
          <cell r="A153" t="str">
            <v>Sep 3, 2024</v>
          </cell>
          <cell r="B153">
            <v>501.48</v>
          </cell>
          <cell r="C153">
            <v>12018677</v>
          </cell>
        </row>
        <row r="154">
          <cell r="A154" t="str">
            <v>Sep 2, 2024</v>
          </cell>
          <cell r="B154">
            <v>502.12</v>
          </cell>
          <cell r="C154">
            <v>15885469</v>
          </cell>
        </row>
        <row r="155">
          <cell r="A155" t="str">
            <v>Aug 30, 2024</v>
          </cell>
          <cell r="B155">
            <v>494.1</v>
          </cell>
          <cell r="C155">
            <v>14947670</v>
          </cell>
        </row>
        <row r="156">
          <cell r="A156" t="str">
            <v>Aug 29, 2024</v>
          </cell>
          <cell r="B156">
            <v>497.25</v>
          </cell>
          <cell r="C156">
            <v>18670632</v>
          </cell>
        </row>
        <row r="157">
          <cell r="A157" t="str">
            <v>Aug 28, 2024</v>
          </cell>
          <cell r="B157">
            <v>489.57</v>
          </cell>
          <cell r="C157">
            <v>7782216</v>
          </cell>
        </row>
        <row r="158">
          <cell r="A158" t="str">
            <v>Aug 27, 2024</v>
          </cell>
          <cell r="B158">
            <v>492.82</v>
          </cell>
          <cell r="C158">
            <v>7954114</v>
          </cell>
        </row>
        <row r="159">
          <cell r="A159" t="str">
            <v>Aug 26, 2024</v>
          </cell>
          <cell r="B159">
            <v>497.84</v>
          </cell>
          <cell r="C159">
            <v>7825037</v>
          </cell>
        </row>
        <row r="160">
          <cell r="A160" t="str">
            <v>Aug 23, 2024</v>
          </cell>
          <cell r="B160">
            <v>497.94</v>
          </cell>
          <cell r="C160">
            <v>7891446</v>
          </cell>
        </row>
        <row r="161">
          <cell r="A161" t="str">
            <v>Aug 22, 2024</v>
          </cell>
          <cell r="B161">
            <v>496.71</v>
          </cell>
          <cell r="C161">
            <v>8364290</v>
          </cell>
        </row>
        <row r="162">
          <cell r="A162" t="str">
            <v>Aug 21, 2024</v>
          </cell>
          <cell r="B162">
            <v>497.55</v>
          </cell>
          <cell r="C162">
            <v>8474830</v>
          </cell>
        </row>
        <row r="163">
          <cell r="A163" t="str">
            <v>Aug 20, 2024</v>
          </cell>
          <cell r="B163">
            <v>491.05</v>
          </cell>
          <cell r="C163">
            <v>6633171</v>
          </cell>
        </row>
        <row r="164">
          <cell r="A164" t="str">
            <v>Aug 19, 2024</v>
          </cell>
          <cell r="B164">
            <v>493.66</v>
          </cell>
          <cell r="C164">
            <v>10198725</v>
          </cell>
        </row>
        <row r="165">
          <cell r="A165" t="str">
            <v>Aug 16, 2024</v>
          </cell>
          <cell r="B165">
            <v>494.84</v>
          </cell>
          <cell r="C165">
            <v>13137392</v>
          </cell>
        </row>
        <row r="166">
          <cell r="A166" t="str">
            <v>Aug 14, 2024</v>
          </cell>
          <cell r="B166">
            <v>484.55</v>
          </cell>
          <cell r="C166">
            <v>9253598</v>
          </cell>
        </row>
        <row r="167">
          <cell r="A167" t="str">
            <v>Aug 13, 2024</v>
          </cell>
          <cell r="B167">
            <v>482.39</v>
          </cell>
          <cell r="C167">
            <v>7757706</v>
          </cell>
        </row>
        <row r="168">
          <cell r="A168" t="str">
            <v>Aug 12, 2024</v>
          </cell>
          <cell r="B168">
            <v>486.91</v>
          </cell>
          <cell r="C168">
            <v>9076097</v>
          </cell>
        </row>
        <row r="169">
          <cell r="A169" t="str">
            <v>Aug 9, 2024</v>
          </cell>
          <cell r="B169">
            <v>488.19</v>
          </cell>
          <cell r="C169">
            <v>9201793</v>
          </cell>
        </row>
        <row r="170">
          <cell r="A170" t="str">
            <v>Aug 8, 2024</v>
          </cell>
          <cell r="B170">
            <v>487.06</v>
          </cell>
          <cell r="C170">
            <v>20558134</v>
          </cell>
        </row>
        <row r="171">
          <cell r="A171" t="str">
            <v>Aug 7, 2024</v>
          </cell>
          <cell r="B171">
            <v>484.99</v>
          </cell>
          <cell r="C171">
            <v>10900585</v>
          </cell>
        </row>
        <row r="172">
          <cell r="A172" t="str">
            <v>Aug 6, 2024</v>
          </cell>
          <cell r="B172">
            <v>478.74</v>
          </cell>
          <cell r="C172">
            <v>13722855</v>
          </cell>
        </row>
        <row r="173">
          <cell r="A173" t="str">
            <v>Aug 5, 2024</v>
          </cell>
          <cell r="B173">
            <v>478.45</v>
          </cell>
          <cell r="C173">
            <v>24094139</v>
          </cell>
        </row>
        <row r="174">
          <cell r="A174" t="str">
            <v>Aug 2, 2024</v>
          </cell>
          <cell r="B174">
            <v>481.5</v>
          </cell>
          <cell r="C174">
            <v>21320064</v>
          </cell>
        </row>
        <row r="175">
          <cell r="A175" t="str">
            <v>Aug 1, 2024</v>
          </cell>
          <cell r="B175">
            <v>486.03</v>
          </cell>
          <cell r="C175">
            <v>11665529</v>
          </cell>
        </row>
        <row r="176">
          <cell r="A176" t="str">
            <v>Jul 31, 2024</v>
          </cell>
          <cell r="B176">
            <v>487.65</v>
          </cell>
          <cell r="C176">
            <v>11538215</v>
          </cell>
        </row>
        <row r="177">
          <cell r="A177" t="str">
            <v>Jul 30, 2024</v>
          </cell>
          <cell r="B177">
            <v>482.29</v>
          </cell>
          <cell r="C177">
            <v>13375906</v>
          </cell>
        </row>
        <row r="178">
          <cell r="A178" t="str">
            <v>Jul 29, 2024</v>
          </cell>
          <cell r="B178">
            <v>488.34</v>
          </cell>
          <cell r="C178">
            <v>12496895</v>
          </cell>
        </row>
        <row r="179">
          <cell r="A179" t="str">
            <v>Jul 26, 2024</v>
          </cell>
          <cell r="B179">
            <v>494.4</v>
          </cell>
          <cell r="C179">
            <v>20736094</v>
          </cell>
        </row>
        <row r="180">
          <cell r="A180" t="str">
            <v>Jul 25, 2024</v>
          </cell>
          <cell r="B180">
            <v>482.34</v>
          </cell>
          <cell r="C180">
            <v>17878994</v>
          </cell>
        </row>
        <row r="181">
          <cell r="A181" t="str">
            <v>Jul 24, 2024</v>
          </cell>
          <cell r="B181">
            <v>486.37</v>
          </cell>
          <cell r="C181">
            <v>42073323</v>
          </cell>
        </row>
        <row r="182">
          <cell r="A182" t="str">
            <v>Jul 23, 2024</v>
          </cell>
          <cell r="B182">
            <v>484.55</v>
          </cell>
          <cell r="C182">
            <v>54044423</v>
          </cell>
        </row>
        <row r="183">
          <cell r="A183" t="str">
            <v>Jul 22, 2024</v>
          </cell>
          <cell r="B183">
            <v>459.3</v>
          </cell>
          <cell r="C183">
            <v>18066586</v>
          </cell>
        </row>
        <row r="184">
          <cell r="A184" t="str">
            <v>Jul 19, 2024</v>
          </cell>
          <cell r="B184">
            <v>467.18</v>
          </cell>
          <cell r="C184">
            <v>24977373</v>
          </cell>
        </row>
        <row r="185">
          <cell r="A185" t="str">
            <v>Jul 18, 2024</v>
          </cell>
          <cell r="B185">
            <v>462.94</v>
          </cell>
          <cell r="C185">
            <v>21094737</v>
          </cell>
        </row>
        <row r="186">
          <cell r="A186" t="str">
            <v>Jul 16, 2024</v>
          </cell>
          <cell r="B186">
            <v>458.32</v>
          </cell>
          <cell r="C186">
            <v>12996711</v>
          </cell>
        </row>
        <row r="187">
          <cell r="A187" t="str">
            <v>Jul 15, 2024</v>
          </cell>
          <cell r="B187">
            <v>456.2</v>
          </cell>
          <cell r="C187">
            <v>16251032</v>
          </cell>
        </row>
        <row r="188">
          <cell r="A188" t="str">
            <v>Jul 12, 2024</v>
          </cell>
          <cell r="B188">
            <v>451.92</v>
          </cell>
          <cell r="C188">
            <v>18962800</v>
          </cell>
        </row>
        <row r="189">
          <cell r="A189" t="str">
            <v>Jul 11, 2024</v>
          </cell>
          <cell r="B189">
            <v>451.52</v>
          </cell>
          <cell r="C189">
            <v>18831345</v>
          </cell>
        </row>
        <row r="190">
          <cell r="A190" t="str">
            <v>Jul 10, 2024</v>
          </cell>
          <cell r="B190">
            <v>444.43</v>
          </cell>
          <cell r="C190">
            <v>11618210</v>
          </cell>
        </row>
        <row r="191">
          <cell r="A191" t="str">
            <v>Jul 9, 2024</v>
          </cell>
          <cell r="B191">
            <v>445.57</v>
          </cell>
          <cell r="C191">
            <v>26470260</v>
          </cell>
        </row>
        <row r="192">
          <cell r="A192" t="str">
            <v>Jul 8, 2024</v>
          </cell>
          <cell r="B192">
            <v>436.71</v>
          </cell>
          <cell r="C192">
            <v>20521107</v>
          </cell>
        </row>
        <row r="193">
          <cell r="A193" t="str">
            <v>Jul 5, 2024</v>
          </cell>
          <cell r="B193">
            <v>426.91</v>
          </cell>
          <cell r="C193">
            <v>12929586</v>
          </cell>
        </row>
        <row r="194">
          <cell r="A194" t="str">
            <v>Jul 4, 2024</v>
          </cell>
          <cell r="B194">
            <v>422.38</v>
          </cell>
          <cell r="C194">
            <v>9127340</v>
          </cell>
        </row>
        <row r="195">
          <cell r="A195" t="str">
            <v>Jul 3, 2024</v>
          </cell>
          <cell r="B195">
            <v>421.64</v>
          </cell>
          <cell r="C195">
            <v>7159756</v>
          </cell>
        </row>
        <row r="196">
          <cell r="A196" t="str">
            <v>Jul 2, 2024</v>
          </cell>
          <cell r="B196">
            <v>418.89</v>
          </cell>
          <cell r="C196">
            <v>10763335</v>
          </cell>
        </row>
        <row r="197">
          <cell r="A197" t="str">
            <v>Jul 1, 2024</v>
          </cell>
          <cell r="B197">
            <v>422.38</v>
          </cell>
          <cell r="C197">
            <v>12894747</v>
          </cell>
        </row>
        <row r="198">
          <cell r="A198" t="str">
            <v>Jun 28, 2024</v>
          </cell>
          <cell r="B198">
            <v>418.3</v>
          </cell>
          <cell r="C198">
            <v>17866326</v>
          </cell>
        </row>
        <row r="199">
          <cell r="A199" t="str">
            <v>Jun 27, 2024</v>
          </cell>
          <cell r="B199">
            <v>418.99</v>
          </cell>
          <cell r="C199">
            <v>37012589</v>
          </cell>
        </row>
        <row r="200">
          <cell r="A200" t="str">
            <v>Jun 26, 2024</v>
          </cell>
          <cell r="B200">
            <v>417.36</v>
          </cell>
          <cell r="C200">
            <v>11084805</v>
          </cell>
        </row>
        <row r="201">
          <cell r="A201" t="str">
            <v>Jun 25, 2024</v>
          </cell>
          <cell r="B201">
            <v>416.72</v>
          </cell>
          <cell r="C201">
            <v>10260449</v>
          </cell>
        </row>
        <row r="202">
          <cell r="A202" t="str">
            <v>Jun 24, 2024</v>
          </cell>
          <cell r="B202">
            <v>416.72</v>
          </cell>
          <cell r="C202">
            <v>9362433</v>
          </cell>
        </row>
        <row r="203">
          <cell r="A203" t="str">
            <v>Jun 21, 2024</v>
          </cell>
          <cell r="B203">
            <v>413.08</v>
          </cell>
          <cell r="C203">
            <v>25205627</v>
          </cell>
        </row>
        <row r="204">
          <cell r="A204" t="str">
            <v>Jun 20, 2024</v>
          </cell>
          <cell r="B204">
            <v>416.72</v>
          </cell>
          <cell r="C204">
            <v>14585806</v>
          </cell>
        </row>
        <row r="205">
          <cell r="A205" t="str">
            <v>Jun 19, 2024</v>
          </cell>
          <cell r="B205">
            <v>417.07</v>
          </cell>
          <cell r="C205">
            <v>10909803</v>
          </cell>
        </row>
        <row r="206">
          <cell r="A206" t="str">
            <v>Jun 18, 2024</v>
          </cell>
          <cell r="B206">
            <v>422.09</v>
          </cell>
          <cell r="C206">
            <v>14098178</v>
          </cell>
        </row>
        <row r="207">
          <cell r="A207" t="str">
            <v>Jun 14, 2024</v>
          </cell>
          <cell r="B207">
            <v>424.45</v>
          </cell>
          <cell r="C207">
            <v>9217804</v>
          </cell>
        </row>
        <row r="208">
          <cell r="A208" t="str">
            <v>Jun 13, 2024</v>
          </cell>
          <cell r="B208">
            <v>423.61</v>
          </cell>
          <cell r="C208">
            <v>9283802</v>
          </cell>
        </row>
        <row r="209">
          <cell r="A209" t="str">
            <v>Jun 12, 2024</v>
          </cell>
          <cell r="B209">
            <v>425.58</v>
          </cell>
          <cell r="C209">
            <v>10352936</v>
          </cell>
        </row>
        <row r="210">
          <cell r="A210" t="str">
            <v>Jun 11, 2024</v>
          </cell>
          <cell r="B210">
            <v>426.27</v>
          </cell>
          <cell r="C210">
            <v>12670589</v>
          </cell>
        </row>
        <row r="211">
          <cell r="A211" t="str">
            <v>Jun 10, 2024</v>
          </cell>
          <cell r="B211">
            <v>430.11</v>
          </cell>
          <cell r="C211">
            <v>11432393</v>
          </cell>
        </row>
        <row r="212">
          <cell r="A212" t="str">
            <v>Jun 7, 2024</v>
          </cell>
          <cell r="B212">
            <v>432.33</v>
          </cell>
          <cell r="C212">
            <v>28448041</v>
          </cell>
        </row>
        <row r="213">
          <cell r="A213" t="str">
            <v>Jun 6, 2024</v>
          </cell>
          <cell r="B213">
            <v>428.63</v>
          </cell>
          <cell r="C213">
            <v>31119999</v>
          </cell>
        </row>
        <row r="214">
          <cell r="A214" t="str">
            <v>Jun 5, 2024</v>
          </cell>
          <cell r="B214">
            <v>423.61</v>
          </cell>
          <cell r="C214">
            <v>27151351</v>
          </cell>
        </row>
        <row r="215">
          <cell r="A215" t="str">
            <v>Jun 4, 2024</v>
          </cell>
          <cell r="B215">
            <v>408.75</v>
          </cell>
          <cell r="C215">
            <v>46019632</v>
          </cell>
        </row>
        <row r="216">
          <cell r="A216" t="str">
            <v>Jun 3, 2024</v>
          </cell>
          <cell r="B216">
            <v>416.28</v>
          </cell>
          <cell r="C216">
            <v>15519148</v>
          </cell>
        </row>
        <row r="217">
          <cell r="A217" t="str">
            <v>May 31, 2024</v>
          </cell>
          <cell r="B217">
            <v>412.51</v>
          </cell>
          <cell r="C217">
            <v>28214102</v>
          </cell>
        </row>
        <row r="218">
          <cell r="A218" t="str">
            <v>May 30, 2024</v>
          </cell>
          <cell r="B218">
            <v>409.99</v>
          </cell>
          <cell r="C218">
            <v>20524428</v>
          </cell>
        </row>
        <row r="219">
          <cell r="A219" t="str">
            <v>May 29, 2024</v>
          </cell>
          <cell r="B219">
            <v>416.86</v>
          </cell>
          <cell r="C219">
            <v>10430363</v>
          </cell>
        </row>
        <row r="220">
          <cell r="A220" t="str">
            <v>May 28, 2024</v>
          </cell>
          <cell r="B220">
            <v>414.97</v>
          </cell>
          <cell r="C220">
            <v>9310198</v>
          </cell>
        </row>
        <row r="221">
          <cell r="A221" t="str">
            <v>May 27, 2024</v>
          </cell>
          <cell r="B221">
            <v>417.39</v>
          </cell>
          <cell r="C221">
            <v>11827050</v>
          </cell>
        </row>
        <row r="222">
          <cell r="A222" t="str">
            <v>May 24, 2024</v>
          </cell>
          <cell r="B222">
            <v>421.94</v>
          </cell>
          <cell r="C222">
            <v>12761457</v>
          </cell>
        </row>
        <row r="223">
          <cell r="A223" t="str">
            <v>May 23, 2024</v>
          </cell>
          <cell r="B223">
            <v>426.92</v>
          </cell>
          <cell r="C223">
            <v>26234369</v>
          </cell>
        </row>
        <row r="224">
          <cell r="A224" t="str">
            <v>May 22, 2024</v>
          </cell>
          <cell r="B224">
            <v>425.52</v>
          </cell>
          <cell r="C224">
            <v>10627595</v>
          </cell>
        </row>
        <row r="225">
          <cell r="A225" t="str">
            <v>May 21, 2024</v>
          </cell>
          <cell r="B225">
            <v>420.58</v>
          </cell>
          <cell r="C225">
            <v>10760726</v>
          </cell>
        </row>
        <row r="226">
          <cell r="A226" t="str">
            <v>May 17, 2024</v>
          </cell>
          <cell r="B226">
            <v>422.03</v>
          </cell>
          <cell r="C226">
            <v>11453714</v>
          </cell>
        </row>
        <row r="227">
          <cell r="A227" t="str">
            <v>May 16, 2024</v>
          </cell>
          <cell r="B227">
            <v>417.34</v>
          </cell>
          <cell r="C227">
            <v>23025186</v>
          </cell>
        </row>
        <row r="228">
          <cell r="A228" t="str">
            <v>May 15, 2024</v>
          </cell>
          <cell r="B228">
            <v>413.81</v>
          </cell>
          <cell r="C228">
            <v>7565080</v>
          </cell>
        </row>
        <row r="229">
          <cell r="A229" t="str">
            <v>May 14, 2024</v>
          </cell>
          <cell r="B229">
            <v>415.65</v>
          </cell>
          <cell r="C229">
            <v>11000103</v>
          </cell>
        </row>
        <row r="230">
          <cell r="A230" t="str">
            <v>May 13, 2024</v>
          </cell>
          <cell r="B230">
            <v>417.73</v>
          </cell>
          <cell r="C230">
            <v>7302959</v>
          </cell>
        </row>
        <row r="231">
          <cell r="A231" t="str">
            <v>May 10, 2024</v>
          </cell>
          <cell r="B231">
            <v>419.18</v>
          </cell>
          <cell r="C231">
            <v>13985963</v>
          </cell>
        </row>
        <row r="232">
          <cell r="A232" t="str">
            <v>May 9, 2024</v>
          </cell>
          <cell r="B232">
            <v>411.2</v>
          </cell>
          <cell r="C232">
            <v>23412609</v>
          </cell>
        </row>
        <row r="233">
          <cell r="A233" t="str">
            <v>May 8, 2024</v>
          </cell>
          <cell r="B233">
            <v>426.58</v>
          </cell>
          <cell r="C233">
            <v>10511646</v>
          </cell>
        </row>
        <row r="234">
          <cell r="A234" t="str">
            <v>May 7, 2024</v>
          </cell>
          <cell r="B234">
            <v>425.95</v>
          </cell>
          <cell r="C234">
            <v>25968921</v>
          </cell>
        </row>
        <row r="235">
          <cell r="A235" t="str">
            <v>May 6, 2024</v>
          </cell>
          <cell r="B235">
            <v>420.54</v>
          </cell>
          <cell r="C235">
            <v>10355056</v>
          </cell>
        </row>
        <row r="236">
          <cell r="A236" t="str">
            <v>May 3, 2024</v>
          </cell>
          <cell r="B236">
            <v>422.18</v>
          </cell>
          <cell r="C236">
            <v>22904276</v>
          </cell>
        </row>
        <row r="237">
          <cell r="A237" t="str">
            <v>May 2, 2024</v>
          </cell>
          <cell r="B237">
            <v>424.65</v>
          </cell>
          <cell r="C237">
            <v>23228909</v>
          </cell>
        </row>
        <row r="238">
          <cell r="A238" t="str">
            <v>Apr 30, 2024</v>
          </cell>
          <cell r="B238">
            <v>421.41</v>
          </cell>
          <cell r="C238">
            <v>12064043</v>
          </cell>
        </row>
        <row r="239">
          <cell r="A239" t="str">
            <v>Apr 29, 2024</v>
          </cell>
          <cell r="B239">
            <v>423.87</v>
          </cell>
          <cell r="C239">
            <v>11627882</v>
          </cell>
        </row>
        <row r="240">
          <cell r="A240" t="str">
            <v>Apr 26, 2024</v>
          </cell>
          <cell r="B240">
            <v>425.61</v>
          </cell>
          <cell r="C240">
            <v>14773975</v>
          </cell>
        </row>
        <row r="241">
          <cell r="A241" t="str">
            <v>Apr 25, 2024</v>
          </cell>
          <cell r="B241">
            <v>423.24</v>
          </cell>
          <cell r="C241">
            <v>29211997</v>
          </cell>
        </row>
        <row r="242">
          <cell r="A242" t="str">
            <v>Apr 24, 2024</v>
          </cell>
          <cell r="B242">
            <v>414.88</v>
          </cell>
          <cell r="C242">
            <v>5845170</v>
          </cell>
        </row>
        <row r="243">
          <cell r="A243" t="str">
            <v>Apr 23, 2024</v>
          </cell>
          <cell r="B243">
            <v>415.17</v>
          </cell>
          <cell r="C243">
            <v>12021404</v>
          </cell>
        </row>
        <row r="244">
          <cell r="A244" t="str">
            <v>Apr 22, 2024</v>
          </cell>
          <cell r="B244">
            <v>411.39</v>
          </cell>
          <cell r="C244">
            <v>7112139</v>
          </cell>
        </row>
        <row r="245">
          <cell r="A245" t="str">
            <v>Apr 19, 2024</v>
          </cell>
          <cell r="B245">
            <v>410.86</v>
          </cell>
          <cell r="C245">
            <v>16582634</v>
          </cell>
        </row>
        <row r="246">
          <cell r="A246" t="str">
            <v>Apr 18, 2024</v>
          </cell>
          <cell r="B246">
            <v>405.16</v>
          </cell>
          <cell r="C246">
            <v>21312388</v>
          </cell>
        </row>
        <row r="247">
          <cell r="A247" t="str">
            <v>Apr 16, 2024</v>
          </cell>
          <cell r="B247">
            <v>411.97</v>
          </cell>
          <cell r="C247">
            <v>9973638</v>
          </cell>
        </row>
        <row r="248">
          <cell r="A248" t="str">
            <v>Apr 15, 2024</v>
          </cell>
          <cell r="B248">
            <v>411.97</v>
          </cell>
          <cell r="C248">
            <v>8746243</v>
          </cell>
        </row>
        <row r="249">
          <cell r="A249" t="str">
            <v>Apr 12, 2024</v>
          </cell>
          <cell r="B249">
            <v>416.04</v>
          </cell>
          <cell r="C249">
            <v>18088372</v>
          </cell>
        </row>
        <row r="250">
          <cell r="A250" t="str">
            <v>Apr 10, 2024</v>
          </cell>
          <cell r="B250">
            <v>422.66</v>
          </cell>
          <cell r="C250">
            <v>14008124</v>
          </cell>
        </row>
        <row r="251">
          <cell r="A251" t="str">
            <v>Apr 9, 2024</v>
          </cell>
          <cell r="B251">
            <v>412.41</v>
          </cell>
          <cell r="C251">
            <v>6708894</v>
          </cell>
        </row>
        <row r="252">
          <cell r="A252" t="str">
            <v>Apr 8, 2024</v>
          </cell>
          <cell r="B252">
            <v>415.07</v>
          </cell>
          <cell r="C252">
            <v>8516632</v>
          </cell>
        </row>
        <row r="253">
          <cell r="A253" t="str">
            <v>Apr 5, 2024</v>
          </cell>
          <cell r="B253">
            <v>413.57</v>
          </cell>
          <cell r="C253">
            <v>16147032</v>
          </cell>
        </row>
        <row r="254">
          <cell r="A254" t="str">
            <v>Apr 4, 2024</v>
          </cell>
          <cell r="B254">
            <v>408.93</v>
          </cell>
          <cell r="C254">
            <v>18358410</v>
          </cell>
        </row>
        <row r="255">
          <cell r="A255" t="str">
            <v>Apr 3, 2024</v>
          </cell>
          <cell r="B255">
            <v>411.3</v>
          </cell>
          <cell r="C255">
            <v>12664520</v>
          </cell>
        </row>
        <row r="256">
          <cell r="A256" t="str">
            <v>Apr 2, 2024</v>
          </cell>
          <cell r="B256">
            <v>411.93</v>
          </cell>
          <cell r="C256">
            <v>8853678</v>
          </cell>
        </row>
        <row r="257">
          <cell r="A257" t="str">
            <v>Apr 1, 2024</v>
          </cell>
          <cell r="B257">
            <v>412.75</v>
          </cell>
          <cell r="C257">
            <v>9382308</v>
          </cell>
        </row>
        <row r="258">
          <cell r="A258" t="str">
            <v>Mar 28, 2024</v>
          </cell>
          <cell r="B258">
            <v>414.34</v>
          </cell>
          <cell r="C258">
            <v>27933211</v>
          </cell>
        </row>
        <row r="259">
          <cell r="A259" t="str">
            <v>Mar 27, 2024</v>
          </cell>
          <cell r="B259">
            <v>414.01</v>
          </cell>
          <cell r="C259">
            <v>12227545</v>
          </cell>
        </row>
        <row r="260">
          <cell r="A260" t="str">
            <v>Mar 26, 2024</v>
          </cell>
          <cell r="B260">
            <v>413.67</v>
          </cell>
          <cell r="C260">
            <v>10274145</v>
          </cell>
        </row>
        <row r="261">
          <cell r="A261" t="str">
            <v>Mar 22, 2024</v>
          </cell>
          <cell r="B261">
            <v>414.59</v>
          </cell>
          <cell r="C261">
            <v>38861818</v>
          </cell>
        </row>
        <row r="262">
          <cell r="A262" t="str">
            <v>Mar 21, 2024</v>
          </cell>
          <cell r="B262">
            <v>407.48</v>
          </cell>
          <cell r="C262">
            <v>19227982</v>
          </cell>
        </row>
        <row r="263">
          <cell r="A263" t="str">
            <v>Mar 20, 2024</v>
          </cell>
          <cell r="B263">
            <v>402.11</v>
          </cell>
          <cell r="C263">
            <v>19609321</v>
          </cell>
        </row>
        <row r="264">
          <cell r="A264" t="str">
            <v>Mar 19, 2024</v>
          </cell>
          <cell r="B264">
            <v>396.16</v>
          </cell>
          <cell r="C264">
            <v>20994563</v>
          </cell>
        </row>
        <row r="265">
          <cell r="A265" t="str">
            <v>Mar 18, 2024</v>
          </cell>
          <cell r="B265">
            <v>403.8</v>
          </cell>
          <cell r="C265">
            <v>15933704</v>
          </cell>
        </row>
        <row r="266">
          <cell r="A266" t="str">
            <v>Mar 15, 2024</v>
          </cell>
          <cell r="B266">
            <v>405.4</v>
          </cell>
          <cell r="C266">
            <v>73253754</v>
          </cell>
        </row>
        <row r="267">
          <cell r="A267" t="str">
            <v>Mar 14, 2024</v>
          </cell>
          <cell r="B267">
            <v>405.93</v>
          </cell>
          <cell r="C267">
            <v>30764728</v>
          </cell>
        </row>
        <row r="268">
          <cell r="A268" t="str">
            <v>Mar 13, 2024</v>
          </cell>
          <cell r="B268">
            <v>408.64</v>
          </cell>
          <cell r="C268">
            <v>101612428</v>
          </cell>
        </row>
        <row r="269">
          <cell r="A269" t="str">
            <v>Mar 12, 2024</v>
          </cell>
          <cell r="B269">
            <v>391.23</v>
          </cell>
          <cell r="C269">
            <v>34882639</v>
          </cell>
        </row>
        <row r="270">
          <cell r="A270" t="str">
            <v>Mar 11, 2024</v>
          </cell>
          <cell r="B270">
            <v>396.01</v>
          </cell>
          <cell r="C270">
            <v>17620081</v>
          </cell>
        </row>
        <row r="271">
          <cell r="A271" t="str">
            <v>Mar 7, 2024</v>
          </cell>
          <cell r="B271">
            <v>400.03</v>
          </cell>
          <cell r="C271">
            <v>23020545</v>
          </cell>
        </row>
        <row r="272">
          <cell r="A272" t="str">
            <v>Mar 6, 2024</v>
          </cell>
          <cell r="B272">
            <v>394.51</v>
          </cell>
          <cell r="C272">
            <v>11106855</v>
          </cell>
        </row>
        <row r="273">
          <cell r="A273" t="str">
            <v>Mar 5, 2024</v>
          </cell>
          <cell r="B273">
            <v>392.87</v>
          </cell>
          <cell r="C273">
            <v>9733507</v>
          </cell>
        </row>
        <row r="274">
          <cell r="A274" t="str">
            <v>Mar 4, 2024</v>
          </cell>
          <cell r="B274">
            <v>395.72</v>
          </cell>
          <cell r="C274">
            <v>6840352</v>
          </cell>
        </row>
        <row r="275">
          <cell r="A275" t="str">
            <v>Mar 1, 2024</v>
          </cell>
          <cell r="B275">
            <v>396.11</v>
          </cell>
          <cell r="C275">
            <v>12395632</v>
          </cell>
        </row>
        <row r="276">
          <cell r="A276" t="str">
            <v>Feb 29, 2024</v>
          </cell>
          <cell r="B276">
            <v>393.02</v>
          </cell>
          <cell r="C276">
            <v>14895144</v>
          </cell>
        </row>
        <row r="277">
          <cell r="A277" t="str">
            <v>Feb 28, 2024</v>
          </cell>
          <cell r="B277">
            <v>394.95</v>
          </cell>
          <cell r="C277">
            <v>8617768</v>
          </cell>
        </row>
        <row r="278">
          <cell r="A278" t="str">
            <v>Feb 27, 2024</v>
          </cell>
          <cell r="B278">
            <v>397.71</v>
          </cell>
          <cell r="C278">
            <v>7783743</v>
          </cell>
        </row>
        <row r="279">
          <cell r="A279" t="str">
            <v>Feb 26, 2024</v>
          </cell>
          <cell r="B279">
            <v>395.82</v>
          </cell>
          <cell r="C279">
            <v>7982145</v>
          </cell>
        </row>
        <row r="280">
          <cell r="A280" t="str">
            <v>Feb 23, 2024</v>
          </cell>
          <cell r="B280">
            <v>397.95</v>
          </cell>
          <cell r="C280">
            <v>11147636</v>
          </cell>
        </row>
        <row r="281">
          <cell r="A281" t="str">
            <v>Feb 22, 2024</v>
          </cell>
          <cell r="B281">
            <v>400.9</v>
          </cell>
          <cell r="C281">
            <v>18604659</v>
          </cell>
        </row>
        <row r="282">
          <cell r="A282" t="str">
            <v>Feb 21, 2024</v>
          </cell>
          <cell r="B282">
            <v>390.16</v>
          </cell>
          <cell r="C282">
            <v>19414653</v>
          </cell>
        </row>
        <row r="283">
          <cell r="A283" t="str">
            <v>Feb 20, 2024</v>
          </cell>
          <cell r="B283">
            <v>392.82</v>
          </cell>
          <cell r="C283">
            <v>14084218</v>
          </cell>
        </row>
        <row r="284">
          <cell r="A284" t="str">
            <v>Feb 19, 2024</v>
          </cell>
          <cell r="B284">
            <v>395.87</v>
          </cell>
          <cell r="C284">
            <v>16949793</v>
          </cell>
        </row>
        <row r="285">
          <cell r="A285" t="str">
            <v>Feb 16, 2024</v>
          </cell>
          <cell r="B285">
            <v>391.37</v>
          </cell>
          <cell r="C285">
            <v>37518847</v>
          </cell>
        </row>
        <row r="286">
          <cell r="A286" t="str">
            <v>Feb 15, 2024</v>
          </cell>
          <cell r="B286">
            <v>390.69</v>
          </cell>
          <cell r="C286">
            <v>20383983</v>
          </cell>
        </row>
        <row r="287">
          <cell r="A287" t="str">
            <v>Feb 14, 2024</v>
          </cell>
          <cell r="B287">
            <v>398.09</v>
          </cell>
          <cell r="C287">
            <v>12150077</v>
          </cell>
        </row>
        <row r="288">
          <cell r="A288" t="str">
            <v>Feb 13, 2024</v>
          </cell>
          <cell r="B288">
            <v>393.45</v>
          </cell>
          <cell r="C288">
            <v>15606705</v>
          </cell>
        </row>
        <row r="289">
          <cell r="A289" t="str">
            <v>Feb 12, 2024</v>
          </cell>
          <cell r="B289">
            <v>393.55</v>
          </cell>
          <cell r="C289">
            <v>10906914</v>
          </cell>
        </row>
        <row r="290">
          <cell r="A290" t="str">
            <v>Feb 9, 2024</v>
          </cell>
          <cell r="B290">
            <v>401.91</v>
          </cell>
          <cell r="C290">
            <v>32283965</v>
          </cell>
        </row>
        <row r="291">
          <cell r="A291" t="str">
            <v>Feb 8, 2024</v>
          </cell>
          <cell r="B291">
            <v>401</v>
          </cell>
          <cell r="C291">
            <v>48183882</v>
          </cell>
        </row>
        <row r="292">
          <cell r="A292" t="str">
            <v>Feb 7, 2024</v>
          </cell>
          <cell r="B292">
            <v>411.64</v>
          </cell>
          <cell r="C292">
            <v>12880824</v>
          </cell>
        </row>
        <row r="293">
          <cell r="A293" t="str">
            <v>Feb 6, 2024</v>
          </cell>
          <cell r="B293">
            <v>411.25</v>
          </cell>
          <cell r="C293">
            <v>18764371</v>
          </cell>
        </row>
        <row r="294">
          <cell r="A294" t="str">
            <v>Feb 5, 2024</v>
          </cell>
          <cell r="B294">
            <v>417.59</v>
          </cell>
          <cell r="C294">
            <v>12041897</v>
          </cell>
        </row>
        <row r="295">
          <cell r="A295" t="str">
            <v>Feb 2, 2024</v>
          </cell>
          <cell r="B295">
            <v>419.55</v>
          </cell>
          <cell r="C295">
            <v>17156021</v>
          </cell>
        </row>
        <row r="296">
          <cell r="A296" t="str">
            <v>Feb 1, 2024</v>
          </cell>
          <cell r="B296">
            <v>422.22</v>
          </cell>
          <cell r="C296">
            <v>19165409</v>
          </cell>
        </row>
        <row r="297">
          <cell r="A297" t="str">
            <v>Jan 31, 2024</v>
          </cell>
          <cell r="B297">
            <v>420.93</v>
          </cell>
          <cell r="C297">
            <v>19882944</v>
          </cell>
        </row>
        <row r="298">
          <cell r="A298" t="str">
            <v>Jan 30, 2024</v>
          </cell>
          <cell r="B298">
            <v>417.59</v>
          </cell>
          <cell r="C298">
            <v>43514448</v>
          </cell>
        </row>
        <row r="299">
          <cell r="A299" t="str">
            <v>Jan 29, 2024</v>
          </cell>
          <cell r="B299">
            <v>428.8</v>
          </cell>
          <cell r="C299">
            <v>17869152</v>
          </cell>
        </row>
        <row r="300">
          <cell r="A300" t="str">
            <v>Jan 25, 2024</v>
          </cell>
          <cell r="B300">
            <v>434.37</v>
          </cell>
          <cell r="C300">
            <v>19677700</v>
          </cell>
        </row>
        <row r="301">
          <cell r="A301" t="str">
            <v>Jan 24, 2024</v>
          </cell>
          <cell r="B301">
            <v>441.95</v>
          </cell>
          <cell r="C301">
            <v>21626183</v>
          </cell>
        </row>
        <row r="302">
          <cell r="A302" t="str">
            <v>Jan 23, 2024</v>
          </cell>
          <cell r="B302">
            <v>437.85</v>
          </cell>
          <cell r="C302">
            <v>8404513</v>
          </cell>
        </row>
        <row r="303">
          <cell r="A303" t="str">
            <v>Jan 19, 2024</v>
          </cell>
          <cell r="B303">
            <v>449.48</v>
          </cell>
          <cell r="C303">
            <v>12203322</v>
          </cell>
        </row>
        <row r="304">
          <cell r="A304" t="str">
            <v>Jan 18, 2024</v>
          </cell>
          <cell r="B304">
            <v>443.76</v>
          </cell>
          <cell r="C304">
            <v>9143784</v>
          </cell>
        </row>
        <row r="305">
          <cell r="A305" t="str">
            <v>Jan 17, 2024</v>
          </cell>
          <cell r="B305">
            <v>444.81</v>
          </cell>
          <cell r="C305">
            <v>11108698</v>
          </cell>
        </row>
        <row r="306">
          <cell r="A306" t="str">
            <v>Jan 16, 2024</v>
          </cell>
          <cell r="B306">
            <v>450.25</v>
          </cell>
          <cell r="C306">
            <v>12066347</v>
          </cell>
        </row>
        <row r="307">
          <cell r="A307" t="str">
            <v>Jan 15, 2024</v>
          </cell>
          <cell r="B307">
            <v>445.76</v>
          </cell>
          <cell r="C307">
            <v>6902156</v>
          </cell>
        </row>
        <row r="308">
          <cell r="A308" t="str">
            <v>Jan 12, 2024</v>
          </cell>
          <cell r="B308">
            <v>444.91</v>
          </cell>
          <cell r="C308">
            <v>9354326</v>
          </cell>
        </row>
        <row r="309">
          <cell r="A309" t="str">
            <v>Jan 11, 2024</v>
          </cell>
          <cell r="B309">
            <v>441.05</v>
          </cell>
          <cell r="C309">
            <v>6534775</v>
          </cell>
        </row>
        <row r="310">
          <cell r="A310" t="str">
            <v>Jan 10, 2024</v>
          </cell>
          <cell r="B310">
            <v>441.67</v>
          </cell>
          <cell r="C310">
            <v>5896123</v>
          </cell>
        </row>
        <row r="311">
          <cell r="A311" t="str">
            <v>Jan 9, 2024</v>
          </cell>
          <cell r="B311">
            <v>442.86</v>
          </cell>
          <cell r="C311">
            <v>5696780</v>
          </cell>
        </row>
        <row r="312">
          <cell r="A312" t="str">
            <v>Jan 8, 2024</v>
          </cell>
          <cell r="B312">
            <v>443.76</v>
          </cell>
          <cell r="C312">
            <v>8003177</v>
          </cell>
        </row>
        <row r="313">
          <cell r="A313" t="str">
            <v>Jan 5, 2024</v>
          </cell>
          <cell r="B313">
            <v>451.82</v>
          </cell>
          <cell r="C313">
            <v>9209405</v>
          </cell>
        </row>
        <row r="314">
          <cell r="A314" t="str">
            <v>Jan 4, 2024</v>
          </cell>
          <cell r="B314">
            <v>454.15</v>
          </cell>
          <cell r="C314">
            <v>11786959</v>
          </cell>
        </row>
        <row r="315">
          <cell r="A315" t="str">
            <v>Jan 3, 2024</v>
          </cell>
          <cell r="B315">
            <v>454.96</v>
          </cell>
          <cell r="C315">
            <v>24036012</v>
          </cell>
        </row>
        <row r="316">
          <cell r="A316" t="str">
            <v>Jan 2, 2024</v>
          </cell>
          <cell r="B316">
            <v>448.39</v>
          </cell>
          <cell r="C316">
            <v>10519771</v>
          </cell>
        </row>
        <row r="317">
          <cell r="A317" t="str">
            <v>Jan 1, 2024</v>
          </cell>
          <cell r="B317">
            <v>446.19</v>
          </cell>
          <cell r="C317">
            <v>9346277</v>
          </cell>
        </row>
        <row r="318">
          <cell r="A318" t="str">
            <v>Dec 29, 2023</v>
          </cell>
          <cell r="B318">
            <v>440.52</v>
          </cell>
          <cell r="C318">
            <v>12888266</v>
          </cell>
        </row>
        <row r="319">
          <cell r="A319" t="str">
            <v>Dec 28, 2023</v>
          </cell>
          <cell r="B319">
            <v>442.43</v>
          </cell>
          <cell r="C319">
            <v>20696101</v>
          </cell>
        </row>
        <row r="320">
          <cell r="A320" t="str">
            <v>Dec 27, 2023</v>
          </cell>
          <cell r="B320">
            <v>435.75</v>
          </cell>
          <cell r="C320">
            <v>7543383</v>
          </cell>
        </row>
        <row r="321">
          <cell r="A321" t="str">
            <v>Dec 26, 2023</v>
          </cell>
          <cell r="B321">
            <v>435.14</v>
          </cell>
          <cell r="C321">
            <v>5871301</v>
          </cell>
        </row>
        <row r="322">
          <cell r="A322" t="str">
            <v>Dec 22, 2023</v>
          </cell>
          <cell r="B322">
            <v>433.94</v>
          </cell>
          <cell r="C322">
            <v>11026317</v>
          </cell>
        </row>
        <row r="323">
          <cell r="A323" t="str">
            <v>Dec 21, 2023</v>
          </cell>
          <cell r="B323">
            <v>430.37</v>
          </cell>
          <cell r="C323">
            <v>11154625</v>
          </cell>
        </row>
        <row r="324">
          <cell r="A324" t="str">
            <v>Dec 20, 2023</v>
          </cell>
          <cell r="B324">
            <v>429.94</v>
          </cell>
          <cell r="C324">
            <v>10367665</v>
          </cell>
        </row>
        <row r="325">
          <cell r="A325" t="str">
            <v>Dec 19, 2023</v>
          </cell>
          <cell r="B325">
            <v>434.8</v>
          </cell>
          <cell r="C325">
            <v>10268755</v>
          </cell>
        </row>
        <row r="326">
          <cell r="A326" t="str">
            <v>Dec 18, 2023</v>
          </cell>
          <cell r="B326">
            <v>430.56</v>
          </cell>
          <cell r="C326">
            <v>12027620</v>
          </cell>
        </row>
        <row r="327">
          <cell r="A327" t="str">
            <v>Dec 15, 2023</v>
          </cell>
          <cell r="B327">
            <v>436.8</v>
          </cell>
          <cell r="C327">
            <v>15789845</v>
          </cell>
        </row>
        <row r="328">
          <cell r="A328" t="str">
            <v>Dec 14, 2023</v>
          </cell>
          <cell r="B328">
            <v>438.61</v>
          </cell>
          <cell r="C328">
            <v>14370803</v>
          </cell>
        </row>
        <row r="329">
          <cell r="A329" t="str">
            <v>Dec 13, 2023</v>
          </cell>
          <cell r="B329">
            <v>434.37</v>
          </cell>
          <cell r="C329">
            <v>11283868</v>
          </cell>
        </row>
        <row r="330">
          <cell r="A330" t="str">
            <v>Dec 12, 2023</v>
          </cell>
          <cell r="B330">
            <v>431.94</v>
          </cell>
          <cell r="C330">
            <v>10158101</v>
          </cell>
        </row>
        <row r="331">
          <cell r="A331" t="str">
            <v>Dec 11, 2023</v>
          </cell>
          <cell r="B331">
            <v>431.32</v>
          </cell>
          <cell r="C331">
            <v>6599973</v>
          </cell>
        </row>
        <row r="332">
          <cell r="A332" t="str">
            <v>Dec 8, 2023</v>
          </cell>
          <cell r="B332">
            <v>428.18</v>
          </cell>
          <cell r="C332">
            <v>18667895</v>
          </cell>
        </row>
        <row r="333">
          <cell r="A333" t="str">
            <v>Dec 7, 2023</v>
          </cell>
          <cell r="B333">
            <v>436.71</v>
          </cell>
          <cell r="C333">
            <v>11310918</v>
          </cell>
        </row>
        <row r="334">
          <cell r="A334" t="str">
            <v>Dec 6, 2023</v>
          </cell>
          <cell r="B334">
            <v>441.62</v>
          </cell>
          <cell r="C334">
            <v>20417559</v>
          </cell>
        </row>
        <row r="335">
          <cell r="A335" t="str">
            <v>Dec 5, 2023</v>
          </cell>
          <cell r="B335">
            <v>430.65</v>
          </cell>
          <cell r="C335">
            <v>12136292</v>
          </cell>
        </row>
        <row r="336">
          <cell r="A336" t="str">
            <v>Dec 4, 2023</v>
          </cell>
          <cell r="B336">
            <v>432.85</v>
          </cell>
          <cell r="C336">
            <v>12800220</v>
          </cell>
        </row>
        <row r="337">
          <cell r="A337" t="str">
            <v>Dec 1, 2023</v>
          </cell>
          <cell r="B337">
            <v>428.8</v>
          </cell>
          <cell r="C337">
            <v>19336856</v>
          </cell>
        </row>
        <row r="338">
          <cell r="A338" t="str">
            <v>Nov 30, 2023</v>
          </cell>
          <cell r="B338">
            <v>415.45</v>
          </cell>
          <cell r="C338">
            <v>15127505</v>
          </cell>
        </row>
        <row r="339">
          <cell r="A339" t="str">
            <v>Nov 29, 2023</v>
          </cell>
          <cell r="B339">
            <v>416.78</v>
          </cell>
          <cell r="C339">
            <v>13785216</v>
          </cell>
        </row>
        <row r="340">
          <cell r="A340" t="str">
            <v>Nov 28, 2023</v>
          </cell>
          <cell r="B340">
            <v>414.93</v>
          </cell>
          <cell r="C340">
            <v>8745691</v>
          </cell>
        </row>
        <row r="341">
          <cell r="A341" t="str">
            <v>Nov 24, 2023</v>
          </cell>
          <cell r="B341">
            <v>417.36</v>
          </cell>
          <cell r="C341">
            <v>6821878</v>
          </cell>
        </row>
        <row r="342">
          <cell r="A342" t="str">
            <v>Nov 23, 2023</v>
          </cell>
          <cell r="B342">
            <v>419.79</v>
          </cell>
          <cell r="C342">
            <v>6366606</v>
          </cell>
        </row>
        <row r="343">
          <cell r="A343" t="str">
            <v>Nov 22, 2023</v>
          </cell>
          <cell r="B343">
            <v>419.17</v>
          </cell>
          <cell r="C343">
            <v>4886687</v>
          </cell>
        </row>
        <row r="344">
          <cell r="A344" t="str">
            <v>Nov 21, 2023</v>
          </cell>
          <cell r="B344">
            <v>415.88</v>
          </cell>
          <cell r="C344">
            <v>5997810</v>
          </cell>
        </row>
        <row r="345">
          <cell r="A345" t="str">
            <v>Nov 20, 2023</v>
          </cell>
          <cell r="B345">
            <v>416.4</v>
          </cell>
          <cell r="C345">
            <v>4335388</v>
          </cell>
        </row>
        <row r="346">
          <cell r="A346" t="str">
            <v>Nov 17, 2023</v>
          </cell>
          <cell r="B346">
            <v>418.74</v>
          </cell>
          <cell r="C346">
            <v>6655278</v>
          </cell>
        </row>
        <row r="347">
          <cell r="A347" t="str">
            <v>Nov 16, 2023</v>
          </cell>
          <cell r="B347">
            <v>418.17</v>
          </cell>
          <cell r="C347">
            <v>10857863</v>
          </cell>
        </row>
        <row r="348">
          <cell r="A348" t="str">
            <v>Nov 15, 2023</v>
          </cell>
          <cell r="B348">
            <v>421.31</v>
          </cell>
          <cell r="C348">
            <v>7436428</v>
          </cell>
        </row>
        <row r="349">
          <cell r="A349" t="str">
            <v>Nov 13, 2023</v>
          </cell>
          <cell r="B349">
            <v>415.64</v>
          </cell>
          <cell r="C349">
            <v>3744754</v>
          </cell>
        </row>
        <row r="350">
          <cell r="A350" t="str">
            <v>Nov 10, 2023</v>
          </cell>
          <cell r="B350">
            <v>416.16</v>
          </cell>
          <cell r="C350">
            <v>4079205</v>
          </cell>
        </row>
        <row r="351">
          <cell r="A351" t="str">
            <v>Nov 9, 2023</v>
          </cell>
          <cell r="B351">
            <v>414.11</v>
          </cell>
          <cell r="C351">
            <v>7785767</v>
          </cell>
        </row>
        <row r="352">
          <cell r="A352" t="str">
            <v>Nov 8, 2023</v>
          </cell>
          <cell r="B352">
            <v>416.55</v>
          </cell>
          <cell r="C352">
            <v>6979849</v>
          </cell>
        </row>
        <row r="353">
          <cell r="A353" t="str">
            <v>Nov 7, 2023</v>
          </cell>
          <cell r="B353">
            <v>412.49</v>
          </cell>
          <cell r="C353">
            <v>5124012</v>
          </cell>
        </row>
        <row r="354">
          <cell r="A354" t="str">
            <v>Nov 6, 2023</v>
          </cell>
          <cell r="B354">
            <v>415.02</v>
          </cell>
          <cell r="C354">
            <v>7308229</v>
          </cell>
        </row>
        <row r="355">
          <cell r="A355" t="str">
            <v>Nov 3, 2023</v>
          </cell>
          <cell r="B355">
            <v>413.02</v>
          </cell>
          <cell r="C355">
            <v>13802600</v>
          </cell>
        </row>
        <row r="356">
          <cell r="A356" t="str">
            <v>Nov 2, 2023</v>
          </cell>
          <cell r="B356">
            <v>411.02</v>
          </cell>
          <cell r="C356">
            <v>8152031</v>
          </cell>
        </row>
        <row r="357">
          <cell r="A357" t="str">
            <v>Nov 1, 2023</v>
          </cell>
          <cell r="B357">
            <v>408.11</v>
          </cell>
          <cell r="C357">
            <v>7990245</v>
          </cell>
        </row>
        <row r="358">
          <cell r="A358" t="str">
            <v>Oct 31, 2023</v>
          </cell>
          <cell r="B358">
            <v>408.39</v>
          </cell>
          <cell r="C358">
            <v>8620154</v>
          </cell>
        </row>
        <row r="359">
          <cell r="A359" t="str">
            <v>Oct 30, 2023</v>
          </cell>
          <cell r="B359">
            <v>410.35</v>
          </cell>
          <cell r="C359">
            <v>7618033</v>
          </cell>
        </row>
        <row r="360">
          <cell r="A360" t="str">
            <v>Oct 27, 2023</v>
          </cell>
          <cell r="B360">
            <v>413.5</v>
          </cell>
          <cell r="C360">
            <v>13132487</v>
          </cell>
        </row>
        <row r="361">
          <cell r="A361" t="str">
            <v>Oct 26, 2023</v>
          </cell>
          <cell r="B361">
            <v>414.07</v>
          </cell>
          <cell r="C361">
            <v>18801214</v>
          </cell>
        </row>
        <row r="362">
          <cell r="A362" t="str">
            <v>Oct 25, 2023</v>
          </cell>
          <cell r="B362">
            <v>412.49</v>
          </cell>
          <cell r="C362">
            <v>10889221</v>
          </cell>
        </row>
        <row r="363">
          <cell r="A363" t="str">
            <v>Oct 23, 2023</v>
          </cell>
          <cell r="B363">
            <v>415.54</v>
          </cell>
          <cell r="C363">
            <v>7275471</v>
          </cell>
        </row>
        <row r="364">
          <cell r="A364" t="str">
            <v>Oct 20, 2023</v>
          </cell>
          <cell r="B364">
            <v>417.83</v>
          </cell>
          <cell r="C364">
            <v>13020371</v>
          </cell>
        </row>
        <row r="365">
          <cell r="A365" t="str">
            <v>Oct 19, 2023</v>
          </cell>
          <cell r="B365">
            <v>429.37</v>
          </cell>
          <cell r="C365">
            <v>9465463</v>
          </cell>
        </row>
        <row r="366">
          <cell r="A366" t="str">
            <v>Oct 18, 2023</v>
          </cell>
          <cell r="B366">
            <v>430.56</v>
          </cell>
          <cell r="C366">
            <v>6894947</v>
          </cell>
        </row>
        <row r="367">
          <cell r="A367" t="str">
            <v>Oct 17, 2023</v>
          </cell>
          <cell r="B367">
            <v>432.28</v>
          </cell>
          <cell r="C367">
            <v>6936218</v>
          </cell>
        </row>
        <row r="368">
          <cell r="A368" t="str">
            <v>Oct 16, 2023</v>
          </cell>
          <cell r="B368">
            <v>427.99</v>
          </cell>
          <cell r="C368">
            <v>4214958</v>
          </cell>
        </row>
        <row r="369">
          <cell r="A369" t="str">
            <v>Oct 13, 2023</v>
          </cell>
          <cell r="B369">
            <v>427.41</v>
          </cell>
          <cell r="C369">
            <v>7632483</v>
          </cell>
        </row>
        <row r="370">
          <cell r="A370" t="str">
            <v>Oct 12, 2023</v>
          </cell>
          <cell r="B370">
            <v>429.65</v>
          </cell>
          <cell r="C370">
            <v>11774487</v>
          </cell>
        </row>
        <row r="371">
          <cell r="A371" t="str">
            <v>Oct 11, 2023</v>
          </cell>
          <cell r="B371">
            <v>427.32</v>
          </cell>
          <cell r="C371">
            <v>7651513</v>
          </cell>
        </row>
        <row r="372">
          <cell r="A372" t="str">
            <v>Oct 10, 2023</v>
          </cell>
          <cell r="B372">
            <v>423.65</v>
          </cell>
          <cell r="C372">
            <v>5014758</v>
          </cell>
        </row>
        <row r="373">
          <cell r="A373" t="str">
            <v>Oct 9, 2023</v>
          </cell>
          <cell r="B373">
            <v>419.88</v>
          </cell>
          <cell r="C373">
            <v>5611154</v>
          </cell>
        </row>
        <row r="374">
          <cell r="A374" t="str">
            <v>Oct 6, 2023</v>
          </cell>
          <cell r="B374">
            <v>421.5</v>
          </cell>
          <cell r="C374">
            <v>8418580</v>
          </cell>
        </row>
        <row r="375">
          <cell r="A375" t="str">
            <v>Oct 5, 2023</v>
          </cell>
          <cell r="B375">
            <v>415.69</v>
          </cell>
          <cell r="C375">
            <v>10030257</v>
          </cell>
        </row>
        <row r="376">
          <cell r="A376" t="str">
            <v>Oct 4, 2023</v>
          </cell>
          <cell r="B376">
            <v>415.74</v>
          </cell>
          <cell r="C376">
            <v>13396709</v>
          </cell>
        </row>
        <row r="377">
          <cell r="A377" t="str">
            <v>Oct 3, 2023</v>
          </cell>
          <cell r="B377">
            <v>419.21</v>
          </cell>
          <cell r="C377">
            <v>7481883</v>
          </cell>
        </row>
        <row r="378">
          <cell r="A378" t="str">
            <v>Sep 29, 2023</v>
          </cell>
          <cell r="B378">
            <v>423.65</v>
          </cell>
          <cell r="C378">
            <v>8160058</v>
          </cell>
        </row>
        <row r="379">
          <cell r="A379" t="str">
            <v>Sep 28, 2023</v>
          </cell>
          <cell r="B379">
            <v>420.17</v>
          </cell>
          <cell r="C379">
            <v>10216736</v>
          </cell>
        </row>
        <row r="380">
          <cell r="A380" t="str">
            <v>Sep 27, 2023</v>
          </cell>
          <cell r="B380">
            <v>428.18</v>
          </cell>
          <cell r="C380">
            <v>10490786</v>
          </cell>
        </row>
        <row r="381">
          <cell r="A381" t="str">
            <v>Sep 26, 2023</v>
          </cell>
          <cell r="B381">
            <v>421.79</v>
          </cell>
          <cell r="C381">
            <v>5327833</v>
          </cell>
        </row>
        <row r="382">
          <cell r="A382" t="str">
            <v>Sep 25, 2023</v>
          </cell>
          <cell r="B382">
            <v>421.93</v>
          </cell>
          <cell r="C382">
            <v>5782955</v>
          </cell>
        </row>
        <row r="383">
          <cell r="A383" t="str">
            <v>Sep 22, 2023</v>
          </cell>
          <cell r="B383">
            <v>422.41</v>
          </cell>
          <cell r="C383">
            <v>7506309</v>
          </cell>
        </row>
        <row r="384">
          <cell r="A384" t="str">
            <v>Sep 21, 2023</v>
          </cell>
          <cell r="B384">
            <v>426.6</v>
          </cell>
          <cell r="C384">
            <v>10719470</v>
          </cell>
        </row>
        <row r="385">
          <cell r="A385" t="str">
            <v>Sep 20, 2023</v>
          </cell>
          <cell r="B385">
            <v>431.8</v>
          </cell>
          <cell r="C385">
            <v>9959649</v>
          </cell>
        </row>
        <row r="386">
          <cell r="A386" t="str">
            <v>Sep 18, 2023</v>
          </cell>
          <cell r="B386">
            <v>430.94</v>
          </cell>
          <cell r="C386">
            <v>8197425</v>
          </cell>
        </row>
        <row r="387">
          <cell r="A387" t="str">
            <v>Sep 15, 2023</v>
          </cell>
          <cell r="B387">
            <v>427.41</v>
          </cell>
          <cell r="C387">
            <v>15077136</v>
          </cell>
        </row>
        <row r="388">
          <cell r="A388" t="str">
            <v>Sep 14, 2023</v>
          </cell>
          <cell r="B388">
            <v>428.94</v>
          </cell>
          <cell r="C388">
            <v>14430930</v>
          </cell>
        </row>
        <row r="389">
          <cell r="A389" t="str">
            <v>Sep 13, 2023</v>
          </cell>
          <cell r="B389">
            <v>432.32</v>
          </cell>
          <cell r="C389">
            <v>11813170</v>
          </cell>
        </row>
        <row r="390">
          <cell r="A390" t="str">
            <v>Sep 12, 2023</v>
          </cell>
          <cell r="B390">
            <v>430.08</v>
          </cell>
          <cell r="C390">
            <v>14406441</v>
          </cell>
        </row>
        <row r="391">
          <cell r="A391" t="str">
            <v>Sep 11, 2023</v>
          </cell>
          <cell r="B391">
            <v>426.32</v>
          </cell>
          <cell r="C391">
            <v>9320577</v>
          </cell>
        </row>
        <row r="392">
          <cell r="A392" t="str">
            <v>Sep 8, 2023</v>
          </cell>
          <cell r="B392">
            <v>421.98</v>
          </cell>
          <cell r="C392">
            <v>9939517</v>
          </cell>
        </row>
        <row r="393">
          <cell r="A393" t="str">
            <v>Sep 7, 2023</v>
          </cell>
          <cell r="B393">
            <v>425.08</v>
          </cell>
          <cell r="C393">
            <v>8090369</v>
          </cell>
        </row>
        <row r="394">
          <cell r="A394" t="str">
            <v>Sep 6, 2023</v>
          </cell>
          <cell r="B394">
            <v>426.56</v>
          </cell>
          <cell r="C394">
            <v>12863039</v>
          </cell>
        </row>
        <row r="395">
          <cell r="A395" t="str">
            <v>Sep 5, 2023</v>
          </cell>
          <cell r="B395">
            <v>422.41</v>
          </cell>
          <cell r="C395">
            <v>8378915</v>
          </cell>
        </row>
        <row r="396">
          <cell r="A396" t="str">
            <v>Sep 4, 2023</v>
          </cell>
          <cell r="B396">
            <v>417.07</v>
          </cell>
          <cell r="C396">
            <v>13604608</v>
          </cell>
        </row>
        <row r="397">
          <cell r="A397" t="str">
            <v>Sep 1, 2023</v>
          </cell>
          <cell r="B397">
            <v>420.45</v>
          </cell>
          <cell r="C397">
            <v>11438624</v>
          </cell>
        </row>
        <row r="398">
          <cell r="A398" t="str">
            <v>Aug 31, 2023</v>
          </cell>
          <cell r="B398">
            <v>419.17</v>
          </cell>
          <cell r="C398">
            <v>19900312</v>
          </cell>
        </row>
        <row r="399">
          <cell r="A399" t="str">
            <v>Aug 30, 2023</v>
          </cell>
          <cell r="B399">
            <v>422.12</v>
          </cell>
          <cell r="C399">
            <v>7364924</v>
          </cell>
        </row>
        <row r="400">
          <cell r="A400" t="str">
            <v>Aug 29, 2023</v>
          </cell>
          <cell r="B400">
            <v>419.55</v>
          </cell>
          <cell r="C400">
            <v>9480003</v>
          </cell>
        </row>
        <row r="401">
          <cell r="A401" t="str">
            <v>Aug 28, 2023</v>
          </cell>
          <cell r="B401">
            <v>420.79</v>
          </cell>
          <cell r="C401">
            <v>6910750</v>
          </cell>
        </row>
        <row r="402">
          <cell r="A402" t="str">
            <v>Aug 25, 2023</v>
          </cell>
          <cell r="B402">
            <v>422.65</v>
          </cell>
          <cell r="C402">
            <v>9270988</v>
          </cell>
        </row>
        <row r="403">
          <cell r="A403" t="str">
            <v>Aug 24, 2023</v>
          </cell>
          <cell r="B403">
            <v>429.84</v>
          </cell>
          <cell r="C403">
            <v>6088274</v>
          </cell>
        </row>
        <row r="404">
          <cell r="A404" t="str">
            <v>Aug 23, 2023</v>
          </cell>
          <cell r="B404">
            <v>429.42</v>
          </cell>
          <cell r="C404">
            <v>8445029</v>
          </cell>
        </row>
        <row r="405">
          <cell r="A405" t="str">
            <v>Aug 22, 2023</v>
          </cell>
          <cell r="B405">
            <v>433.04</v>
          </cell>
          <cell r="C405">
            <v>9854945</v>
          </cell>
        </row>
        <row r="406">
          <cell r="A406" t="str">
            <v>Aug 21, 2023</v>
          </cell>
          <cell r="B406">
            <v>426.89</v>
          </cell>
          <cell r="C406">
            <v>9572041</v>
          </cell>
        </row>
        <row r="407">
          <cell r="A407" t="str">
            <v>Aug 18, 2023</v>
          </cell>
          <cell r="B407">
            <v>421.03</v>
          </cell>
          <cell r="C407">
            <v>19324262</v>
          </cell>
        </row>
        <row r="408">
          <cell r="A408" t="str">
            <v>Aug 17, 2023</v>
          </cell>
          <cell r="B408">
            <v>420.41</v>
          </cell>
          <cell r="C408">
            <v>16269569</v>
          </cell>
        </row>
        <row r="409">
          <cell r="A409" t="str">
            <v>Aug 16, 2023</v>
          </cell>
          <cell r="B409">
            <v>429.22</v>
          </cell>
          <cell r="C409">
            <v>14920272</v>
          </cell>
        </row>
        <row r="410">
          <cell r="A410" t="str">
            <v>Aug 14, 2023</v>
          </cell>
          <cell r="B410">
            <v>428.22</v>
          </cell>
          <cell r="C410">
            <v>7562808</v>
          </cell>
        </row>
        <row r="411">
          <cell r="A411" t="str">
            <v>Aug 11, 2023</v>
          </cell>
          <cell r="B411">
            <v>427.79</v>
          </cell>
          <cell r="C411">
            <v>11582326</v>
          </cell>
        </row>
        <row r="412">
          <cell r="A412" t="str">
            <v>Aug 10, 2023</v>
          </cell>
          <cell r="B412">
            <v>430.65</v>
          </cell>
          <cell r="C412">
            <v>13194170</v>
          </cell>
        </row>
        <row r="413">
          <cell r="A413" t="str">
            <v>Aug 9, 2023</v>
          </cell>
          <cell r="B413">
            <v>437.23</v>
          </cell>
          <cell r="C413">
            <v>9758343</v>
          </cell>
        </row>
        <row r="414">
          <cell r="A414" t="str">
            <v>Aug 8, 2023</v>
          </cell>
          <cell r="B414">
            <v>431.23</v>
          </cell>
          <cell r="C414">
            <v>6392488</v>
          </cell>
        </row>
        <row r="415">
          <cell r="A415" t="str">
            <v>Aug 7, 2023</v>
          </cell>
          <cell r="B415">
            <v>433.66</v>
          </cell>
          <cell r="C415">
            <v>9161131</v>
          </cell>
        </row>
        <row r="416">
          <cell r="A416" t="str">
            <v>Aug 4, 2023</v>
          </cell>
          <cell r="B416">
            <v>433.71</v>
          </cell>
          <cell r="C416">
            <v>6834401</v>
          </cell>
        </row>
        <row r="417">
          <cell r="A417" t="str">
            <v>Aug 3, 2023</v>
          </cell>
          <cell r="B417">
            <v>434.75</v>
          </cell>
          <cell r="C417">
            <v>10617897</v>
          </cell>
        </row>
        <row r="418">
          <cell r="A418" t="str">
            <v>Aug 2, 2023</v>
          </cell>
          <cell r="B418">
            <v>438.61</v>
          </cell>
          <cell r="C418">
            <v>10318220</v>
          </cell>
        </row>
        <row r="419">
          <cell r="A419" t="str">
            <v>Aug 1, 2023</v>
          </cell>
          <cell r="B419">
            <v>443.1</v>
          </cell>
          <cell r="C419">
            <v>6438221</v>
          </cell>
        </row>
        <row r="420">
          <cell r="A420" t="str">
            <v>Jul 31, 2023</v>
          </cell>
          <cell r="B420">
            <v>443.95</v>
          </cell>
          <cell r="C420">
            <v>8194797</v>
          </cell>
        </row>
        <row r="421">
          <cell r="A421" t="str">
            <v>Jul 28, 2023</v>
          </cell>
          <cell r="B421">
            <v>446.57</v>
          </cell>
          <cell r="C421">
            <v>9978231</v>
          </cell>
        </row>
        <row r="422">
          <cell r="A422" t="str">
            <v>Jul 27, 2023</v>
          </cell>
          <cell r="B422">
            <v>443.33</v>
          </cell>
          <cell r="C422">
            <v>13989457</v>
          </cell>
        </row>
        <row r="423">
          <cell r="A423" t="str">
            <v>Jul 26, 2023</v>
          </cell>
          <cell r="B423">
            <v>450.2</v>
          </cell>
          <cell r="C423">
            <v>18143422</v>
          </cell>
        </row>
        <row r="424">
          <cell r="A424" t="str">
            <v>Jul 25, 2023</v>
          </cell>
          <cell r="B424">
            <v>440.71</v>
          </cell>
          <cell r="C424">
            <v>43534718</v>
          </cell>
        </row>
        <row r="425">
          <cell r="A425" t="str">
            <v>Jul 24, 2023</v>
          </cell>
          <cell r="B425">
            <v>449.34</v>
          </cell>
          <cell r="C425">
            <v>38976815</v>
          </cell>
        </row>
        <row r="426">
          <cell r="A426" t="str">
            <v>Jul 21, 2023</v>
          </cell>
          <cell r="B426">
            <v>467.55</v>
          </cell>
          <cell r="C426">
            <v>13971982</v>
          </cell>
        </row>
        <row r="427">
          <cell r="A427" t="str">
            <v>Jul 20, 2023</v>
          </cell>
          <cell r="B427">
            <v>469.17</v>
          </cell>
          <cell r="C427">
            <v>20250206</v>
          </cell>
        </row>
        <row r="428">
          <cell r="A428" t="str">
            <v>Jul 19, 2023</v>
          </cell>
          <cell r="B428">
            <v>456.49</v>
          </cell>
          <cell r="C428">
            <v>13867323</v>
          </cell>
        </row>
        <row r="429">
          <cell r="A429" t="str">
            <v>Jul 18, 2023</v>
          </cell>
          <cell r="B429">
            <v>450.44</v>
          </cell>
          <cell r="C429">
            <v>5352283</v>
          </cell>
        </row>
        <row r="430">
          <cell r="A430" t="str">
            <v>Jul 17, 2023</v>
          </cell>
          <cell r="B430">
            <v>450.29</v>
          </cell>
          <cell r="C430">
            <v>6090738</v>
          </cell>
        </row>
        <row r="431">
          <cell r="A431" t="str">
            <v>Jul 14, 2023</v>
          </cell>
          <cell r="B431">
            <v>450.82</v>
          </cell>
          <cell r="C431">
            <v>5081391</v>
          </cell>
        </row>
        <row r="432">
          <cell r="A432" t="str">
            <v>Jul 13, 2023</v>
          </cell>
          <cell r="B432">
            <v>449.96</v>
          </cell>
          <cell r="C432">
            <v>7909757</v>
          </cell>
        </row>
        <row r="433">
          <cell r="A433" t="str">
            <v>Jul 12, 2023</v>
          </cell>
          <cell r="B433">
            <v>450.25</v>
          </cell>
          <cell r="C433">
            <v>12340934</v>
          </cell>
        </row>
        <row r="434">
          <cell r="A434" t="str">
            <v>Jul 11, 2023</v>
          </cell>
          <cell r="B434">
            <v>451.06</v>
          </cell>
          <cell r="C434">
            <v>8457557</v>
          </cell>
        </row>
        <row r="435">
          <cell r="A435" t="str">
            <v>Jul 10, 2023</v>
          </cell>
          <cell r="B435">
            <v>444.1</v>
          </cell>
          <cell r="C435">
            <v>6521300</v>
          </cell>
        </row>
        <row r="436">
          <cell r="A436" t="str">
            <v>Jul 7, 2023</v>
          </cell>
          <cell r="B436">
            <v>446.53</v>
          </cell>
          <cell r="C436">
            <v>7323451</v>
          </cell>
        </row>
        <row r="437">
          <cell r="A437" t="str">
            <v>Jul 6, 2023</v>
          </cell>
          <cell r="B437">
            <v>451.77</v>
          </cell>
          <cell r="C437">
            <v>9471054</v>
          </cell>
        </row>
        <row r="438">
          <cell r="A438" t="str">
            <v>Jul 5, 2023</v>
          </cell>
          <cell r="B438">
            <v>452.91</v>
          </cell>
          <cell r="C438">
            <v>16252992</v>
          </cell>
        </row>
        <row r="439">
          <cell r="A439" t="str">
            <v>Jul 4, 2023</v>
          </cell>
          <cell r="B439">
            <v>444.57</v>
          </cell>
          <cell r="C439">
            <v>7725081</v>
          </cell>
        </row>
        <row r="440">
          <cell r="A440" t="str">
            <v>Jul 3, 2023</v>
          </cell>
          <cell r="B440">
            <v>441.62</v>
          </cell>
          <cell r="C440">
            <v>10699143</v>
          </cell>
        </row>
        <row r="441">
          <cell r="A441" t="str">
            <v>Jun 30, 2023</v>
          </cell>
          <cell r="B441">
            <v>430.51</v>
          </cell>
          <cell r="C441">
            <v>9106074</v>
          </cell>
        </row>
        <row r="442">
          <cell r="A442" t="str">
            <v>Jun 28, 2023</v>
          </cell>
          <cell r="B442">
            <v>428.37</v>
          </cell>
          <cell r="C442">
            <v>12082753</v>
          </cell>
        </row>
        <row r="443">
          <cell r="A443" t="str">
            <v>Jun 27, 2023</v>
          </cell>
          <cell r="B443">
            <v>424.32</v>
          </cell>
          <cell r="C443">
            <v>4865596</v>
          </cell>
        </row>
        <row r="444">
          <cell r="A444" t="str">
            <v>Jun 26, 2023</v>
          </cell>
          <cell r="B444">
            <v>424.89</v>
          </cell>
          <cell r="C444">
            <v>5477339</v>
          </cell>
        </row>
        <row r="445">
          <cell r="A445" t="str">
            <v>Jun 23, 2023</v>
          </cell>
          <cell r="B445">
            <v>423.98</v>
          </cell>
          <cell r="C445">
            <v>6090901</v>
          </cell>
        </row>
        <row r="446">
          <cell r="A446" t="str">
            <v>Jun 22, 2023</v>
          </cell>
          <cell r="B446">
            <v>426.75</v>
          </cell>
          <cell r="C446">
            <v>6637099</v>
          </cell>
        </row>
        <row r="447">
          <cell r="A447" t="str">
            <v>Jun 21, 2023</v>
          </cell>
          <cell r="B447">
            <v>426.17</v>
          </cell>
          <cell r="C447">
            <v>6059504</v>
          </cell>
        </row>
        <row r="448">
          <cell r="A448" t="str">
            <v>Jun 20, 2023</v>
          </cell>
          <cell r="B448">
            <v>431.7</v>
          </cell>
          <cell r="C448">
            <v>4472119</v>
          </cell>
        </row>
        <row r="449">
          <cell r="A449" t="str">
            <v>Jun 19, 2023</v>
          </cell>
          <cell r="B449">
            <v>432.42</v>
          </cell>
          <cell r="C449">
            <v>4189180</v>
          </cell>
        </row>
        <row r="450">
          <cell r="A450" t="str">
            <v>Jun 16, 2023</v>
          </cell>
          <cell r="B450">
            <v>431.94</v>
          </cell>
          <cell r="C450">
            <v>11729681</v>
          </cell>
        </row>
        <row r="451">
          <cell r="A451" t="str">
            <v>Jun 15, 2023</v>
          </cell>
          <cell r="B451">
            <v>427.18</v>
          </cell>
          <cell r="C451">
            <v>7498727</v>
          </cell>
        </row>
        <row r="452">
          <cell r="A452" t="str">
            <v>Jun 14, 2023</v>
          </cell>
          <cell r="B452">
            <v>423.74</v>
          </cell>
          <cell r="C452">
            <v>8704178</v>
          </cell>
        </row>
        <row r="453">
          <cell r="A453" t="str">
            <v>Jun 13, 2023</v>
          </cell>
          <cell r="B453">
            <v>424.6</v>
          </cell>
          <cell r="C453">
            <v>16111860</v>
          </cell>
        </row>
        <row r="454">
          <cell r="A454" t="str">
            <v>Jun 12, 2023</v>
          </cell>
          <cell r="B454">
            <v>416.55</v>
          </cell>
          <cell r="C454">
            <v>8719176</v>
          </cell>
        </row>
        <row r="455">
          <cell r="A455" t="str">
            <v>Jun 9, 2023</v>
          </cell>
          <cell r="B455">
            <v>417.98</v>
          </cell>
          <cell r="C455">
            <v>7057843</v>
          </cell>
        </row>
        <row r="456">
          <cell r="A456" t="str">
            <v>Jun 8, 2023</v>
          </cell>
          <cell r="B456">
            <v>422.22</v>
          </cell>
          <cell r="C456">
            <v>7024424</v>
          </cell>
        </row>
        <row r="457">
          <cell r="A457" t="str">
            <v>Jun 7, 2023</v>
          </cell>
          <cell r="B457">
            <v>423.22</v>
          </cell>
          <cell r="C457">
            <v>7543432</v>
          </cell>
        </row>
        <row r="458">
          <cell r="A458" t="str">
            <v>Jun 6, 2023</v>
          </cell>
          <cell r="B458">
            <v>422.12</v>
          </cell>
          <cell r="C458">
            <v>6454486</v>
          </cell>
        </row>
        <row r="459">
          <cell r="A459" t="str">
            <v>Jun 5, 2023</v>
          </cell>
          <cell r="B459">
            <v>420.07</v>
          </cell>
          <cell r="C459">
            <v>7152179</v>
          </cell>
        </row>
        <row r="460">
          <cell r="A460" t="str">
            <v>Jun 2, 2023</v>
          </cell>
          <cell r="B460">
            <v>422.69</v>
          </cell>
          <cell r="C460">
            <v>9203842</v>
          </cell>
        </row>
        <row r="461">
          <cell r="A461" t="str">
            <v>Jun 1, 2023</v>
          </cell>
          <cell r="B461">
            <v>419.17</v>
          </cell>
          <cell r="C461">
            <v>8803137</v>
          </cell>
        </row>
        <row r="462">
          <cell r="A462" t="str">
            <v>May 31, 2023</v>
          </cell>
          <cell r="B462">
            <v>424.7</v>
          </cell>
          <cell r="C462">
            <v>14272292</v>
          </cell>
        </row>
        <row r="463">
          <cell r="A463" t="str">
            <v>May 30, 2023</v>
          </cell>
          <cell r="B463">
            <v>428.89</v>
          </cell>
          <cell r="C463">
            <v>18900002</v>
          </cell>
        </row>
        <row r="464">
          <cell r="A464" t="str">
            <v>May 29, 2023</v>
          </cell>
          <cell r="B464">
            <v>421.69</v>
          </cell>
          <cell r="C464">
            <v>19826254</v>
          </cell>
        </row>
        <row r="465">
          <cell r="A465" t="str">
            <v>May 26, 2023</v>
          </cell>
          <cell r="B465">
            <v>416.53</v>
          </cell>
          <cell r="C465">
            <v>12995706</v>
          </cell>
        </row>
        <row r="466">
          <cell r="A466" t="str">
            <v>May 25, 2023</v>
          </cell>
          <cell r="B466">
            <v>414.23</v>
          </cell>
          <cell r="C466">
            <v>18204464</v>
          </cell>
        </row>
        <row r="467">
          <cell r="A467" t="str">
            <v>May 24, 2023</v>
          </cell>
          <cell r="B467">
            <v>407.05</v>
          </cell>
          <cell r="C467">
            <v>11479706</v>
          </cell>
        </row>
        <row r="468">
          <cell r="A468" t="str">
            <v>May 23, 2023</v>
          </cell>
          <cell r="B468">
            <v>402.96</v>
          </cell>
          <cell r="C468">
            <v>8732608</v>
          </cell>
        </row>
        <row r="469">
          <cell r="A469" t="str">
            <v>May 22, 2023</v>
          </cell>
          <cell r="B469">
            <v>398.83</v>
          </cell>
          <cell r="C469">
            <v>15421680</v>
          </cell>
        </row>
        <row r="470">
          <cell r="A470" t="str">
            <v>May 19, 2023</v>
          </cell>
          <cell r="B470">
            <v>394.23</v>
          </cell>
          <cell r="C470">
            <v>25767521</v>
          </cell>
        </row>
        <row r="471">
          <cell r="A471" t="str">
            <v>May 18, 2023</v>
          </cell>
          <cell r="B471">
            <v>394.09</v>
          </cell>
          <cell r="C471">
            <v>23995166</v>
          </cell>
        </row>
        <row r="472">
          <cell r="A472" t="str">
            <v>May 17, 2023</v>
          </cell>
          <cell r="B472">
            <v>401.51</v>
          </cell>
          <cell r="C472">
            <v>9479691</v>
          </cell>
        </row>
        <row r="473">
          <cell r="A473" t="str">
            <v>May 16, 2023</v>
          </cell>
          <cell r="B473">
            <v>398.08</v>
          </cell>
          <cell r="C473">
            <v>7994197</v>
          </cell>
        </row>
        <row r="474">
          <cell r="A474" t="str">
            <v>May 15, 2023</v>
          </cell>
          <cell r="B474">
            <v>401.69</v>
          </cell>
          <cell r="C474">
            <v>9151102</v>
          </cell>
        </row>
        <row r="475">
          <cell r="A475" t="str">
            <v>May 12, 2023</v>
          </cell>
          <cell r="B475">
            <v>394.79</v>
          </cell>
          <cell r="C475">
            <v>11135894</v>
          </cell>
        </row>
        <row r="476">
          <cell r="A476" t="str">
            <v>May 11, 2023</v>
          </cell>
          <cell r="B476">
            <v>394.74</v>
          </cell>
          <cell r="C476">
            <v>15982423</v>
          </cell>
        </row>
        <row r="477">
          <cell r="A477" t="str">
            <v>May 10, 2023</v>
          </cell>
          <cell r="B477">
            <v>399.39</v>
          </cell>
          <cell r="C477">
            <v>9754485</v>
          </cell>
        </row>
        <row r="478">
          <cell r="A478" t="str">
            <v>May 9, 2023</v>
          </cell>
          <cell r="B478">
            <v>397.94</v>
          </cell>
          <cell r="C478">
            <v>9992962</v>
          </cell>
        </row>
        <row r="479">
          <cell r="A479" t="str">
            <v>May 8, 2023</v>
          </cell>
          <cell r="B479">
            <v>405.12</v>
          </cell>
          <cell r="C479">
            <v>7243636</v>
          </cell>
        </row>
        <row r="480">
          <cell r="A480" t="str">
            <v>May 5, 2023</v>
          </cell>
          <cell r="B480">
            <v>402.59</v>
          </cell>
          <cell r="C480">
            <v>12412416</v>
          </cell>
        </row>
        <row r="481">
          <cell r="A481" t="str">
            <v>May 4, 2023</v>
          </cell>
          <cell r="B481">
            <v>398.69</v>
          </cell>
          <cell r="C481">
            <v>7984933</v>
          </cell>
        </row>
        <row r="482">
          <cell r="A482" t="str">
            <v>May 3, 2023</v>
          </cell>
          <cell r="B482">
            <v>401.08</v>
          </cell>
          <cell r="C482">
            <v>7325483</v>
          </cell>
        </row>
        <row r="483">
          <cell r="A483" t="str">
            <v>May 2, 2023</v>
          </cell>
          <cell r="B483">
            <v>398.55</v>
          </cell>
          <cell r="C483">
            <v>10253527</v>
          </cell>
        </row>
        <row r="484">
          <cell r="A484" t="str">
            <v>Apr 28, 2023</v>
          </cell>
          <cell r="B484">
            <v>399.58</v>
          </cell>
          <cell r="C484">
            <v>12718721</v>
          </cell>
        </row>
        <row r="485">
          <cell r="A485" t="str">
            <v>Apr 27, 2023</v>
          </cell>
          <cell r="B485">
            <v>390.61</v>
          </cell>
          <cell r="C485">
            <v>12614263</v>
          </cell>
        </row>
        <row r="486">
          <cell r="A486" t="str">
            <v>Apr 26, 2023</v>
          </cell>
          <cell r="B486">
            <v>387.09</v>
          </cell>
          <cell r="C486">
            <v>7620723</v>
          </cell>
        </row>
        <row r="487">
          <cell r="A487" t="str">
            <v>Apr 25, 2023</v>
          </cell>
          <cell r="B487">
            <v>386.44</v>
          </cell>
          <cell r="C487">
            <v>8840188</v>
          </cell>
        </row>
        <row r="488">
          <cell r="A488" t="str">
            <v>Apr 24, 2023</v>
          </cell>
          <cell r="B488">
            <v>383.76</v>
          </cell>
          <cell r="C488">
            <v>5981760</v>
          </cell>
        </row>
        <row r="489">
          <cell r="A489" t="str">
            <v>Apr 21, 2023</v>
          </cell>
          <cell r="B489">
            <v>383.34</v>
          </cell>
          <cell r="C489">
            <v>14252204</v>
          </cell>
        </row>
        <row r="490">
          <cell r="A490" t="str">
            <v>Apr 20, 2023</v>
          </cell>
          <cell r="B490">
            <v>375.87</v>
          </cell>
          <cell r="C490">
            <v>6667781</v>
          </cell>
        </row>
        <row r="491">
          <cell r="A491" t="str">
            <v>Apr 19, 2023</v>
          </cell>
          <cell r="B491">
            <v>374.42</v>
          </cell>
          <cell r="C491">
            <v>9744202</v>
          </cell>
        </row>
        <row r="492">
          <cell r="A492" t="str">
            <v>Apr 18, 2023</v>
          </cell>
          <cell r="B492">
            <v>374.18</v>
          </cell>
          <cell r="C492">
            <v>9494641</v>
          </cell>
        </row>
        <row r="493">
          <cell r="A493" t="str">
            <v>Apr 17, 2023</v>
          </cell>
          <cell r="B493">
            <v>375.73</v>
          </cell>
          <cell r="C493">
            <v>11041243</v>
          </cell>
        </row>
        <row r="494">
          <cell r="A494" t="str">
            <v>Apr 13, 2023</v>
          </cell>
          <cell r="B494">
            <v>371.46</v>
          </cell>
          <cell r="C494">
            <v>6059044</v>
          </cell>
        </row>
        <row r="495">
          <cell r="A495" t="str">
            <v>Apr 12, 2023</v>
          </cell>
          <cell r="B495">
            <v>369.53</v>
          </cell>
          <cell r="C495">
            <v>9747526</v>
          </cell>
        </row>
        <row r="496">
          <cell r="A496" t="str">
            <v>Apr 11, 2023</v>
          </cell>
          <cell r="B496">
            <v>371.83</v>
          </cell>
          <cell r="C496">
            <v>18237451</v>
          </cell>
        </row>
        <row r="497">
          <cell r="A497" t="str">
            <v>Apr 10, 2023</v>
          </cell>
          <cell r="B497">
            <v>364.84</v>
          </cell>
          <cell r="C497">
            <v>6783022</v>
          </cell>
        </row>
        <row r="498">
          <cell r="A498" t="str">
            <v>Apr 6, 2023</v>
          </cell>
          <cell r="B498">
            <v>363.71</v>
          </cell>
          <cell r="C498">
            <v>12897667</v>
          </cell>
        </row>
        <row r="499">
          <cell r="A499" t="str">
            <v>Apr 5, 2023</v>
          </cell>
          <cell r="B499">
            <v>362.82</v>
          </cell>
          <cell r="C499">
            <v>11608424</v>
          </cell>
        </row>
        <row r="500">
          <cell r="A500" t="str">
            <v>Apr 3, 2023</v>
          </cell>
          <cell r="B500">
            <v>355.78</v>
          </cell>
          <cell r="C500">
            <v>7059200</v>
          </cell>
        </row>
        <row r="501">
          <cell r="A501" t="str">
            <v>Mar 31, 2023</v>
          </cell>
          <cell r="B501">
            <v>360.1</v>
          </cell>
          <cell r="C501">
            <v>9511189</v>
          </cell>
        </row>
        <row r="502">
          <cell r="A502" t="str">
            <v>Mar 29, 2023</v>
          </cell>
          <cell r="B502">
            <v>359.39</v>
          </cell>
          <cell r="C502">
            <v>10160322</v>
          </cell>
        </row>
        <row r="503">
          <cell r="A503" t="str">
            <v>Mar 28, 2023</v>
          </cell>
          <cell r="B503">
            <v>356.58</v>
          </cell>
          <cell r="C503">
            <v>9170535</v>
          </cell>
        </row>
        <row r="504">
          <cell r="A504" t="str">
            <v>Mar 27, 2023</v>
          </cell>
          <cell r="B504">
            <v>357</v>
          </cell>
          <cell r="C504">
            <v>10816352</v>
          </cell>
        </row>
        <row r="505">
          <cell r="A505" t="str">
            <v>Mar 24, 2023</v>
          </cell>
          <cell r="B505">
            <v>355.59</v>
          </cell>
          <cell r="C505">
            <v>9934501</v>
          </cell>
        </row>
        <row r="506">
          <cell r="A506" t="str">
            <v>Mar 23, 2023</v>
          </cell>
          <cell r="B506">
            <v>357.42</v>
          </cell>
          <cell r="C506">
            <v>9752326</v>
          </cell>
        </row>
        <row r="507">
          <cell r="A507" t="str">
            <v>Mar 22, 2023</v>
          </cell>
          <cell r="B507">
            <v>354.7</v>
          </cell>
          <cell r="C507">
            <v>4774867</v>
          </cell>
        </row>
        <row r="508">
          <cell r="A508" t="str">
            <v>Mar 21, 2023</v>
          </cell>
          <cell r="B508">
            <v>353.95</v>
          </cell>
          <cell r="C508">
            <v>11610832</v>
          </cell>
        </row>
        <row r="509">
          <cell r="A509" t="str">
            <v>Mar 20, 2023</v>
          </cell>
          <cell r="B509">
            <v>355.68</v>
          </cell>
          <cell r="C509">
            <v>10122167</v>
          </cell>
        </row>
        <row r="510">
          <cell r="A510" t="str">
            <v>Mar 17, 2023</v>
          </cell>
          <cell r="B510">
            <v>352.63</v>
          </cell>
          <cell r="C510">
            <v>48904254</v>
          </cell>
        </row>
        <row r="511">
          <cell r="A511" t="str">
            <v>Mar 16, 2023</v>
          </cell>
          <cell r="B511">
            <v>358.17</v>
          </cell>
          <cell r="C511">
            <v>15710094</v>
          </cell>
        </row>
        <row r="512">
          <cell r="A512" t="str">
            <v>Mar 15, 2023</v>
          </cell>
          <cell r="B512">
            <v>356.25</v>
          </cell>
          <cell r="C512">
            <v>8423692</v>
          </cell>
        </row>
        <row r="513">
          <cell r="A513" t="str">
            <v>Mar 14, 2023</v>
          </cell>
          <cell r="B513">
            <v>356.53</v>
          </cell>
          <cell r="C513">
            <v>10229766</v>
          </cell>
        </row>
        <row r="514">
          <cell r="A514" t="str">
            <v>Mar 13, 2023</v>
          </cell>
          <cell r="B514">
            <v>360.24</v>
          </cell>
          <cell r="C514">
            <v>8791872</v>
          </cell>
        </row>
        <row r="515">
          <cell r="A515" t="str">
            <v>Mar 10, 2023</v>
          </cell>
          <cell r="B515">
            <v>364.32</v>
          </cell>
          <cell r="C515">
            <v>8362265</v>
          </cell>
        </row>
        <row r="516">
          <cell r="A516" t="str">
            <v>Mar 9, 2023</v>
          </cell>
          <cell r="B516">
            <v>363.85</v>
          </cell>
          <cell r="C516">
            <v>9634283</v>
          </cell>
        </row>
        <row r="517">
          <cell r="A517" t="str">
            <v>Mar 8, 2023</v>
          </cell>
          <cell r="B517">
            <v>368.45</v>
          </cell>
          <cell r="C517">
            <v>8917699</v>
          </cell>
        </row>
        <row r="518">
          <cell r="A518" t="str">
            <v>Mar 6, 2023</v>
          </cell>
          <cell r="B518">
            <v>364.46</v>
          </cell>
          <cell r="C518">
            <v>10714339</v>
          </cell>
        </row>
        <row r="519">
          <cell r="A519" t="str">
            <v>Mar 3, 2023</v>
          </cell>
          <cell r="B519">
            <v>361.46</v>
          </cell>
          <cell r="C519">
            <v>8180709</v>
          </cell>
        </row>
        <row r="520">
          <cell r="A520" t="str">
            <v>Mar 2, 2023</v>
          </cell>
          <cell r="B520">
            <v>352.63</v>
          </cell>
          <cell r="C520">
            <v>5019603</v>
          </cell>
        </row>
        <row r="521">
          <cell r="A521" t="str">
            <v>Mar 1, 2023</v>
          </cell>
          <cell r="B521">
            <v>355.59</v>
          </cell>
          <cell r="C521">
            <v>7766667</v>
          </cell>
        </row>
        <row r="522">
          <cell r="A522" t="str">
            <v>Feb 28, 2023</v>
          </cell>
          <cell r="B522">
            <v>353.71</v>
          </cell>
          <cell r="C522">
            <v>16367477</v>
          </cell>
        </row>
        <row r="523">
          <cell r="A523" t="str">
            <v>Feb 27, 2023</v>
          </cell>
          <cell r="B523">
            <v>358.88</v>
          </cell>
          <cell r="C523">
            <v>8142319</v>
          </cell>
        </row>
        <row r="524">
          <cell r="A524" t="str">
            <v>Feb 24, 2023</v>
          </cell>
          <cell r="B524">
            <v>361.6</v>
          </cell>
          <cell r="C524">
            <v>12910220</v>
          </cell>
        </row>
        <row r="525">
          <cell r="A525" t="str">
            <v>Feb 23, 2023</v>
          </cell>
          <cell r="B525">
            <v>363.95</v>
          </cell>
          <cell r="C525">
            <v>18830592</v>
          </cell>
        </row>
        <row r="526">
          <cell r="A526" t="str">
            <v>Feb 22, 2023</v>
          </cell>
          <cell r="B526">
            <v>360.43</v>
          </cell>
          <cell r="C526">
            <v>8961077</v>
          </cell>
        </row>
        <row r="527">
          <cell r="A527" t="str">
            <v>Feb 21, 2023</v>
          </cell>
          <cell r="B527">
            <v>358.92</v>
          </cell>
          <cell r="C527">
            <v>8259574</v>
          </cell>
        </row>
        <row r="528">
          <cell r="A528" t="str">
            <v>Feb 20, 2023</v>
          </cell>
          <cell r="B528">
            <v>360.61</v>
          </cell>
          <cell r="C528">
            <v>7804976</v>
          </cell>
        </row>
        <row r="529">
          <cell r="A529" t="str">
            <v>Feb 17, 2023</v>
          </cell>
          <cell r="B529">
            <v>360</v>
          </cell>
          <cell r="C529">
            <v>7672135</v>
          </cell>
        </row>
        <row r="530">
          <cell r="A530" t="str">
            <v>Feb 16, 2023</v>
          </cell>
          <cell r="B530">
            <v>359.2</v>
          </cell>
          <cell r="C530">
            <v>9775280</v>
          </cell>
        </row>
        <row r="531">
          <cell r="A531" t="str">
            <v>Feb 15, 2023</v>
          </cell>
          <cell r="B531">
            <v>358.88</v>
          </cell>
          <cell r="C531">
            <v>12209350</v>
          </cell>
        </row>
        <row r="532">
          <cell r="A532" t="str">
            <v>Feb 14, 2023</v>
          </cell>
          <cell r="B532">
            <v>357.23</v>
          </cell>
          <cell r="C532">
            <v>29125052</v>
          </cell>
        </row>
        <row r="533">
          <cell r="A533" t="str">
            <v>Feb 13, 2023</v>
          </cell>
          <cell r="B533">
            <v>345.91</v>
          </cell>
          <cell r="C533">
            <v>9901148</v>
          </cell>
        </row>
        <row r="534">
          <cell r="A534" t="str">
            <v>Feb 10, 2023</v>
          </cell>
          <cell r="B534">
            <v>343.27</v>
          </cell>
          <cell r="C534">
            <v>10278597</v>
          </cell>
        </row>
        <row r="535">
          <cell r="A535" t="str">
            <v>Feb 9, 2023</v>
          </cell>
          <cell r="B535">
            <v>345.96</v>
          </cell>
          <cell r="C535">
            <v>11861196</v>
          </cell>
        </row>
        <row r="536">
          <cell r="A536" t="str">
            <v>Feb 8, 2023</v>
          </cell>
          <cell r="B536">
            <v>347.16</v>
          </cell>
          <cell r="C536">
            <v>10420462</v>
          </cell>
        </row>
        <row r="537">
          <cell r="A537" t="str">
            <v>Feb 7, 2023</v>
          </cell>
          <cell r="B537">
            <v>345.03</v>
          </cell>
          <cell r="C537">
            <v>20643707</v>
          </cell>
        </row>
        <row r="538">
          <cell r="A538" t="str">
            <v>Feb 6, 2023</v>
          </cell>
          <cell r="B538">
            <v>354.41</v>
          </cell>
          <cell r="C538">
            <v>25790153</v>
          </cell>
        </row>
        <row r="539">
          <cell r="A539" t="str">
            <v>Feb 3, 2023</v>
          </cell>
          <cell r="B539">
            <v>351.87</v>
          </cell>
          <cell r="C539">
            <v>22295321</v>
          </cell>
        </row>
        <row r="540">
          <cell r="A540" t="str">
            <v>Feb 2, 2023</v>
          </cell>
          <cell r="B540">
            <v>349.98</v>
          </cell>
          <cell r="C540">
            <v>55745171</v>
          </cell>
        </row>
        <row r="541">
          <cell r="A541" t="str">
            <v>Feb 1, 2023</v>
          </cell>
          <cell r="B541">
            <v>334.08</v>
          </cell>
          <cell r="C541">
            <v>64518967</v>
          </cell>
        </row>
        <row r="542">
          <cell r="A542" t="str">
            <v>Jan 31, 2023</v>
          </cell>
          <cell r="B542">
            <v>325.70999999999998</v>
          </cell>
          <cell r="C542">
            <v>17134291</v>
          </cell>
        </row>
        <row r="543">
          <cell r="A543" t="str">
            <v>Jan 30, 2023</v>
          </cell>
          <cell r="B543">
            <v>318.73</v>
          </cell>
          <cell r="C543">
            <v>14091519</v>
          </cell>
        </row>
        <row r="544">
          <cell r="A544" t="str">
            <v>Jan 27, 2023</v>
          </cell>
          <cell r="B544">
            <v>319.83999999999997</v>
          </cell>
          <cell r="C544">
            <v>21040139</v>
          </cell>
        </row>
        <row r="545">
          <cell r="A545" t="str">
            <v>Jan 25, 2023</v>
          </cell>
          <cell r="B545">
            <v>313.60000000000002</v>
          </cell>
          <cell r="C545">
            <v>12497542</v>
          </cell>
        </row>
        <row r="546">
          <cell r="A546" t="str">
            <v>Jan 24, 2023</v>
          </cell>
          <cell r="B546">
            <v>313.32</v>
          </cell>
          <cell r="C546">
            <v>12302874</v>
          </cell>
        </row>
        <row r="547">
          <cell r="A547" t="str">
            <v>Jan 23, 2023</v>
          </cell>
          <cell r="B547">
            <v>312.20999999999998</v>
          </cell>
          <cell r="C547">
            <v>7124807</v>
          </cell>
        </row>
        <row r="548">
          <cell r="A548" t="str">
            <v>Jan 20, 2023</v>
          </cell>
          <cell r="B548">
            <v>309.3</v>
          </cell>
          <cell r="C548">
            <v>13103664</v>
          </cell>
        </row>
        <row r="549">
          <cell r="A549" t="str">
            <v>Jan 19, 2023</v>
          </cell>
          <cell r="B549">
            <v>307.04000000000002</v>
          </cell>
          <cell r="C549">
            <v>8346130</v>
          </cell>
        </row>
        <row r="550">
          <cell r="A550" t="str">
            <v>Jan 18, 2023</v>
          </cell>
          <cell r="B550">
            <v>309.35000000000002</v>
          </cell>
          <cell r="C550">
            <v>12555527</v>
          </cell>
        </row>
        <row r="551">
          <cell r="A551" t="str">
            <v>Jan 17, 2023</v>
          </cell>
          <cell r="B551">
            <v>307.13</v>
          </cell>
          <cell r="C551">
            <v>13712537</v>
          </cell>
        </row>
        <row r="552">
          <cell r="A552" t="str">
            <v>Jan 16, 2023</v>
          </cell>
          <cell r="B552">
            <v>305.24</v>
          </cell>
          <cell r="C552">
            <v>8253942</v>
          </cell>
        </row>
        <row r="553">
          <cell r="A553" t="str">
            <v>Jan 13, 2023</v>
          </cell>
          <cell r="B553">
            <v>303.89999999999998</v>
          </cell>
          <cell r="C553">
            <v>14412671</v>
          </cell>
        </row>
        <row r="554">
          <cell r="A554" t="str">
            <v>Jan 12, 2023</v>
          </cell>
          <cell r="B554">
            <v>304.91000000000003</v>
          </cell>
          <cell r="C554">
            <v>6638422</v>
          </cell>
        </row>
        <row r="555">
          <cell r="A555" t="str">
            <v>Jan 11, 2023</v>
          </cell>
          <cell r="B555">
            <v>306.70999999999998</v>
          </cell>
          <cell r="C555">
            <v>4584293</v>
          </cell>
        </row>
        <row r="556">
          <cell r="A556" t="str">
            <v>Jan 10, 2023</v>
          </cell>
          <cell r="B556">
            <v>308.19</v>
          </cell>
          <cell r="C556">
            <v>6949605</v>
          </cell>
        </row>
        <row r="557">
          <cell r="A557" t="str">
            <v>Jan 9, 2023</v>
          </cell>
          <cell r="B557">
            <v>312.49</v>
          </cell>
          <cell r="C557">
            <v>10618786</v>
          </cell>
        </row>
        <row r="558">
          <cell r="A558" t="str">
            <v>Jan 6, 2023</v>
          </cell>
          <cell r="B558">
            <v>309.72000000000003</v>
          </cell>
          <cell r="C558">
            <v>8284135</v>
          </cell>
        </row>
        <row r="559">
          <cell r="A559" t="str">
            <v>Jan 5, 2023</v>
          </cell>
          <cell r="B559">
            <v>308.24</v>
          </cell>
          <cell r="C559">
            <v>8171437</v>
          </cell>
        </row>
        <row r="560">
          <cell r="A560" t="str">
            <v>Jan 4, 2023</v>
          </cell>
          <cell r="B560">
            <v>302.27999999999997</v>
          </cell>
          <cell r="C560">
            <v>6689769</v>
          </cell>
        </row>
        <row r="561">
          <cell r="A561" t="str">
            <v>Jan 3, 2023</v>
          </cell>
          <cell r="B561">
            <v>306.07</v>
          </cell>
          <cell r="C561">
            <v>5997051</v>
          </cell>
        </row>
        <row r="562">
          <cell r="A562" t="str">
            <v>Jan 2, 2023</v>
          </cell>
          <cell r="B562">
            <v>307.69</v>
          </cell>
          <cell r="C562">
            <v>5951893</v>
          </cell>
        </row>
        <row r="563">
          <cell r="A563" t="str">
            <v>Dec 30, 2022</v>
          </cell>
          <cell r="B563">
            <v>306.48</v>
          </cell>
          <cell r="C563">
            <v>6960264</v>
          </cell>
        </row>
        <row r="564">
          <cell r="A564" t="str">
            <v>Dec 29, 2022</v>
          </cell>
          <cell r="B564">
            <v>310</v>
          </cell>
          <cell r="C564">
            <v>8105359</v>
          </cell>
        </row>
        <row r="565">
          <cell r="A565" t="str">
            <v>Dec 28, 2022</v>
          </cell>
          <cell r="B565">
            <v>309.12</v>
          </cell>
          <cell r="C565">
            <v>7737562</v>
          </cell>
        </row>
        <row r="566">
          <cell r="A566" t="str">
            <v>Dec 27, 2022</v>
          </cell>
          <cell r="B566">
            <v>307.95999999999998</v>
          </cell>
          <cell r="C566">
            <v>6727343</v>
          </cell>
        </row>
        <row r="567">
          <cell r="A567" t="str">
            <v>Dec 26, 2022</v>
          </cell>
          <cell r="B567">
            <v>309.3</v>
          </cell>
          <cell r="C567">
            <v>9566210</v>
          </cell>
        </row>
        <row r="568">
          <cell r="A568" t="str">
            <v>Dec 23, 2022</v>
          </cell>
          <cell r="B568">
            <v>302</v>
          </cell>
          <cell r="C568">
            <v>10073884</v>
          </cell>
        </row>
        <row r="569">
          <cell r="A569" t="str">
            <v>Dec 22, 2022</v>
          </cell>
          <cell r="B569">
            <v>307.32</v>
          </cell>
          <cell r="C569">
            <v>6584445</v>
          </cell>
        </row>
        <row r="570">
          <cell r="A570" t="str">
            <v>Dec 21, 2022</v>
          </cell>
          <cell r="B570">
            <v>309.81</v>
          </cell>
          <cell r="C570">
            <v>7045201</v>
          </cell>
        </row>
        <row r="571">
          <cell r="A571" t="str">
            <v>Dec 20, 2022</v>
          </cell>
          <cell r="B571">
            <v>314.43</v>
          </cell>
          <cell r="C571">
            <v>5482218</v>
          </cell>
        </row>
        <row r="572">
          <cell r="A572" t="str">
            <v>Dec 19, 2022</v>
          </cell>
          <cell r="B572">
            <v>314.76</v>
          </cell>
          <cell r="C572">
            <v>7812801</v>
          </cell>
        </row>
        <row r="573">
          <cell r="A573" t="str">
            <v>Dec 16, 2022</v>
          </cell>
          <cell r="B573">
            <v>309.77</v>
          </cell>
          <cell r="C573">
            <v>12429280</v>
          </cell>
        </row>
        <row r="574">
          <cell r="A574" t="str">
            <v>Dec 15, 2022</v>
          </cell>
          <cell r="B574">
            <v>313.23</v>
          </cell>
          <cell r="C574">
            <v>8154931</v>
          </cell>
        </row>
        <row r="575">
          <cell r="A575" t="str">
            <v>Dec 14, 2022</v>
          </cell>
          <cell r="B575">
            <v>319.29000000000002</v>
          </cell>
          <cell r="C575">
            <v>7379878</v>
          </cell>
        </row>
        <row r="576">
          <cell r="A576" t="str">
            <v>Dec 13, 2022</v>
          </cell>
          <cell r="B576">
            <v>319.47000000000003</v>
          </cell>
          <cell r="C576">
            <v>10693426</v>
          </cell>
        </row>
        <row r="577">
          <cell r="A577" t="str">
            <v>Dec 12, 2022</v>
          </cell>
          <cell r="B577">
            <v>317.25</v>
          </cell>
          <cell r="C577">
            <v>11214662</v>
          </cell>
        </row>
        <row r="578">
          <cell r="A578" t="str">
            <v>Dec 9, 2022</v>
          </cell>
          <cell r="B578">
            <v>315.58999999999997</v>
          </cell>
          <cell r="C578">
            <v>8132228</v>
          </cell>
        </row>
        <row r="579">
          <cell r="A579" t="str">
            <v>Dec 8, 2022</v>
          </cell>
          <cell r="B579">
            <v>312.82</v>
          </cell>
          <cell r="C579">
            <v>6200447</v>
          </cell>
        </row>
        <row r="580">
          <cell r="A580" t="str">
            <v>Dec 7, 2022</v>
          </cell>
          <cell r="B580">
            <v>314.39</v>
          </cell>
          <cell r="C580">
            <v>9813208</v>
          </cell>
        </row>
        <row r="581">
          <cell r="A581" t="str">
            <v>Dec 6, 2022</v>
          </cell>
          <cell r="B581">
            <v>311.8</v>
          </cell>
          <cell r="C581">
            <v>6327430</v>
          </cell>
        </row>
        <row r="582">
          <cell r="A582" t="str">
            <v>Dec 5, 2022</v>
          </cell>
          <cell r="B582">
            <v>311.29000000000002</v>
          </cell>
          <cell r="C582">
            <v>9716390</v>
          </cell>
        </row>
        <row r="583">
          <cell r="A583" t="str">
            <v>Dec 2, 2022</v>
          </cell>
          <cell r="B583">
            <v>311.66000000000003</v>
          </cell>
          <cell r="C583">
            <v>8388835</v>
          </cell>
        </row>
        <row r="584">
          <cell r="A584" t="str">
            <v>Dec 1, 2022</v>
          </cell>
          <cell r="B584">
            <v>313.88</v>
          </cell>
          <cell r="C584">
            <v>16630417</v>
          </cell>
        </row>
        <row r="585">
          <cell r="A585" t="str">
            <v>Nov 30, 2022</v>
          </cell>
          <cell r="B585">
            <v>314.29000000000002</v>
          </cell>
          <cell r="C585">
            <v>22556502</v>
          </cell>
        </row>
        <row r="586">
          <cell r="A586" t="str">
            <v>Nov 29, 2022</v>
          </cell>
          <cell r="B586">
            <v>316.42</v>
          </cell>
          <cell r="C586">
            <v>10189855</v>
          </cell>
        </row>
        <row r="587">
          <cell r="A587" t="str">
            <v>Nov 28, 2022</v>
          </cell>
          <cell r="B587">
            <v>314.33999999999997</v>
          </cell>
          <cell r="C587">
            <v>9902739</v>
          </cell>
        </row>
        <row r="588">
          <cell r="A588" t="str">
            <v>Nov 25, 2022</v>
          </cell>
          <cell r="B588">
            <v>314.57</v>
          </cell>
          <cell r="C588">
            <v>6933254</v>
          </cell>
        </row>
        <row r="589">
          <cell r="A589" t="str">
            <v>Nov 24, 2022</v>
          </cell>
          <cell r="B589">
            <v>314.99</v>
          </cell>
          <cell r="C589">
            <v>8140857</v>
          </cell>
        </row>
        <row r="590">
          <cell r="A590" t="str">
            <v>Nov 23, 2022</v>
          </cell>
          <cell r="B590">
            <v>314.11</v>
          </cell>
          <cell r="C590">
            <v>7768291</v>
          </cell>
        </row>
        <row r="591">
          <cell r="A591" t="str">
            <v>Nov 22, 2022</v>
          </cell>
          <cell r="B591">
            <v>314.52999999999997</v>
          </cell>
          <cell r="C591">
            <v>6495845</v>
          </cell>
        </row>
        <row r="592">
          <cell r="A592" t="str">
            <v>Nov 21, 2022</v>
          </cell>
          <cell r="B592">
            <v>311.70999999999998</v>
          </cell>
          <cell r="C592">
            <v>9198816</v>
          </cell>
        </row>
        <row r="593">
          <cell r="A593" t="str">
            <v>Nov 18, 2022</v>
          </cell>
          <cell r="B593">
            <v>315.27</v>
          </cell>
          <cell r="C593">
            <v>7838297</v>
          </cell>
        </row>
        <row r="594">
          <cell r="A594" t="str">
            <v>Nov 17, 2022</v>
          </cell>
          <cell r="B594">
            <v>317.72000000000003</v>
          </cell>
          <cell r="C594">
            <v>9994270</v>
          </cell>
        </row>
        <row r="595">
          <cell r="A595" t="str">
            <v>Nov 16, 2022</v>
          </cell>
          <cell r="B595">
            <v>318.08</v>
          </cell>
          <cell r="C595">
            <v>7604924</v>
          </cell>
        </row>
        <row r="596">
          <cell r="A596" t="str">
            <v>Nov 15, 2022</v>
          </cell>
          <cell r="B596">
            <v>319.14999999999998</v>
          </cell>
          <cell r="C596">
            <v>15451411</v>
          </cell>
        </row>
        <row r="597">
          <cell r="A597" t="str">
            <v>Nov 14, 2022</v>
          </cell>
          <cell r="B597">
            <v>320.95</v>
          </cell>
          <cell r="C597">
            <v>17639889</v>
          </cell>
        </row>
        <row r="598">
          <cell r="A598" t="str">
            <v>Nov 11, 2022</v>
          </cell>
          <cell r="B598">
            <v>329.41</v>
          </cell>
          <cell r="C598">
            <v>10950902</v>
          </cell>
        </row>
        <row r="599">
          <cell r="A599" t="str">
            <v>Nov 10, 2022</v>
          </cell>
          <cell r="B599">
            <v>329.09</v>
          </cell>
          <cell r="C599">
            <v>19327625</v>
          </cell>
        </row>
        <row r="600">
          <cell r="A600" t="str">
            <v>Nov 9, 2022</v>
          </cell>
          <cell r="B600">
            <v>333.43</v>
          </cell>
          <cell r="C600">
            <v>20611075</v>
          </cell>
        </row>
        <row r="601">
          <cell r="A601" t="str">
            <v>Nov 7, 2022</v>
          </cell>
          <cell r="B601">
            <v>326.77</v>
          </cell>
          <cell r="C601">
            <v>10050303</v>
          </cell>
        </row>
        <row r="602">
          <cell r="A602" t="str">
            <v>Nov 4, 2022</v>
          </cell>
          <cell r="B602">
            <v>326.87</v>
          </cell>
          <cell r="C602">
            <v>8386849</v>
          </cell>
        </row>
        <row r="603">
          <cell r="A603" t="str">
            <v>Nov 3, 2022</v>
          </cell>
          <cell r="B603">
            <v>326.95999999999998</v>
          </cell>
          <cell r="C603">
            <v>10736155</v>
          </cell>
        </row>
        <row r="604">
          <cell r="A604" t="str">
            <v>Nov 2, 2022</v>
          </cell>
          <cell r="B604">
            <v>327.84</v>
          </cell>
          <cell r="C604">
            <v>16781507</v>
          </cell>
        </row>
        <row r="605">
          <cell r="A605" t="str">
            <v>Nov 1, 2022</v>
          </cell>
          <cell r="B605">
            <v>323.08</v>
          </cell>
          <cell r="C605">
            <v>19665200</v>
          </cell>
        </row>
        <row r="606">
          <cell r="A606" t="str">
            <v>Oct 31, 2022</v>
          </cell>
          <cell r="B606">
            <v>322.33999999999997</v>
          </cell>
          <cell r="C606">
            <v>13825970</v>
          </cell>
        </row>
        <row r="607">
          <cell r="A607" t="str">
            <v>Oct 28, 2022</v>
          </cell>
          <cell r="B607">
            <v>319.66000000000003</v>
          </cell>
          <cell r="C607">
            <v>13069167</v>
          </cell>
        </row>
        <row r="608">
          <cell r="A608" t="str">
            <v>Oct 27, 2022</v>
          </cell>
          <cell r="B608">
            <v>319.66000000000003</v>
          </cell>
          <cell r="C608">
            <v>18558597</v>
          </cell>
        </row>
        <row r="609">
          <cell r="A609" t="str">
            <v>Oct 25, 2022</v>
          </cell>
          <cell r="B609">
            <v>320.12</v>
          </cell>
          <cell r="C609">
            <v>17242211</v>
          </cell>
        </row>
        <row r="610">
          <cell r="A610" t="str">
            <v>Oct 24, 2022</v>
          </cell>
          <cell r="B610">
            <v>321.41000000000003</v>
          </cell>
          <cell r="C610">
            <v>3170564</v>
          </cell>
        </row>
        <row r="611">
          <cell r="A611" t="str">
            <v>Oct 21, 2022</v>
          </cell>
          <cell r="B611">
            <v>319.47000000000003</v>
          </cell>
          <cell r="C611">
            <v>27372160</v>
          </cell>
        </row>
        <row r="612">
          <cell r="A612" t="str">
            <v>Oct 20, 2022</v>
          </cell>
          <cell r="B612">
            <v>323.26</v>
          </cell>
          <cell r="C612">
            <v>18474706</v>
          </cell>
        </row>
        <row r="613">
          <cell r="A613" t="str">
            <v>Oct 19, 2022</v>
          </cell>
          <cell r="B613">
            <v>320.16000000000003</v>
          </cell>
          <cell r="C613">
            <v>16296080</v>
          </cell>
        </row>
        <row r="614">
          <cell r="A614" t="str">
            <v>Oct 18, 2022</v>
          </cell>
          <cell r="B614">
            <v>314.57</v>
          </cell>
          <cell r="C614">
            <v>20887417</v>
          </cell>
        </row>
        <row r="615">
          <cell r="A615" t="str">
            <v>Oct 17, 2022</v>
          </cell>
          <cell r="B615">
            <v>307.13</v>
          </cell>
          <cell r="C615">
            <v>6929063</v>
          </cell>
        </row>
        <row r="616">
          <cell r="A616" t="str">
            <v>Oct 14, 2022</v>
          </cell>
          <cell r="B616">
            <v>306.99</v>
          </cell>
          <cell r="C616">
            <v>6424915</v>
          </cell>
        </row>
        <row r="617">
          <cell r="A617" t="str">
            <v>Oct 13, 2022</v>
          </cell>
          <cell r="B617">
            <v>303.8</v>
          </cell>
          <cell r="C617">
            <v>7266724</v>
          </cell>
        </row>
        <row r="618">
          <cell r="A618" t="str">
            <v>Oct 12, 2022</v>
          </cell>
          <cell r="B618">
            <v>305.14</v>
          </cell>
          <cell r="C618">
            <v>10337544</v>
          </cell>
        </row>
        <row r="619">
          <cell r="A619" t="str">
            <v>Oct 11, 2022</v>
          </cell>
          <cell r="B619">
            <v>301.63</v>
          </cell>
          <cell r="C619">
            <v>10609956</v>
          </cell>
        </row>
        <row r="620">
          <cell r="A620" t="str">
            <v>Oct 10, 2022</v>
          </cell>
          <cell r="B620">
            <v>303.06</v>
          </cell>
          <cell r="C620">
            <v>9388996</v>
          </cell>
        </row>
        <row r="621">
          <cell r="A621" t="str">
            <v>Oct 7, 2022</v>
          </cell>
          <cell r="B621">
            <v>308.83999999999997</v>
          </cell>
          <cell r="C621">
            <v>10506078</v>
          </cell>
        </row>
        <row r="622">
          <cell r="A622" t="str">
            <v>Oct 6, 2022</v>
          </cell>
          <cell r="B622">
            <v>311.2</v>
          </cell>
          <cell r="C622">
            <v>22235092</v>
          </cell>
        </row>
        <row r="623">
          <cell r="A623" t="str">
            <v>Oct 4, 2022</v>
          </cell>
          <cell r="B623">
            <v>307.69</v>
          </cell>
          <cell r="C623">
            <v>8803255</v>
          </cell>
        </row>
        <row r="624">
          <cell r="A624" t="str">
            <v>Oct 3, 2022</v>
          </cell>
          <cell r="B624">
            <v>299.87</v>
          </cell>
          <cell r="C624">
            <v>9111289</v>
          </cell>
        </row>
        <row r="625">
          <cell r="A625" t="str">
            <v>Sep 30, 2022</v>
          </cell>
          <cell r="B625">
            <v>307.08</v>
          </cell>
          <cell r="C625">
            <v>12427919</v>
          </cell>
        </row>
        <row r="626">
          <cell r="A626" t="str">
            <v>Sep 29, 2022</v>
          </cell>
          <cell r="B626">
            <v>307.87</v>
          </cell>
          <cell r="C626">
            <v>18281337</v>
          </cell>
        </row>
        <row r="627">
          <cell r="A627" t="str">
            <v>Sep 28, 2022</v>
          </cell>
          <cell r="B627">
            <v>300.38</v>
          </cell>
          <cell r="C627">
            <v>15552911</v>
          </cell>
        </row>
        <row r="628">
          <cell r="A628" t="str">
            <v>Sep 27, 2022</v>
          </cell>
          <cell r="B628">
            <v>309.52999999999997</v>
          </cell>
          <cell r="C628">
            <v>9991052</v>
          </cell>
        </row>
        <row r="629">
          <cell r="A629" t="str">
            <v>Sep 26, 2022</v>
          </cell>
          <cell r="B629">
            <v>307.45</v>
          </cell>
          <cell r="C629">
            <v>16205789</v>
          </cell>
        </row>
        <row r="630">
          <cell r="A630" t="str">
            <v>Sep 23, 2022</v>
          </cell>
          <cell r="B630">
            <v>320.20999999999998</v>
          </cell>
          <cell r="C630">
            <v>22838807</v>
          </cell>
        </row>
        <row r="631">
          <cell r="A631" t="str">
            <v>Sep 22, 2022</v>
          </cell>
          <cell r="B631">
            <v>318.95999999999998</v>
          </cell>
          <cell r="C631">
            <v>24179987</v>
          </cell>
        </row>
        <row r="632">
          <cell r="A632" t="str">
            <v>Sep 21, 2022</v>
          </cell>
          <cell r="B632">
            <v>315.17</v>
          </cell>
          <cell r="C632">
            <v>20992080</v>
          </cell>
        </row>
        <row r="633">
          <cell r="A633" t="str">
            <v>Sep 20, 2022</v>
          </cell>
          <cell r="B633">
            <v>310.60000000000002</v>
          </cell>
          <cell r="C633">
            <v>9526068</v>
          </cell>
        </row>
        <row r="634">
          <cell r="A634" t="str">
            <v>Sep 19, 2022</v>
          </cell>
          <cell r="B634">
            <v>310.23</v>
          </cell>
          <cell r="C634">
            <v>14365461</v>
          </cell>
        </row>
        <row r="635">
          <cell r="A635" t="str">
            <v>Sep 16, 2022</v>
          </cell>
          <cell r="B635">
            <v>306.25</v>
          </cell>
          <cell r="C635">
            <v>12492851</v>
          </cell>
        </row>
        <row r="636">
          <cell r="A636" t="str">
            <v>Sep 15, 2022</v>
          </cell>
          <cell r="B636">
            <v>308.83999999999997</v>
          </cell>
          <cell r="C636">
            <v>8418672</v>
          </cell>
        </row>
        <row r="637">
          <cell r="A637" t="str">
            <v>Sep 14, 2022</v>
          </cell>
          <cell r="B637">
            <v>310</v>
          </cell>
          <cell r="C637">
            <v>12267025</v>
          </cell>
        </row>
        <row r="638">
          <cell r="A638" t="str">
            <v>Sep 13, 2022</v>
          </cell>
          <cell r="B638">
            <v>309.12</v>
          </cell>
          <cell r="C638">
            <v>10520207</v>
          </cell>
        </row>
        <row r="639">
          <cell r="A639" t="str">
            <v>Sep 12, 2022</v>
          </cell>
          <cell r="B639">
            <v>305.88</v>
          </cell>
          <cell r="C639">
            <v>8712689</v>
          </cell>
        </row>
        <row r="640">
          <cell r="A640" t="str">
            <v>Sep 9, 2022</v>
          </cell>
          <cell r="B640">
            <v>305.51</v>
          </cell>
          <cell r="C640">
            <v>9408098</v>
          </cell>
        </row>
        <row r="641">
          <cell r="A641" t="str">
            <v>Sep 8, 2022</v>
          </cell>
          <cell r="B641">
            <v>304.95999999999998</v>
          </cell>
          <cell r="C641">
            <v>10911130</v>
          </cell>
        </row>
        <row r="642">
          <cell r="A642" t="str">
            <v>Sep 7, 2022</v>
          </cell>
          <cell r="B642">
            <v>301.45</v>
          </cell>
          <cell r="C642">
            <v>8085824</v>
          </cell>
        </row>
        <row r="643">
          <cell r="A643" t="str">
            <v>Sep 6, 2022</v>
          </cell>
          <cell r="B643">
            <v>302.42</v>
          </cell>
          <cell r="C643">
            <v>11970750</v>
          </cell>
        </row>
        <row r="644">
          <cell r="A644" t="str">
            <v>Sep 5, 2022</v>
          </cell>
          <cell r="B644">
            <v>303.99</v>
          </cell>
          <cell r="C644">
            <v>17471906</v>
          </cell>
        </row>
        <row r="645">
          <cell r="A645" t="str">
            <v>Sep 2, 2022</v>
          </cell>
          <cell r="B645">
            <v>298.72000000000003</v>
          </cell>
          <cell r="C645">
            <v>25758860</v>
          </cell>
        </row>
        <row r="646">
          <cell r="A646" t="str">
            <v>Sep 1, 2022</v>
          </cell>
          <cell r="B646">
            <v>293.58999999999997</v>
          </cell>
          <cell r="C646">
            <v>13254985</v>
          </cell>
        </row>
        <row r="647">
          <cell r="A647" t="str">
            <v>Aug 30, 2022</v>
          </cell>
          <cell r="B647">
            <v>296.27</v>
          </cell>
          <cell r="C647">
            <v>17829428</v>
          </cell>
        </row>
        <row r="648">
          <cell r="A648" t="str">
            <v>Aug 29, 2022</v>
          </cell>
          <cell r="B648">
            <v>289.83999999999997</v>
          </cell>
          <cell r="C648">
            <v>11361400</v>
          </cell>
        </row>
        <row r="649">
          <cell r="A649" t="str">
            <v>Aug 26, 2022</v>
          </cell>
          <cell r="B649">
            <v>289.24</v>
          </cell>
          <cell r="C649">
            <v>6956588</v>
          </cell>
        </row>
        <row r="650">
          <cell r="A650" t="str">
            <v>Aug 25, 2022</v>
          </cell>
          <cell r="B650">
            <v>288.74</v>
          </cell>
          <cell r="C650">
            <v>7759104</v>
          </cell>
        </row>
        <row r="651">
          <cell r="A651" t="str">
            <v>Aug 24, 2022</v>
          </cell>
          <cell r="B651">
            <v>290.35000000000002</v>
          </cell>
          <cell r="C651">
            <v>11346892</v>
          </cell>
        </row>
        <row r="652">
          <cell r="A652" t="str">
            <v>Aug 23, 2022</v>
          </cell>
          <cell r="B652">
            <v>292.02</v>
          </cell>
          <cell r="C652">
            <v>9338887</v>
          </cell>
        </row>
        <row r="653">
          <cell r="A653" t="str">
            <v>Aug 22, 2022</v>
          </cell>
          <cell r="B653">
            <v>290.63</v>
          </cell>
          <cell r="C653">
            <v>11355837</v>
          </cell>
        </row>
        <row r="654">
          <cell r="A654" t="str">
            <v>Aug 19, 2022</v>
          </cell>
          <cell r="B654">
            <v>288.41000000000003</v>
          </cell>
          <cell r="C654">
            <v>10422413</v>
          </cell>
        </row>
        <row r="655">
          <cell r="A655" t="str">
            <v>Aug 18, 2022</v>
          </cell>
          <cell r="B655">
            <v>291.79000000000002</v>
          </cell>
          <cell r="C655">
            <v>9883851</v>
          </cell>
        </row>
        <row r="656">
          <cell r="A656" t="str">
            <v>Aug 17, 2022</v>
          </cell>
          <cell r="B656">
            <v>288.92</v>
          </cell>
          <cell r="C656">
            <v>7975854</v>
          </cell>
        </row>
        <row r="657">
          <cell r="A657" t="str">
            <v>Aug 16, 2022</v>
          </cell>
          <cell r="B657">
            <v>287.07</v>
          </cell>
          <cell r="C657">
            <v>8609864</v>
          </cell>
        </row>
        <row r="658">
          <cell r="A658" t="str">
            <v>Aug 12, 2022</v>
          </cell>
          <cell r="B658">
            <v>285.22000000000003</v>
          </cell>
          <cell r="C658">
            <v>6422504</v>
          </cell>
        </row>
        <row r="659">
          <cell r="A659" t="str">
            <v>Aug 11, 2022</v>
          </cell>
          <cell r="B659">
            <v>283.10000000000002</v>
          </cell>
          <cell r="C659">
            <v>10885990</v>
          </cell>
        </row>
        <row r="660">
          <cell r="A660" t="str">
            <v>Aug 10, 2022</v>
          </cell>
          <cell r="B660">
            <v>287.67</v>
          </cell>
          <cell r="C660">
            <v>8923568</v>
          </cell>
        </row>
        <row r="661">
          <cell r="A661" t="str">
            <v>Aug 8, 2022</v>
          </cell>
          <cell r="B661">
            <v>289.47000000000003</v>
          </cell>
          <cell r="C661">
            <v>8307140</v>
          </cell>
        </row>
        <row r="662">
          <cell r="A662" t="str">
            <v>Aug 5, 2022</v>
          </cell>
          <cell r="B662">
            <v>287.35000000000002</v>
          </cell>
          <cell r="C662">
            <v>10088723</v>
          </cell>
        </row>
        <row r="663">
          <cell r="A663" t="str">
            <v>Aug 4, 2022</v>
          </cell>
          <cell r="B663">
            <v>286.10000000000002</v>
          </cell>
          <cell r="C663">
            <v>15901918</v>
          </cell>
        </row>
        <row r="664">
          <cell r="A664" t="str">
            <v>Aug 3, 2022</v>
          </cell>
          <cell r="B664">
            <v>284.85000000000002</v>
          </cell>
          <cell r="C664">
            <v>17695228</v>
          </cell>
        </row>
        <row r="665">
          <cell r="A665" t="str">
            <v>Aug 2, 2022</v>
          </cell>
          <cell r="B665">
            <v>286.52</v>
          </cell>
          <cell r="C665">
            <v>38982557</v>
          </cell>
        </row>
        <row r="666">
          <cell r="A666" t="str">
            <v>Aug 1, 2022</v>
          </cell>
          <cell r="B666">
            <v>284.25</v>
          </cell>
          <cell r="C666">
            <v>15889556</v>
          </cell>
        </row>
        <row r="667">
          <cell r="A667" t="str">
            <v>Jul 29, 2022</v>
          </cell>
          <cell r="B667">
            <v>280.14</v>
          </cell>
          <cell r="C667">
            <v>16932743</v>
          </cell>
        </row>
        <row r="668">
          <cell r="A668" t="str">
            <v>Jul 28, 2022</v>
          </cell>
          <cell r="B668">
            <v>280.51</v>
          </cell>
          <cell r="C668">
            <v>10839070</v>
          </cell>
        </row>
        <row r="669">
          <cell r="A669" t="str">
            <v>Jul 27, 2022</v>
          </cell>
          <cell r="B669">
            <v>281.16000000000003</v>
          </cell>
          <cell r="C669">
            <v>9346146</v>
          </cell>
        </row>
        <row r="670">
          <cell r="A670" t="str">
            <v>Jul 26, 2022</v>
          </cell>
          <cell r="B670">
            <v>279.58</v>
          </cell>
          <cell r="C670">
            <v>9739177</v>
          </cell>
        </row>
        <row r="671">
          <cell r="A671" t="str">
            <v>Jul 25, 2022</v>
          </cell>
          <cell r="B671">
            <v>278.33999999999997</v>
          </cell>
          <cell r="C671">
            <v>10640727</v>
          </cell>
        </row>
        <row r="672">
          <cell r="A672" t="str">
            <v>Jul 22, 2022</v>
          </cell>
          <cell r="B672">
            <v>277.83</v>
          </cell>
          <cell r="C672">
            <v>9967545</v>
          </cell>
        </row>
        <row r="673">
          <cell r="A673" t="str">
            <v>Jul 21, 2022</v>
          </cell>
          <cell r="B673">
            <v>276.89999999999998</v>
          </cell>
          <cell r="C673">
            <v>16042840</v>
          </cell>
        </row>
        <row r="674">
          <cell r="A674" t="str">
            <v>Jul 20, 2022</v>
          </cell>
          <cell r="B674">
            <v>275.64999999999998</v>
          </cell>
          <cell r="C674">
            <v>15789281</v>
          </cell>
        </row>
        <row r="675">
          <cell r="A675" t="str">
            <v>Jul 19, 2022</v>
          </cell>
          <cell r="B675">
            <v>272.33</v>
          </cell>
          <cell r="C675">
            <v>9188419</v>
          </cell>
        </row>
        <row r="676">
          <cell r="A676" t="str">
            <v>Jul 18, 2022</v>
          </cell>
          <cell r="B676">
            <v>272.97000000000003</v>
          </cell>
          <cell r="C676">
            <v>11315876</v>
          </cell>
        </row>
        <row r="677">
          <cell r="A677" t="str">
            <v>Jul 15, 2022</v>
          </cell>
          <cell r="B677">
            <v>271.36</v>
          </cell>
          <cell r="C677">
            <v>11025420</v>
          </cell>
        </row>
        <row r="678">
          <cell r="A678" t="str">
            <v>Jul 14, 2022</v>
          </cell>
          <cell r="B678">
            <v>268.86</v>
          </cell>
          <cell r="C678">
            <v>13414357</v>
          </cell>
        </row>
        <row r="679">
          <cell r="A679" t="str">
            <v>Jul 13, 2022</v>
          </cell>
          <cell r="B679">
            <v>271.82</v>
          </cell>
          <cell r="C679">
            <v>9277570</v>
          </cell>
        </row>
        <row r="680">
          <cell r="A680" t="str">
            <v>Jul 12, 2022</v>
          </cell>
          <cell r="B680">
            <v>270.57</v>
          </cell>
          <cell r="C680">
            <v>14074628</v>
          </cell>
        </row>
        <row r="681">
          <cell r="A681" t="str">
            <v>Jul 11, 2022</v>
          </cell>
          <cell r="B681">
            <v>272.7</v>
          </cell>
          <cell r="C681">
            <v>12352667</v>
          </cell>
        </row>
        <row r="682">
          <cell r="A682" t="str">
            <v>Jul 8, 2022</v>
          </cell>
          <cell r="B682">
            <v>270.89</v>
          </cell>
          <cell r="C682">
            <v>11110418</v>
          </cell>
        </row>
        <row r="683">
          <cell r="A683" t="str">
            <v>Jul 7, 2022</v>
          </cell>
          <cell r="B683">
            <v>269.88</v>
          </cell>
          <cell r="C683">
            <v>13794991</v>
          </cell>
        </row>
        <row r="684">
          <cell r="A684" t="str">
            <v>Jul 6, 2022</v>
          </cell>
          <cell r="B684">
            <v>267.43</v>
          </cell>
          <cell r="C684">
            <v>18292925</v>
          </cell>
        </row>
        <row r="685">
          <cell r="A685" t="str">
            <v>Jul 5, 2022</v>
          </cell>
          <cell r="B685">
            <v>265.20999999999998</v>
          </cell>
          <cell r="C685">
            <v>18568655</v>
          </cell>
        </row>
        <row r="686">
          <cell r="A686" t="str">
            <v>Jul 4, 2022</v>
          </cell>
          <cell r="B686">
            <v>269.83</v>
          </cell>
          <cell r="C686">
            <v>39881736</v>
          </cell>
        </row>
        <row r="687">
          <cell r="A687" t="str">
            <v>Jul 1, 2022</v>
          </cell>
          <cell r="B687">
            <v>262.85000000000002</v>
          </cell>
          <cell r="C687">
            <v>35165665</v>
          </cell>
        </row>
        <row r="688">
          <cell r="A688" t="str">
            <v>Jun 30, 2022</v>
          </cell>
          <cell r="B688">
            <v>252.82</v>
          </cell>
          <cell r="C688">
            <v>19262054</v>
          </cell>
        </row>
        <row r="689">
          <cell r="A689" t="str">
            <v>Jun 29, 2022</v>
          </cell>
          <cell r="B689">
            <v>253.33</v>
          </cell>
          <cell r="C689">
            <v>16018449</v>
          </cell>
        </row>
        <row r="690">
          <cell r="A690" t="str">
            <v>Jun 28, 2022</v>
          </cell>
          <cell r="B690">
            <v>251.3</v>
          </cell>
          <cell r="C690">
            <v>11240154</v>
          </cell>
        </row>
        <row r="691">
          <cell r="A691" t="str">
            <v>Jun 27, 2022</v>
          </cell>
          <cell r="B691">
            <v>249.54</v>
          </cell>
          <cell r="C691">
            <v>8172964</v>
          </cell>
        </row>
        <row r="692">
          <cell r="A692" t="str">
            <v>Jun 24, 2022</v>
          </cell>
          <cell r="B692">
            <v>245.75</v>
          </cell>
          <cell r="C692">
            <v>7013132</v>
          </cell>
        </row>
        <row r="693">
          <cell r="A693" t="str">
            <v>Jun 23, 2022</v>
          </cell>
          <cell r="B693">
            <v>245.43</v>
          </cell>
          <cell r="C693">
            <v>9067252</v>
          </cell>
        </row>
        <row r="694">
          <cell r="A694" t="str">
            <v>Jun 22, 2022</v>
          </cell>
          <cell r="B694">
            <v>245.24</v>
          </cell>
          <cell r="C694">
            <v>11320918</v>
          </cell>
        </row>
        <row r="695">
          <cell r="A695" t="str">
            <v>Jun 21, 2022</v>
          </cell>
          <cell r="B695">
            <v>249.49</v>
          </cell>
          <cell r="C695">
            <v>13883034</v>
          </cell>
        </row>
        <row r="696">
          <cell r="A696" t="str">
            <v>Jun 20, 2022</v>
          </cell>
          <cell r="B696">
            <v>244.13</v>
          </cell>
          <cell r="C696">
            <v>17081136</v>
          </cell>
        </row>
        <row r="697">
          <cell r="A697" t="str">
            <v>Jun 17, 2022</v>
          </cell>
          <cell r="B697">
            <v>243.39</v>
          </cell>
          <cell r="C697">
            <v>16654660</v>
          </cell>
        </row>
        <row r="698">
          <cell r="A698" t="str">
            <v>Jun 16, 2022</v>
          </cell>
          <cell r="B698">
            <v>240.99</v>
          </cell>
          <cell r="C698">
            <v>14293357</v>
          </cell>
        </row>
        <row r="699">
          <cell r="A699" t="str">
            <v>Jun 15, 2022</v>
          </cell>
          <cell r="B699">
            <v>243.49</v>
          </cell>
          <cell r="C699">
            <v>5059474</v>
          </cell>
        </row>
        <row r="700">
          <cell r="A700" t="str">
            <v>Jun 14, 2022</v>
          </cell>
          <cell r="B700">
            <v>245.38</v>
          </cell>
          <cell r="C700">
            <v>7422193</v>
          </cell>
        </row>
        <row r="701">
          <cell r="A701" t="str">
            <v>Jun 13, 2022</v>
          </cell>
          <cell r="B701">
            <v>244.64</v>
          </cell>
          <cell r="C701">
            <v>11092690</v>
          </cell>
        </row>
        <row r="702">
          <cell r="A702" t="str">
            <v>Jun 10, 2022</v>
          </cell>
          <cell r="B702">
            <v>249.73</v>
          </cell>
          <cell r="C702">
            <v>8371061</v>
          </cell>
        </row>
        <row r="703">
          <cell r="A703" t="str">
            <v>Jun 9, 2022</v>
          </cell>
          <cell r="B703">
            <v>250.37</v>
          </cell>
          <cell r="C703">
            <v>9860194</v>
          </cell>
        </row>
        <row r="704">
          <cell r="A704" t="str">
            <v>Jun 8, 2022</v>
          </cell>
          <cell r="B704">
            <v>247.65</v>
          </cell>
          <cell r="C704">
            <v>14361969</v>
          </cell>
        </row>
        <row r="705">
          <cell r="A705" t="str">
            <v>Jun 7, 2022</v>
          </cell>
          <cell r="B705">
            <v>253.19</v>
          </cell>
          <cell r="C705">
            <v>10828539</v>
          </cell>
        </row>
        <row r="706">
          <cell r="A706" t="str">
            <v>Jun 6, 2022</v>
          </cell>
          <cell r="B706">
            <v>254.02</v>
          </cell>
          <cell r="C706">
            <v>10925182</v>
          </cell>
        </row>
        <row r="707">
          <cell r="A707" t="str">
            <v>Jun 3, 2022</v>
          </cell>
          <cell r="B707">
            <v>252.08</v>
          </cell>
          <cell r="C707">
            <v>12487862</v>
          </cell>
        </row>
        <row r="708">
          <cell r="A708" t="str">
            <v>Jun 2, 2022</v>
          </cell>
          <cell r="B708">
            <v>252.82</v>
          </cell>
          <cell r="C708">
            <v>14240994</v>
          </cell>
        </row>
        <row r="709">
          <cell r="A709" t="str">
            <v>Jun 1, 2022</v>
          </cell>
          <cell r="B709">
            <v>251.3</v>
          </cell>
          <cell r="C709">
            <v>14699792</v>
          </cell>
        </row>
        <row r="710">
          <cell r="A710" t="str">
            <v>May 31, 2022</v>
          </cell>
          <cell r="B710">
            <v>250.19</v>
          </cell>
          <cell r="C710">
            <v>23208345</v>
          </cell>
        </row>
        <row r="711">
          <cell r="A711" t="str">
            <v>May 30, 2022</v>
          </cell>
          <cell r="B711">
            <v>248.71</v>
          </cell>
          <cell r="C711">
            <v>11819102</v>
          </cell>
        </row>
        <row r="712">
          <cell r="A712" t="str">
            <v>May 27, 2022</v>
          </cell>
          <cell r="B712">
            <v>248.85</v>
          </cell>
          <cell r="C712">
            <v>13468067</v>
          </cell>
        </row>
        <row r="713">
          <cell r="A713" t="str">
            <v>May 26, 2022</v>
          </cell>
          <cell r="B713">
            <v>246.54</v>
          </cell>
          <cell r="C713">
            <v>18420159</v>
          </cell>
        </row>
        <row r="714">
          <cell r="A714" t="str">
            <v>May 25, 2022</v>
          </cell>
          <cell r="B714">
            <v>246.31</v>
          </cell>
          <cell r="C714">
            <v>15288648</v>
          </cell>
        </row>
        <row r="715">
          <cell r="A715" t="str">
            <v>May 24, 2022</v>
          </cell>
          <cell r="B715">
            <v>244.63</v>
          </cell>
          <cell r="C715">
            <v>15547968</v>
          </cell>
        </row>
        <row r="716">
          <cell r="A716" t="str">
            <v>May 23, 2022</v>
          </cell>
          <cell r="B716">
            <v>247.93</v>
          </cell>
          <cell r="C716">
            <v>21700165</v>
          </cell>
        </row>
        <row r="717">
          <cell r="A717" t="str">
            <v>May 20, 2022</v>
          </cell>
          <cell r="B717">
            <v>252.9</v>
          </cell>
          <cell r="C717">
            <v>32370771</v>
          </cell>
        </row>
        <row r="718">
          <cell r="A718" t="str">
            <v>May 19, 2022</v>
          </cell>
          <cell r="B718">
            <v>248.97</v>
          </cell>
          <cell r="C718">
            <v>78287713</v>
          </cell>
        </row>
        <row r="719">
          <cell r="A719" t="str">
            <v>May 18, 2022</v>
          </cell>
          <cell r="B719">
            <v>240.98</v>
          </cell>
          <cell r="C719">
            <v>20200332</v>
          </cell>
        </row>
        <row r="720">
          <cell r="A720" t="str">
            <v>May 17, 2022</v>
          </cell>
          <cell r="B720">
            <v>239.08</v>
          </cell>
          <cell r="C720">
            <v>17797974</v>
          </cell>
        </row>
        <row r="721">
          <cell r="A721" t="str">
            <v>May 16, 2022</v>
          </cell>
          <cell r="B721">
            <v>229.51</v>
          </cell>
          <cell r="C721">
            <v>8186859</v>
          </cell>
        </row>
        <row r="722">
          <cell r="A722" t="str">
            <v>May 13, 2022</v>
          </cell>
          <cell r="B722">
            <v>233.57</v>
          </cell>
          <cell r="C722">
            <v>11921627</v>
          </cell>
        </row>
        <row r="723">
          <cell r="A723" t="str">
            <v>May 12, 2022</v>
          </cell>
          <cell r="B723">
            <v>228.42</v>
          </cell>
          <cell r="C723">
            <v>20044726</v>
          </cell>
        </row>
        <row r="724">
          <cell r="A724" t="str">
            <v>May 11, 2022</v>
          </cell>
          <cell r="B724">
            <v>230.91</v>
          </cell>
          <cell r="C724">
            <v>17344099</v>
          </cell>
        </row>
        <row r="725">
          <cell r="A725" t="str">
            <v>May 10, 2022</v>
          </cell>
          <cell r="B725">
            <v>234.61</v>
          </cell>
          <cell r="C725">
            <v>18033260</v>
          </cell>
        </row>
        <row r="726">
          <cell r="A726" t="str">
            <v>May 9, 2022</v>
          </cell>
          <cell r="B726">
            <v>237.5</v>
          </cell>
          <cell r="C726">
            <v>21403710</v>
          </cell>
        </row>
        <row r="727">
          <cell r="A727" t="str">
            <v>May 6, 2022</v>
          </cell>
          <cell r="B727">
            <v>240.84</v>
          </cell>
          <cell r="C727">
            <v>34490123</v>
          </cell>
        </row>
        <row r="728">
          <cell r="A728" t="str">
            <v>May 5, 2022</v>
          </cell>
          <cell r="B728">
            <v>236.69</v>
          </cell>
          <cell r="C728">
            <v>17932895</v>
          </cell>
        </row>
        <row r="729">
          <cell r="A729" t="str">
            <v>May 4, 2022</v>
          </cell>
          <cell r="B729">
            <v>234.61</v>
          </cell>
          <cell r="C729">
            <v>25951999</v>
          </cell>
        </row>
        <row r="730">
          <cell r="A730" t="str">
            <v>May 2, 2022</v>
          </cell>
          <cell r="B730">
            <v>237.68</v>
          </cell>
          <cell r="C730">
            <v>18965820</v>
          </cell>
        </row>
        <row r="731">
          <cell r="A731" t="str">
            <v>Apr 29, 2022</v>
          </cell>
          <cell r="B731">
            <v>234.43</v>
          </cell>
          <cell r="C731">
            <v>20419904</v>
          </cell>
        </row>
        <row r="732">
          <cell r="A732" t="str">
            <v>Apr 28, 2022</v>
          </cell>
          <cell r="B732">
            <v>235.83</v>
          </cell>
          <cell r="C732">
            <v>27924384</v>
          </cell>
        </row>
        <row r="733">
          <cell r="A733" t="str">
            <v>Apr 27, 2022</v>
          </cell>
          <cell r="B733">
            <v>232.58</v>
          </cell>
          <cell r="C733">
            <v>16580824</v>
          </cell>
        </row>
        <row r="734">
          <cell r="A734" t="str">
            <v>Apr 26, 2022</v>
          </cell>
          <cell r="B734">
            <v>233.89</v>
          </cell>
          <cell r="C734">
            <v>20536714</v>
          </cell>
        </row>
        <row r="735">
          <cell r="A735" t="str">
            <v>Apr 25, 2022</v>
          </cell>
          <cell r="B735">
            <v>230.54</v>
          </cell>
          <cell r="C735">
            <v>24208645</v>
          </cell>
        </row>
        <row r="736">
          <cell r="A736" t="str">
            <v>Apr 22, 2022</v>
          </cell>
          <cell r="B736">
            <v>235.83</v>
          </cell>
          <cell r="C736">
            <v>15671273</v>
          </cell>
        </row>
        <row r="737">
          <cell r="A737" t="str">
            <v>Apr 21, 2022</v>
          </cell>
          <cell r="B737">
            <v>235.2</v>
          </cell>
          <cell r="C737">
            <v>23412279</v>
          </cell>
        </row>
        <row r="738">
          <cell r="A738" t="str">
            <v>Apr 20, 2022</v>
          </cell>
          <cell r="B738">
            <v>234.43</v>
          </cell>
          <cell r="C738">
            <v>24510612</v>
          </cell>
        </row>
        <row r="739">
          <cell r="A739" t="str">
            <v>Apr 19, 2022</v>
          </cell>
          <cell r="B739">
            <v>236.23</v>
          </cell>
          <cell r="C739">
            <v>23380138</v>
          </cell>
        </row>
        <row r="740">
          <cell r="A740" t="str">
            <v>Apr 18, 2022</v>
          </cell>
          <cell r="B740">
            <v>243.96</v>
          </cell>
          <cell r="C740">
            <v>24399444</v>
          </cell>
        </row>
        <row r="741">
          <cell r="A741" t="str">
            <v>Apr 13, 2022</v>
          </cell>
          <cell r="B741">
            <v>243.46</v>
          </cell>
          <cell r="C741">
            <v>21414383</v>
          </cell>
        </row>
        <row r="742">
          <cell r="A742" t="str">
            <v>Apr 12, 2022</v>
          </cell>
          <cell r="B742">
            <v>239.17</v>
          </cell>
          <cell r="C742">
            <v>23553762</v>
          </cell>
        </row>
        <row r="743">
          <cell r="A743" t="str">
            <v>Apr 11, 2022</v>
          </cell>
          <cell r="B743">
            <v>241.61</v>
          </cell>
          <cell r="C743">
            <v>46147653</v>
          </cell>
        </row>
        <row r="744">
          <cell r="A744" t="str">
            <v>Apr 8, 2022</v>
          </cell>
          <cell r="B744">
            <v>241.88</v>
          </cell>
          <cell r="C744">
            <v>37826800</v>
          </cell>
        </row>
        <row r="745">
          <cell r="A745" t="str">
            <v>Apr 7, 2022</v>
          </cell>
          <cell r="B745">
            <v>231.81</v>
          </cell>
          <cell r="C745">
            <v>16061089</v>
          </cell>
        </row>
        <row r="746">
          <cell r="A746" t="str">
            <v>Apr 6, 2022</v>
          </cell>
          <cell r="B746">
            <v>234.47</v>
          </cell>
          <cell r="C746">
            <v>19597941</v>
          </cell>
        </row>
        <row r="747">
          <cell r="A747" t="str">
            <v>Apr 5, 2022</v>
          </cell>
          <cell r="B747">
            <v>234.34</v>
          </cell>
          <cell r="C747">
            <v>27183142</v>
          </cell>
        </row>
        <row r="748">
          <cell r="A748" t="str">
            <v>Apr 4, 2022</v>
          </cell>
          <cell r="B748">
            <v>230.73</v>
          </cell>
          <cell r="C748">
            <v>15907398</v>
          </cell>
        </row>
        <row r="749">
          <cell r="A749" t="str">
            <v>Apr 1, 2022</v>
          </cell>
          <cell r="B749">
            <v>228.78</v>
          </cell>
          <cell r="C749">
            <v>14305709</v>
          </cell>
        </row>
        <row r="750">
          <cell r="A750" t="str">
            <v>Mar 31, 2022</v>
          </cell>
          <cell r="B750">
            <v>226.39</v>
          </cell>
          <cell r="C750">
            <v>25656796</v>
          </cell>
        </row>
        <row r="751">
          <cell r="A751" t="str">
            <v>Mar 30, 2022</v>
          </cell>
          <cell r="B751">
            <v>225.08</v>
          </cell>
          <cell r="C751">
            <v>17603827</v>
          </cell>
        </row>
        <row r="752">
          <cell r="A752" t="str">
            <v>Mar 29, 2022</v>
          </cell>
          <cell r="B752">
            <v>229.96</v>
          </cell>
          <cell r="C752">
            <v>18122714</v>
          </cell>
        </row>
        <row r="753">
          <cell r="A753" t="str">
            <v>Mar 28, 2022</v>
          </cell>
          <cell r="B753">
            <v>232.17</v>
          </cell>
          <cell r="C753">
            <v>24916402</v>
          </cell>
        </row>
        <row r="754">
          <cell r="A754" t="str">
            <v>Mar 25, 2022</v>
          </cell>
          <cell r="B754">
            <v>228.83</v>
          </cell>
          <cell r="C754">
            <v>29284643</v>
          </cell>
        </row>
        <row r="755">
          <cell r="A755" t="str">
            <v>Mar 24, 2022</v>
          </cell>
          <cell r="B755">
            <v>230.18</v>
          </cell>
          <cell r="C755">
            <v>38239419</v>
          </cell>
        </row>
        <row r="756">
          <cell r="A756" t="str">
            <v>Mar 23, 2022</v>
          </cell>
          <cell r="B756">
            <v>227.61</v>
          </cell>
          <cell r="C756">
            <v>40491633</v>
          </cell>
        </row>
        <row r="757">
          <cell r="A757" t="str">
            <v>Mar 22, 2022</v>
          </cell>
          <cell r="B757">
            <v>225.58</v>
          </cell>
          <cell r="C757">
            <v>36945426</v>
          </cell>
        </row>
        <row r="758">
          <cell r="A758" t="str">
            <v>Mar 21, 2022</v>
          </cell>
          <cell r="B758">
            <v>220.83</v>
          </cell>
          <cell r="C758">
            <v>27975134</v>
          </cell>
        </row>
        <row r="759">
          <cell r="A759" t="str">
            <v>Mar 17, 2022</v>
          </cell>
          <cell r="B759">
            <v>221.2</v>
          </cell>
          <cell r="C759">
            <v>34223740</v>
          </cell>
        </row>
        <row r="760">
          <cell r="A760" t="str">
            <v>Mar 16, 2022</v>
          </cell>
          <cell r="B760">
            <v>219.12</v>
          </cell>
          <cell r="C760">
            <v>21629521</v>
          </cell>
        </row>
        <row r="761">
          <cell r="A761" t="str">
            <v>Mar 15, 2022</v>
          </cell>
          <cell r="B761">
            <v>214.83</v>
          </cell>
          <cell r="C761">
            <v>32998305</v>
          </cell>
        </row>
        <row r="762">
          <cell r="A762" t="str">
            <v>Mar 14, 2022</v>
          </cell>
          <cell r="B762">
            <v>215.87</v>
          </cell>
          <cell r="C762">
            <v>35113638</v>
          </cell>
        </row>
        <row r="763">
          <cell r="A763" t="str">
            <v>Mar 11, 2022</v>
          </cell>
          <cell r="B763">
            <v>213.47</v>
          </cell>
          <cell r="C763">
            <v>41699184</v>
          </cell>
        </row>
        <row r="764">
          <cell r="A764" t="str">
            <v>Mar 10, 2022</v>
          </cell>
          <cell r="B764">
            <v>209.54</v>
          </cell>
          <cell r="C764">
            <v>36132245</v>
          </cell>
        </row>
        <row r="765">
          <cell r="A765" t="str">
            <v>Mar 9, 2022</v>
          </cell>
          <cell r="B765">
            <v>207.06</v>
          </cell>
          <cell r="C765">
            <v>42294906</v>
          </cell>
        </row>
        <row r="766">
          <cell r="A766" t="str">
            <v>Mar 8, 2022</v>
          </cell>
          <cell r="B766">
            <v>204.94</v>
          </cell>
          <cell r="C766">
            <v>36036336</v>
          </cell>
        </row>
        <row r="767">
          <cell r="A767" t="str">
            <v>Mar 7, 2022</v>
          </cell>
          <cell r="B767">
            <v>203.18</v>
          </cell>
          <cell r="C767">
            <v>45258669</v>
          </cell>
        </row>
        <row r="768">
          <cell r="A768" t="str">
            <v>Mar 4, 2022</v>
          </cell>
          <cell r="B768">
            <v>203.67</v>
          </cell>
          <cell r="C768">
            <v>66835736</v>
          </cell>
        </row>
        <row r="769">
          <cell r="A769" t="str">
            <v>Mar 3, 2022</v>
          </cell>
          <cell r="B769">
            <v>198.16</v>
          </cell>
          <cell r="C769">
            <v>28532668</v>
          </cell>
        </row>
        <row r="770">
          <cell r="A770" t="str">
            <v>Mar 2, 2022</v>
          </cell>
          <cell r="B770">
            <v>194.46</v>
          </cell>
          <cell r="C770">
            <v>19295994</v>
          </cell>
        </row>
        <row r="771">
          <cell r="A771" t="str">
            <v>Feb 28, 2022</v>
          </cell>
          <cell r="B771">
            <v>194.96</v>
          </cell>
          <cell r="C771">
            <v>20034633</v>
          </cell>
        </row>
        <row r="772">
          <cell r="A772" t="str">
            <v>Feb 25, 2022</v>
          </cell>
          <cell r="B772">
            <v>193.24</v>
          </cell>
          <cell r="C772">
            <v>23633656</v>
          </cell>
        </row>
        <row r="773">
          <cell r="A773" t="str">
            <v>Feb 24, 2022</v>
          </cell>
          <cell r="B773">
            <v>188.32</v>
          </cell>
          <cell r="C773">
            <v>41341523</v>
          </cell>
        </row>
        <row r="774">
          <cell r="A774" t="str">
            <v>Feb 23, 2022</v>
          </cell>
          <cell r="B774">
            <v>195.05</v>
          </cell>
          <cell r="C774">
            <v>11014283</v>
          </cell>
        </row>
        <row r="775">
          <cell r="A775" t="str">
            <v>Feb 22, 2022</v>
          </cell>
          <cell r="B775">
            <v>194.05</v>
          </cell>
          <cell r="C775">
            <v>25749340</v>
          </cell>
        </row>
        <row r="776">
          <cell r="A776" t="str">
            <v>Feb 21, 2022</v>
          </cell>
          <cell r="B776">
            <v>196.9</v>
          </cell>
          <cell r="C776">
            <v>16129017</v>
          </cell>
        </row>
        <row r="777">
          <cell r="A777" t="str">
            <v>Feb 18, 2022</v>
          </cell>
          <cell r="B777">
            <v>200.42</v>
          </cell>
          <cell r="C777">
            <v>8670947</v>
          </cell>
        </row>
        <row r="778">
          <cell r="A778" t="str">
            <v>Feb 17, 2022</v>
          </cell>
          <cell r="B778">
            <v>201.1</v>
          </cell>
          <cell r="C778">
            <v>14024149</v>
          </cell>
        </row>
        <row r="779">
          <cell r="A779" t="str">
            <v>Feb 16, 2022</v>
          </cell>
          <cell r="B779">
            <v>201.19</v>
          </cell>
          <cell r="C779">
            <v>11231596</v>
          </cell>
        </row>
        <row r="780">
          <cell r="A780" t="str">
            <v>Feb 15, 2022</v>
          </cell>
          <cell r="B780">
            <v>201.42</v>
          </cell>
          <cell r="C780">
            <v>12875311</v>
          </cell>
        </row>
        <row r="781">
          <cell r="A781" t="str">
            <v>Feb 14, 2022</v>
          </cell>
          <cell r="B781">
            <v>198.21</v>
          </cell>
          <cell r="C781">
            <v>22745228</v>
          </cell>
        </row>
        <row r="782">
          <cell r="A782" t="str">
            <v>Feb 11, 2022</v>
          </cell>
          <cell r="B782">
            <v>205.21</v>
          </cell>
          <cell r="C782">
            <v>18096561</v>
          </cell>
        </row>
        <row r="783">
          <cell r="A783" t="str">
            <v>Feb 10, 2022</v>
          </cell>
          <cell r="B783">
            <v>205.03</v>
          </cell>
          <cell r="C783">
            <v>19563580</v>
          </cell>
        </row>
        <row r="784">
          <cell r="A784" t="str">
            <v>Feb 9, 2022</v>
          </cell>
          <cell r="B784">
            <v>203.18</v>
          </cell>
          <cell r="C784">
            <v>11893807</v>
          </cell>
        </row>
        <row r="785">
          <cell r="A785" t="str">
            <v>Feb 8, 2022</v>
          </cell>
          <cell r="B785">
            <v>204.15</v>
          </cell>
          <cell r="C785">
            <v>16201280</v>
          </cell>
        </row>
        <row r="786">
          <cell r="A786" t="str">
            <v>Feb 7, 2022</v>
          </cell>
          <cell r="B786">
            <v>203.22</v>
          </cell>
          <cell r="C786">
            <v>24171083</v>
          </cell>
        </row>
        <row r="787">
          <cell r="A787" t="str">
            <v>Feb 4, 2022</v>
          </cell>
          <cell r="B787">
            <v>206.84</v>
          </cell>
          <cell r="C787">
            <v>56705951</v>
          </cell>
        </row>
        <row r="788">
          <cell r="A788" t="str">
            <v>Feb 3, 2022</v>
          </cell>
          <cell r="B788">
            <v>206.97</v>
          </cell>
          <cell r="C788">
            <v>27845963</v>
          </cell>
        </row>
        <row r="789">
          <cell r="A789" t="str">
            <v>Feb 2, 2022</v>
          </cell>
          <cell r="B789">
            <v>204.94</v>
          </cell>
          <cell r="C789">
            <v>41130638</v>
          </cell>
        </row>
        <row r="790">
          <cell r="A790" t="str">
            <v>Feb 1, 2022</v>
          </cell>
          <cell r="B790">
            <v>201.06</v>
          </cell>
          <cell r="C790">
            <v>43207074</v>
          </cell>
        </row>
        <row r="791">
          <cell r="A791" t="str">
            <v>Jan 31, 2022</v>
          </cell>
          <cell r="B791">
            <v>194.39</v>
          </cell>
          <cell r="C791">
            <v>15039006</v>
          </cell>
        </row>
        <row r="792">
          <cell r="A792" t="str">
            <v>Jan 28, 2022</v>
          </cell>
          <cell r="B792">
            <v>192.1</v>
          </cell>
          <cell r="C792">
            <v>15276991</v>
          </cell>
        </row>
        <row r="793">
          <cell r="A793" t="str">
            <v>Jan 27, 2022</v>
          </cell>
          <cell r="B793">
            <v>189.45</v>
          </cell>
          <cell r="C793">
            <v>23149684</v>
          </cell>
        </row>
        <row r="794">
          <cell r="A794" t="str">
            <v>Jan 25, 2022</v>
          </cell>
          <cell r="B794">
            <v>189.19</v>
          </cell>
          <cell r="C794">
            <v>18322935</v>
          </cell>
        </row>
        <row r="795">
          <cell r="A795" t="str">
            <v>Jan 24, 2022</v>
          </cell>
          <cell r="B795">
            <v>186.98</v>
          </cell>
          <cell r="C795">
            <v>17354942</v>
          </cell>
        </row>
        <row r="796">
          <cell r="A796" t="str">
            <v>Jan 21, 2022</v>
          </cell>
          <cell r="B796">
            <v>191.61</v>
          </cell>
          <cell r="C796">
            <v>16586264</v>
          </cell>
        </row>
        <row r="797">
          <cell r="A797" t="str">
            <v>Jan 20, 2022</v>
          </cell>
          <cell r="B797">
            <v>193.11</v>
          </cell>
          <cell r="C797">
            <v>17329896</v>
          </cell>
        </row>
        <row r="798">
          <cell r="A798" t="str">
            <v>Jan 19, 2022</v>
          </cell>
          <cell r="B798">
            <v>194.53</v>
          </cell>
          <cell r="C798">
            <v>11473796</v>
          </cell>
        </row>
        <row r="799">
          <cell r="A799" t="str">
            <v>Jan 18, 2022</v>
          </cell>
          <cell r="B799">
            <v>194.88</v>
          </cell>
          <cell r="C799">
            <v>14394097</v>
          </cell>
        </row>
        <row r="800">
          <cell r="A800" t="str">
            <v>Jan 17, 2022</v>
          </cell>
          <cell r="B800">
            <v>198.28</v>
          </cell>
          <cell r="C800">
            <v>12318313</v>
          </cell>
        </row>
        <row r="801">
          <cell r="A801" t="str">
            <v>Jan 14, 2022</v>
          </cell>
          <cell r="B801">
            <v>196.51</v>
          </cell>
          <cell r="C801">
            <v>10569725</v>
          </cell>
        </row>
        <row r="802">
          <cell r="A802" t="str">
            <v>Jan 13, 2022</v>
          </cell>
          <cell r="B802">
            <v>197.71</v>
          </cell>
          <cell r="C802">
            <v>11501088</v>
          </cell>
        </row>
        <row r="803">
          <cell r="A803" t="str">
            <v>Jan 12, 2022</v>
          </cell>
          <cell r="B803">
            <v>196.65</v>
          </cell>
          <cell r="C803">
            <v>13158894</v>
          </cell>
        </row>
        <row r="804">
          <cell r="A804" t="str">
            <v>Jan 11, 2022</v>
          </cell>
          <cell r="B804">
            <v>195.94</v>
          </cell>
          <cell r="C804">
            <v>8020695</v>
          </cell>
        </row>
        <row r="805">
          <cell r="A805" t="str">
            <v>Jan 10, 2022</v>
          </cell>
          <cell r="B805">
            <v>197.13</v>
          </cell>
          <cell r="C805">
            <v>15841299</v>
          </cell>
        </row>
        <row r="806">
          <cell r="A806" t="str">
            <v>Jan 7, 2022</v>
          </cell>
          <cell r="B806">
            <v>192.81</v>
          </cell>
          <cell r="C806">
            <v>8855041</v>
          </cell>
        </row>
        <row r="807">
          <cell r="A807" t="str">
            <v>Jan 6, 2022</v>
          </cell>
          <cell r="B807">
            <v>193.07</v>
          </cell>
          <cell r="C807">
            <v>8950589</v>
          </cell>
        </row>
        <row r="808">
          <cell r="A808" t="str">
            <v>Jan 5, 2022</v>
          </cell>
          <cell r="B808">
            <v>194.7</v>
          </cell>
          <cell r="C808">
            <v>11230588</v>
          </cell>
        </row>
        <row r="809">
          <cell r="A809" t="str">
            <v>Jan 4, 2022</v>
          </cell>
          <cell r="B809">
            <v>194.44</v>
          </cell>
          <cell r="C809">
            <v>9050253</v>
          </cell>
        </row>
        <row r="810">
          <cell r="A810" t="str">
            <v>Jan 3, 2022</v>
          </cell>
          <cell r="B810">
            <v>193.42</v>
          </cell>
          <cell r="C810">
            <v>7765495</v>
          </cell>
        </row>
        <row r="811">
          <cell r="A811" t="str">
            <v>Dec 31, 2021</v>
          </cell>
          <cell r="B811">
            <v>192.5</v>
          </cell>
          <cell r="C811">
            <v>7583815</v>
          </cell>
        </row>
        <row r="812">
          <cell r="A812" t="str">
            <v>Dec 30, 2021</v>
          </cell>
          <cell r="B812">
            <v>190.69</v>
          </cell>
          <cell r="C812">
            <v>9741198</v>
          </cell>
        </row>
        <row r="813">
          <cell r="A813" t="str">
            <v>Dec 29, 2021</v>
          </cell>
          <cell r="B813">
            <v>191.35</v>
          </cell>
          <cell r="C813">
            <v>11480954</v>
          </cell>
        </row>
        <row r="814">
          <cell r="A814" t="str">
            <v>Dec 28, 2021</v>
          </cell>
          <cell r="B814">
            <v>194.26</v>
          </cell>
          <cell r="C814">
            <v>11568803</v>
          </cell>
        </row>
        <row r="815">
          <cell r="A815" t="str">
            <v>Dec 27, 2021</v>
          </cell>
          <cell r="B815">
            <v>192.06</v>
          </cell>
          <cell r="C815">
            <v>8153106</v>
          </cell>
        </row>
        <row r="816">
          <cell r="A816" t="str">
            <v>Dec 24, 2021</v>
          </cell>
          <cell r="B816">
            <v>192.45</v>
          </cell>
          <cell r="C816">
            <v>16581585</v>
          </cell>
        </row>
        <row r="817">
          <cell r="A817" t="str">
            <v>Dec 23, 2021</v>
          </cell>
          <cell r="B817">
            <v>191.83</v>
          </cell>
          <cell r="C817">
            <v>22209720</v>
          </cell>
        </row>
        <row r="818">
          <cell r="A818" t="str">
            <v>Dec 22, 2021</v>
          </cell>
          <cell r="B818">
            <v>187.16</v>
          </cell>
          <cell r="C818">
            <v>17239484</v>
          </cell>
        </row>
        <row r="819">
          <cell r="A819" t="str">
            <v>Dec 21, 2021</v>
          </cell>
          <cell r="B819">
            <v>187.6</v>
          </cell>
          <cell r="C819">
            <v>19395604</v>
          </cell>
        </row>
        <row r="820">
          <cell r="A820" t="str">
            <v>Dec 20, 2021</v>
          </cell>
          <cell r="B820">
            <v>187.51</v>
          </cell>
          <cell r="C820">
            <v>37340790</v>
          </cell>
        </row>
        <row r="821">
          <cell r="A821" t="str">
            <v>Dec 17, 2021</v>
          </cell>
          <cell r="B821">
            <v>192.41</v>
          </cell>
          <cell r="C821">
            <v>29683982</v>
          </cell>
        </row>
        <row r="822">
          <cell r="A822" t="str">
            <v>Dec 16, 2021</v>
          </cell>
          <cell r="B822">
            <v>196.78</v>
          </cell>
          <cell r="C822">
            <v>24199205</v>
          </cell>
        </row>
        <row r="823">
          <cell r="A823" t="str">
            <v>Dec 15, 2021</v>
          </cell>
          <cell r="B823">
            <v>197.79</v>
          </cell>
          <cell r="C823">
            <v>34653042</v>
          </cell>
        </row>
        <row r="824">
          <cell r="A824" t="str">
            <v>Dec 14, 2021</v>
          </cell>
          <cell r="B824">
            <v>201.81</v>
          </cell>
          <cell r="C824">
            <v>37508445</v>
          </cell>
        </row>
        <row r="825">
          <cell r="A825" t="str">
            <v>Dec 13, 2021</v>
          </cell>
          <cell r="B825">
            <v>207.11</v>
          </cell>
          <cell r="C825">
            <v>22054342</v>
          </cell>
        </row>
        <row r="826">
          <cell r="A826" t="str">
            <v>Dec 10, 2021</v>
          </cell>
          <cell r="B826">
            <v>208.43</v>
          </cell>
          <cell r="C826">
            <v>35162889</v>
          </cell>
        </row>
        <row r="827">
          <cell r="A827" t="str">
            <v>Dec 9, 2021</v>
          </cell>
          <cell r="B827">
            <v>207.81</v>
          </cell>
          <cell r="C827">
            <v>38241864</v>
          </cell>
        </row>
        <row r="828">
          <cell r="A828" t="str">
            <v>Dec 8, 2021</v>
          </cell>
          <cell r="B828">
            <v>198.59</v>
          </cell>
          <cell r="C828">
            <v>9861847</v>
          </cell>
        </row>
        <row r="829">
          <cell r="A829" t="str">
            <v>Dec 7, 2021</v>
          </cell>
          <cell r="B829">
            <v>194.79</v>
          </cell>
          <cell r="C829">
            <v>8903842</v>
          </cell>
        </row>
        <row r="830">
          <cell r="A830" t="str">
            <v>Dec 6, 2021</v>
          </cell>
          <cell r="B830">
            <v>192.36</v>
          </cell>
          <cell r="C830">
            <v>13138355</v>
          </cell>
        </row>
        <row r="831">
          <cell r="A831" t="str">
            <v>Dec 3, 2021</v>
          </cell>
          <cell r="B831">
            <v>195.67</v>
          </cell>
          <cell r="C831">
            <v>13794647</v>
          </cell>
        </row>
        <row r="832">
          <cell r="A832" t="str">
            <v>Dec 2, 2021</v>
          </cell>
          <cell r="B832">
            <v>199.03</v>
          </cell>
          <cell r="C832">
            <v>15904846</v>
          </cell>
        </row>
        <row r="833">
          <cell r="A833" t="str">
            <v>Dec 1, 2021</v>
          </cell>
          <cell r="B833">
            <v>195.9</v>
          </cell>
          <cell r="C833">
            <v>12995800</v>
          </cell>
        </row>
        <row r="834">
          <cell r="A834" t="str">
            <v>Nov 30, 2021</v>
          </cell>
          <cell r="B834">
            <v>195.23</v>
          </cell>
          <cell r="C834">
            <v>23503453</v>
          </cell>
        </row>
        <row r="835">
          <cell r="A835" t="str">
            <v>Nov 29, 2021</v>
          </cell>
          <cell r="B835">
            <v>195.54</v>
          </cell>
          <cell r="C835">
            <v>22132952</v>
          </cell>
        </row>
        <row r="836">
          <cell r="A836" t="str">
            <v>Nov 26, 2021</v>
          </cell>
          <cell r="B836">
            <v>197.75</v>
          </cell>
          <cell r="C836">
            <v>27027022</v>
          </cell>
        </row>
        <row r="837">
          <cell r="A837" t="str">
            <v>Nov 25, 2021</v>
          </cell>
          <cell r="B837">
            <v>204.19</v>
          </cell>
          <cell r="C837">
            <v>23904846</v>
          </cell>
        </row>
        <row r="838">
          <cell r="A838" t="str">
            <v>Nov 24, 2021</v>
          </cell>
          <cell r="B838">
            <v>201.02</v>
          </cell>
          <cell r="C838">
            <v>14139854</v>
          </cell>
        </row>
        <row r="839">
          <cell r="A839" t="str">
            <v>Nov 23, 2021</v>
          </cell>
          <cell r="B839">
            <v>204.46</v>
          </cell>
          <cell r="C839">
            <v>13433385</v>
          </cell>
        </row>
        <row r="840">
          <cell r="A840" t="str">
            <v>Nov 22, 2021</v>
          </cell>
          <cell r="B840">
            <v>203.84</v>
          </cell>
          <cell r="C840">
            <v>22574227</v>
          </cell>
        </row>
        <row r="841">
          <cell r="A841" t="str">
            <v>Nov 18, 2021</v>
          </cell>
          <cell r="B841">
            <v>209.67</v>
          </cell>
          <cell r="C841">
            <v>20226071</v>
          </cell>
        </row>
        <row r="842">
          <cell r="A842" t="str">
            <v>Nov 17, 2021</v>
          </cell>
          <cell r="B842">
            <v>211.43</v>
          </cell>
          <cell r="C842">
            <v>46697822</v>
          </cell>
        </row>
        <row r="843">
          <cell r="A843" t="str">
            <v>Nov 16, 2021</v>
          </cell>
          <cell r="B843">
            <v>207.86</v>
          </cell>
          <cell r="C843">
            <v>14675969</v>
          </cell>
        </row>
        <row r="844">
          <cell r="A844" t="str">
            <v>Nov 15, 2021</v>
          </cell>
          <cell r="B844">
            <v>210.2</v>
          </cell>
          <cell r="C844">
            <v>38755267</v>
          </cell>
        </row>
        <row r="845">
          <cell r="A845" t="str">
            <v>Nov 12, 2021</v>
          </cell>
          <cell r="B845">
            <v>205.61</v>
          </cell>
          <cell r="C845">
            <v>11855531</v>
          </cell>
        </row>
        <row r="846">
          <cell r="A846" t="str">
            <v>Nov 11, 2021</v>
          </cell>
          <cell r="B846">
            <v>203.05</v>
          </cell>
          <cell r="C846">
            <v>8134962</v>
          </cell>
        </row>
        <row r="847">
          <cell r="A847" t="str">
            <v>Nov 10, 2021</v>
          </cell>
          <cell r="B847">
            <v>203.8</v>
          </cell>
          <cell r="C847">
            <v>13431108</v>
          </cell>
        </row>
        <row r="848">
          <cell r="A848" t="str">
            <v>Nov 9, 2021</v>
          </cell>
          <cell r="B848">
            <v>201.94</v>
          </cell>
          <cell r="C848">
            <v>11520817</v>
          </cell>
        </row>
        <row r="849">
          <cell r="A849" t="str">
            <v>Nov 8, 2021</v>
          </cell>
          <cell r="B849">
            <v>202.87</v>
          </cell>
          <cell r="C849">
            <v>20270558</v>
          </cell>
        </row>
        <row r="850">
          <cell r="A850" t="str">
            <v>Nov 4, 2021</v>
          </cell>
          <cell r="B850">
            <v>200</v>
          </cell>
          <cell r="C850">
            <v>7024796</v>
          </cell>
        </row>
        <row r="851">
          <cell r="A851" t="str">
            <v>Nov 3, 2021</v>
          </cell>
          <cell r="B851">
            <v>196.38</v>
          </cell>
          <cell r="C851">
            <v>17843327</v>
          </cell>
        </row>
        <row r="852">
          <cell r="A852" t="str">
            <v>Nov 2, 2021</v>
          </cell>
          <cell r="B852">
            <v>199.16</v>
          </cell>
          <cell r="C852">
            <v>14343859</v>
          </cell>
        </row>
        <row r="853">
          <cell r="A853" t="str">
            <v>Nov 1, 2021</v>
          </cell>
          <cell r="B853">
            <v>200.27</v>
          </cell>
          <cell r="C853">
            <v>23197539</v>
          </cell>
        </row>
        <row r="854">
          <cell r="A854" t="str">
            <v>Oct 29, 2021</v>
          </cell>
          <cell r="B854">
            <v>197.04</v>
          </cell>
          <cell r="C854">
            <v>26642108</v>
          </cell>
        </row>
        <row r="855">
          <cell r="A855" t="str">
            <v>Oct 28, 2021</v>
          </cell>
          <cell r="B855">
            <v>198.72</v>
          </cell>
          <cell r="C855">
            <v>46282465</v>
          </cell>
        </row>
        <row r="856">
          <cell r="A856" t="str">
            <v>Oct 27, 2021</v>
          </cell>
          <cell r="B856">
            <v>210.51</v>
          </cell>
          <cell r="C856">
            <v>25911499</v>
          </cell>
        </row>
        <row r="857">
          <cell r="A857" t="str">
            <v>Oct 26, 2021</v>
          </cell>
          <cell r="B857">
            <v>208.96</v>
          </cell>
          <cell r="C857">
            <v>18934170</v>
          </cell>
        </row>
        <row r="858">
          <cell r="A858" t="str">
            <v>Oct 25, 2021</v>
          </cell>
          <cell r="B858">
            <v>206.05</v>
          </cell>
          <cell r="C858">
            <v>22333919</v>
          </cell>
        </row>
        <row r="859">
          <cell r="A859" t="str">
            <v>Oct 22, 2021</v>
          </cell>
          <cell r="B859">
            <v>208.87</v>
          </cell>
          <cell r="C859">
            <v>35537151</v>
          </cell>
        </row>
        <row r="860">
          <cell r="A860" t="str">
            <v>Oct 21, 2021</v>
          </cell>
          <cell r="B860">
            <v>216.02</v>
          </cell>
          <cell r="C860">
            <v>22518727</v>
          </cell>
        </row>
        <row r="861">
          <cell r="A861" t="str">
            <v>Oct 20, 2021</v>
          </cell>
          <cell r="B861">
            <v>217.7</v>
          </cell>
          <cell r="C861">
            <v>47822165</v>
          </cell>
        </row>
        <row r="862">
          <cell r="A862" t="str">
            <v>Oct 19, 2021</v>
          </cell>
          <cell r="B862">
            <v>217.13</v>
          </cell>
          <cell r="C862">
            <v>59061766</v>
          </cell>
        </row>
        <row r="863">
          <cell r="A863" t="str">
            <v>Oct 18, 2021</v>
          </cell>
          <cell r="B863">
            <v>231.78</v>
          </cell>
          <cell r="C863">
            <v>60292901</v>
          </cell>
        </row>
        <row r="864">
          <cell r="A864" t="str">
            <v>Oct 14, 2021</v>
          </cell>
          <cell r="B864">
            <v>226.49</v>
          </cell>
          <cell r="C864">
            <v>85406902</v>
          </cell>
        </row>
        <row r="865">
          <cell r="A865" t="str">
            <v>Oct 13, 2021</v>
          </cell>
          <cell r="B865">
            <v>220</v>
          </cell>
          <cell r="C865">
            <v>50159625</v>
          </cell>
        </row>
        <row r="866">
          <cell r="A866" t="str">
            <v>Oct 12, 2021</v>
          </cell>
          <cell r="B866">
            <v>213.02</v>
          </cell>
          <cell r="C866">
            <v>29222028</v>
          </cell>
        </row>
        <row r="867">
          <cell r="A867" t="str">
            <v>Oct 11, 2021</v>
          </cell>
          <cell r="B867">
            <v>210.15</v>
          </cell>
          <cell r="C867">
            <v>21184428</v>
          </cell>
        </row>
        <row r="868">
          <cell r="A868" t="str">
            <v>Oct 8, 2021</v>
          </cell>
          <cell r="B868">
            <v>204.55</v>
          </cell>
          <cell r="C868">
            <v>9739240</v>
          </cell>
        </row>
        <row r="869">
          <cell r="A869" t="str">
            <v>Oct 7, 2021</v>
          </cell>
          <cell r="B869">
            <v>205.65</v>
          </cell>
          <cell r="C869">
            <v>10371535</v>
          </cell>
        </row>
        <row r="870">
          <cell r="A870" t="str">
            <v>Oct 6, 2021</v>
          </cell>
          <cell r="B870">
            <v>204.15</v>
          </cell>
          <cell r="C870">
            <v>17505160</v>
          </cell>
        </row>
        <row r="871">
          <cell r="A871" t="str">
            <v>Oct 5, 2021</v>
          </cell>
          <cell r="B871">
            <v>207.2</v>
          </cell>
          <cell r="C871">
            <v>9223597</v>
          </cell>
        </row>
        <row r="872">
          <cell r="A872" t="str">
            <v>Oct 4, 2021</v>
          </cell>
          <cell r="B872">
            <v>208.87</v>
          </cell>
          <cell r="C872">
            <v>10686552</v>
          </cell>
        </row>
        <row r="873">
          <cell r="A873" t="str">
            <v>Oct 1, 2021</v>
          </cell>
          <cell r="B873">
            <v>207.77</v>
          </cell>
          <cell r="C873">
            <v>15956143</v>
          </cell>
        </row>
        <row r="874">
          <cell r="A874" t="str">
            <v>Sep 30, 2021</v>
          </cell>
          <cell r="B874">
            <v>208.48</v>
          </cell>
          <cell r="C874">
            <v>16357902</v>
          </cell>
        </row>
        <row r="875">
          <cell r="A875" t="str">
            <v>Sep 29, 2021</v>
          </cell>
          <cell r="B875">
            <v>210.2</v>
          </cell>
          <cell r="C875">
            <v>15450046</v>
          </cell>
        </row>
        <row r="876">
          <cell r="A876" t="str">
            <v>Sep 28, 2021</v>
          </cell>
          <cell r="B876">
            <v>209.89</v>
          </cell>
          <cell r="C876">
            <v>15713947</v>
          </cell>
        </row>
        <row r="877">
          <cell r="A877" t="str">
            <v>Sep 27, 2021</v>
          </cell>
          <cell r="B877">
            <v>210.73</v>
          </cell>
          <cell r="C877">
            <v>22890540</v>
          </cell>
        </row>
        <row r="878">
          <cell r="A878" t="str">
            <v>Sep 24, 2021</v>
          </cell>
          <cell r="B878">
            <v>210.51</v>
          </cell>
          <cell r="C878">
            <v>24823291</v>
          </cell>
        </row>
        <row r="879">
          <cell r="A879" t="str">
            <v>Sep 23, 2021</v>
          </cell>
          <cell r="B879">
            <v>214.08</v>
          </cell>
          <cell r="C879">
            <v>21791090</v>
          </cell>
        </row>
        <row r="880">
          <cell r="A880" t="str">
            <v>Sep 22, 2021</v>
          </cell>
          <cell r="B880">
            <v>214.96</v>
          </cell>
          <cell r="C880">
            <v>52621868</v>
          </cell>
        </row>
        <row r="881">
          <cell r="A881" t="str">
            <v>Sep 21, 2021</v>
          </cell>
          <cell r="B881">
            <v>213.2</v>
          </cell>
          <cell r="C881">
            <v>56671832</v>
          </cell>
        </row>
        <row r="882">
          <cell r="A882" t="str">
            <v>Sep 20, 2021</v>
          </cell>
          <cell r="B882">
            <v>206.36</v>
          </cell>
          <cell r="C882">
            <v>70390969</v>
          </cell>
        </row>
        <row r="883">
          <cell r="A883" t="str">
            <v>Sep 17, 2021</v>
          </cell>
          <cell r="B883">
            <v>204.06</v>
          </cell>
          <cell r="C883">
            <v>79501805</v>
          </cell>
        </row>
        <row r="884">
          <cell r="A884" t="str">
            <v>Sep 16, 2021</v>
          </cell>
          <cell r="B884">
            <v>203.71</v>
          </cell>
          <cell r="C884">
            <v>149238901</v>
          </cell>
        </row>
        <row r="885">
          <cell r="A885" t="str">
            <v>Sep 15, 2021</v>
          </cell>
          <cell r="B885">
            <v>190.69</v>
          </cell>
          <cell r="C885">
            <v>20248758</v>
          </cell>
        </row>
        <row r="886">
          <cell r="A886" t="str">
            <v>Sep 14, 2021</v>
          </cell>
          <cell r="B886">
            <v>190.78</v>
          </cell>
          <cell r="C886">
            <v>19621849</v>
          </cell>
        </row>
        <row r="887">
          <cell r="A887" t="str">
            <v>Sep 13, 2021</v>
          </cell>
          <cell r="B887">
            <v>189.05</v>
          </cell>
          <cell r="C887">
            <v>16043896</v>
          </cell>
        </row>
        <row r="888">
          <cell r="A888" t="str">
            <v>Sep 9, 2021</v>
          </cell>
          <cell r="B888">
            <v>187.73</v>
          </cell>
          <cell r="C888">
            <v>19051252</v>
          </cell>
        </row>
        <row r="889">
          <cell r="A889" t="str">
            <v>Sep 8, 2021</v>
          </cell>
          <cell r="B889">
            <v>186.49</v>
          </cell>
          <cell r="C889">
            <v>17233315</v>
          </cell>
        </row>
        <row r="890">
          <cell r="A890" t="str">
            <v>Sep 7, 2021</v>
          </cell>
          <cell r="B890">
            <v>186.94</v>
          </cell>
          <cell r="C890">
            <v>37489544</v>
          </cell>
        </row>
        <row r="891">
          <cell r="A891" t="str">
            <v>Sep 6, 2021</v>
          </cell>
          <cell r="B891">
            <v>184.77</v>
          </cell>
          <cell r="C891">
            <v>10632156</v>
          </cell>
        </row>
        <row r="892">
          <cell r="A892" t="str">
            <v>Sep 3, 2021</v>
          </cell>
          <cell r="B892">
            <v>185.92</v>
          </cell>
          <cell r="C892">
            <v>10228853</v>
          </cell>
        </row>
        <row r="893">
          <cell r="A893" t="str">
            <v>Sep 2, 2021</v>
          </cell>
          <cell r="B893">
            <v>185.17</v>
          </cell>
          <cell r="C893">
            <v>14321164</v>
          </cell>
        </row>
        <row r="894">
          <cell r="A894" t="str">
            <v>Sep 1, 2021</v>
          </cell>
          <cell r="B894">
            <v>184.95</v>
          </cell>
          <cell r="C894">
            <v>16241960</v>
          </cell>
        </row>
        <row r="895">
          <cell r="A895" t="str">
            <v>Aug 31, 2021</v>
          </cell>
          <cell r="B895">
            <v>186.54</v>
          </cell>
          <cell r="C895">
            <v>25808430</v>
          </cell>
        </row>
        <row r="896">
          <cell r="A896" t="str">
            <v>Aug 30, 2021</v>
          </cell>
          <cell r="B896">
            <v>183.62</v>
          </cell>
          <cell r="C896">
            <v>12084844</v>
          </cell>
        </row>
        <row r="897">
          <cell r="A897" t="str">
            <v>Aug 27, 2021</v>
          </cell>
          <cell r="B897">
            <v>181.77</v>
          </cell>
          <cell r="C897">
            <v>10476384</v>
          </cell>
        </row>
        <row r="898">
          <cell r="A898" t="str">
            <v>Aug 26, 2021</v>
          </cell>
          <cell r="B898">
            <v>180.62</v>
          </cell>
          <cell r="C898">
            <v>14836173</v>
          </cell>
        </row>
        <row r="899">
          <cell r="A899" t="str">
            <v>Aug 25, 2021</v>
          </cell>
          <cell r="B899">
            <v>182.21</v>
          </cell>
          <cell r="C899">
            <v>10586894</v>
          </cell>
        </row>
        <row r="900">
          <cell r="A900" t="str">
            <v>Aug 24, 2021</v>
          </cell>
          <cell r="B900">
            <v>181.64</v>
          </cell>
          <cell r="C900">
            <v>12490094</v>
          </cell>
        </row>
        <row r="901">
          <cell r="A901" t="str">
            <v>Aug 23, 2021</v>
          </cell>
          <cell r="B901">
            <v>182.12</v>
          </cell>
          <cell r="C901">
            <v>9936365</v>
          </cell>
        </row>
        <row r="902">
          <cell r="A902" t="str">
            <v>Aug 20, 2021</v>
          </cell>
          <cell r="B902">
            <v>184.42</v>
          </cell>
          <cell r="C902">
            <v>19421004</v>
          </cell>
        </row>
        <row r="903">
          <cell r="A903" t="str">
            <v>Aug 18, 2021</v>
          </cell>
          <cell r="B903">
            <v>184.46</v>
          </cell>
          <cell r="C903">
            <v>10735658</v>
          </cell>
        </row>
        <row r="904">
          <cell r="A904" t="str">
            <v>Aug 17, 2021</v>
          </cell>
          <cell r="B904">
            <v>184.68</v>
          </cell>
          <cell r="C904">
            <v>7858486</v>
          </cell>
        </row>
        <row r="905">
          <cell r="A905" t="str">
            <v>Aug 16, 2021</v>
          </cell>
          <cell r="B905">
            <v>186.18</v>
          </cell>
          <cell r="C905">
            <v>11190075</v>
          </cell>
        </row>
        <row r="906">
          <cell r="A906" t="str">
            <v>Aug 13, 2021</v>
          </cell>
          <cell r="B906">
            <v>186.67</v>
          </cell>
          <cell r="C906">
            <v>18850939</v>
          </cell>
        </row>
        <row r="907">
          <cell r="A907" t="str">
            <v>Aug 12, 2021</v>
          </cell>
          <cell r="B907">
            <v>184.42</v>
          </cell>
          <cell r="C907">
            <v>27692208</v>
          </cell>
        </row>
        <row r="908">
          <cell r="A908" t="str">
            <v>Aug 11, 2021</v>
          </cell>
          <cell r="B908">
            <v>184.2</v>
          </cell>
          <cell r="C908">
            <v>15418634</v>
          </cell>
        </row>
        <row r="909">
          <cell r="A909" t="str">
            <v>Aug 10, 2021</v>
          </cell>
          <cell r="B909">
            <v>185.26</v>
          </cell>
          <cell r="C909">
            <v>18155926</v>
          </cell>
        </row>
        <row r="910">
          <cell r="A910" t="str">
            <v>Aug 9, 2021</v>
          </cell>
          <cell r="B910">
            <v>188.74</v>
          </cell>
          <cell r="C910">
            <v>20358146</v>
          </cell>
        </row>
        <row r="911">
          <cell r="A911" t="str">
            <v>Aug 6, 2021</v>
          </cell>
          <cell r="B911">
            <v>189.14</v>
          </cell>
          <cell r="C911">
            <v>23581637</v>
          </cell>
        </row>
        <row r="912">
          <cell r="A912" t="str">
            <v>Aug 5, 2021</v>
          </cell>
          <cell r="B912">
            <v>190.02</v>
          </cell>
          <cell r="C912">
            <v>47178466</v>
          </cell>
        </row>
        <row r="913">
          <cell r="A913" t="str">
            <v>Aug 4, 2021</v>
          </cell>
          <cell r="B913">
            <v>184.15</v>
          </cell>
          <cell r="C913">
            <v>10998260</v>
          </cell>
        </row>
        <row r="914">
          <cell r="A914" t="str">
            <v>Aug 3, 2021</v>
          </cell>
          <cell r="B914">
            <v>185.3</v>
          </cell>
          <cell r="C914">
            <v>18468527</v>
          </cell>
        </row>
        <row r="915">
          <cell r="A915" t="str">
            <v>Aug 2, 2021</v>
          </cell>
          <cell r="B915">
            <v>183.01</v>
          </cell>
          <cell r="C915">
            <v>9674128</v>
          </cell>
        </row>
        <row r="916">
          <cell r="A916" t="str">
            <v>Jul 30, 2021</v>
          </cell>
          <cell r="B916">
            <v>180.93</v>
          </cell>
          <cell r="C916">
            <v>14940336</v>
          </cell>
        </row>
        <row r="917">
          <cell r="A917" t="str">
            <v>Jul 29, 2021</v>
          </cell>
          <cell r="B917">
            <v>181.9</v>
          </cell>
          <cell r="C917">
            <v>15603733</v>
          </cell>
        </row>
        <row r="918">
          <cell r="A918" t="str">
            <v>Jul 28, 2021</v>
          </cell>
          <cell r="B918">
            <v>184.6</v>
          </cell>
          <cell r="C918">
            <v>14736840</v>
          </cell>
        </row>
        <row r="919">
          <cell r="A919" t="str">
            <v>Jul 27, 2021</v>
          </cell>
          <cell r="B919">
            <v>184.2</v>
          </cell>
          <cell r="C919">
            <v>24436949</v>
          </cell>
        </row>
        <row r="920">
          <cell r="A920" t="str">
            <v>Jul 26, 2021</v>
          </cell>
          <cell r="B920">
            <v>186.41</v>
          </cell>
          <cell r="C920">
            <v>47263771</v>
          </cell>
        </row>
        <row r="921">
          <cell r="A921" t="str">
            <v>Jul 23, 2021</v>
          </cell>
          <cell r="B921">
            <v>187.51</v>
          </cell>
          <cell r="C921">
            <v>44526781</v>
          </cell>
        </row>
        <row r="922">
          <cell r="A922" t="str">
            <v>Jul 22, 2021</v>
          </cell>
          <cell r="B922">
            <v>182.74</v>
          </cell>
          <cell r="C922">
            <v>18311537</v>
          </cell>
        </row>
        <row r="923">
          <cell r="A923" t="str">
            <v>Jul 20, 2021</v>
          </cell>
          <cell r="B923">
            <v>182.57</v>
          </cell>
          <cell r="C923">
            <v>23656813</v>
          </cell>
        </row>
        <row r="924">
          <cell r="A924" t="str">
            <v>Jul 19, 2021</v>
          </cell>
          <cell r="B924">
            <v>183.4</v>
          </cell>
          <cell r="C924">
            <v>16464973</v>
          </cell>
        </row>
        <row r="925">
          <cell r="A925" t="str">
            <v>Jul 16, 2021</v>
          </cell>
          <cell r="B925">
            <v>183.54</v>
          </cell>
          <cell r="C925">
            <v>29019824</v>
          </cell>
        </row>
        <row r="926">
          <cell r="A926" t="str">
            <v>Jul 15, 2021</v>
          </cell>
          <cell r="B926">
            <v>182.08</v>
          </cell>
          <cell r="C926">
            <v>28852257</v>
          </cell>
        </row>
        <row r="927">
          <cell r="A927" t="str">
            <v>Jul 14, 2021</v>
          </cell>
          <cell r="B927">
            <v>180.18</v>
          </cell>
          <cell r="C927">
            <v>20480406</v>
          </cell>
        </row>
        <row r="928">
          <cell r="A928" t="str">
            <v>Jul 13, 2021</v>
          </cell>
          <cell r="B928">
            <v>178.2</v>
          </cell>
          <cell r="C928">
            <v>10830411</v>
          </cell>
        </row>
        <row r="929">
          <cell r="A929" t="str">
            <v>Jul 12, 2021</v>
          </cell>
          <cell r="B929">
            <v>177.53</v>
          </cell>
          <cell r="C929">
            <v>13085323</v>
          </cell>
        </row>
        <row r="930">
          <cell r="A930" t="str">
            <v>Jul 9, 2021</v>
          </cell>
          <cell r="B930">
            <v>177.75</v>
          </cell>
          <cell r="C930">
            <v>11834045</v>
          </cell>
        </row>
        <row r="931">
          <cell r="A931" t="str">
            <v>Jul 8, 2021</v>
          </cell>
          <cell r="B931">
            <v>178.33</v>
          </cell>
          <cell r="C931">
            <v>20925008</v>
          </cell>
        </row>
        <row r="932">
          <cell r="A932" t="str">
            <v>Jul 7, 2021</v>
          </cell>
          <cell r="B932">
            <v>179.87</v>
          </cell>
          <cell r="C932">
            <v>17879443</v>
          </cell>
        </row>
        <row r="933">
          <cell r="A933" t="str">
            <v>Jul 6, 2021</v>
          </cell>
          <cell r="B933">
            <v>178.77</v>
          </cell>
          <cell r="C933">
            <v>11088659</v>
          </cell>
        </row>
        <row r="934">
          <cell r="A934" t="str">
            <v>Jul 5, 2021</v>
          </cell>
          <cell r="B934">
            <v>179.78</v>
          </cell>
          <cell r="C934">
            <v>10248249</v>
          </cell>
        </row>
        <row r="935">
          <cell r="A935" t="str">
            <v>Jul 2, 2021</v>
          </cell>
          <cell r="B935">
            <v>178.68</v>
          </cell>
          <cell r="C935">
            <v>12698779</v>
          </cell>
        </row>
        <row r="936">
          <cell r="A936" t="str">
            <v>Jul 1, 2021</v>
          </cell>
          <cell r="B936">
            <v>179.21</v>
          </cell>
          <cell r="C936">
            <v>10191296</v>
          </cell>
        </row>
        <row r="937">
          <cell r="A937" t="str">
            <v>Jun 30, 2021</v>
          </cell>
          <cell r="B937">
            <v>178.95</v>
          </cell>
          <cell r="C937">
            <v>15942408</v>
          </cell>
        </row>
        <row r="938">
          <cell r="A938" t="str">
            <v>Jun 29, 2021</v>
          </cell>
          <cell r="B938">
            <v>179.48</v>
          </cell>
          <cell r="C938">
            <v>13326068</v>
          </cell>
        </row>
        <row r="939">
          <cell r="A939" t="str">
            <v>Jun 28, 2021</v>
          </cell>
          <cell r="B939">
            <v>179.74</v>
          </cell>
          <cell r="C939">
            <v>14627153</v>
          </cell>
        </row>
        <row r="940">
          <cell r="A940" t="str">
            <v>Jun 25, 2021</v>
          </cell>
          <cell r="B940">
            <v>181.02</v>
          </cell>
          <cell r="C940">
            <v>13877208</v>
          </cell>
        </row>
        <row r="941">
          <cell r="A941" t="str">
            <v>Jun 24, 2021</v>
          </cell>
          <cell r="B941">
            <v>179.43</v>
          </cell>
          <cell r="C941">
            <v>22435272</v>
          </cell>
        </row>
        <row r="942">
          <cell r="A942" t="str">
            <v>Jun 23, 2021</v>
          </cell>
          <cell r="B942">
            <v>180.05</v>
          </cell>
          <cell r="C942">
            <v>12575210</v>
          </cell>
        </row>
        <row r="943">
          <cell r="A943" t="str">
            <v>Jun 22, 2021</v>
          </cell>
          <cell r="B943">
            <v>181.06</v>
          </cell>
          <cell r="C943">
            <v>18042675</v>
          </cell>
        </row>
        <row r="944">
          <cell r="A944" t="str">
            <v>Jun 21, 2021</v>
          </cell>
          <cell r="B944">
            <v>180.49</v>
          </cell>
          <cell r="C944">
            <v>19074685</v>
          </cell>
        </row>
        <row r="945">
          <cell r="A945" t="str">
            <v>Jun 18, 2021</v>
          </cell>
          <cell r="B945">
            <v>180.58</v>
          </cell>
          <cell r="C945">
            <v>23567549</v>
          </cell>
        </row>
        <row r="946">
          <cell r="A946" t="str">
            <v>Jun 17, 2021</v>
          </cell>
          <cell r="B946">
            <v>181.55</v>
          </cell>
          <cell r="C946">
            <v>21476893</v>
          </cell>
        </row>
        <row r="947">
          <cell r="A947" t="str">
            <v>Jun 16, 2021</v>
          </cell>
          <cell r="B947">
            <v>183.49</v>
          </cell>
          <cell r="C947">
            <v>20104244</v>
          </cell>
        </row>
        <row r="948">
          <cell r="A948" t="str">
            <v>Jun 15, 2021</v>
          </cell>
          <cell r="B948">
            <v>182.79</v>
          </cell>
          <cell r="C948">
            <v>14854294</v>
          </cell>
        </row>
        <row r="949">
          <cell r="A949" t="str">
            <v>Jun 14, 2021</v>
          </cell>
          <cell r="B949">
            <v>183.01</v>
          </cell>
          <cell r="C949">
            <v>17677889</v>
          </cell>
        </row>
        <row r="950">
          <cell r="A950" t="str">
            <v>Jun 11, 2021</v>
          </cell>
          <cell r="B950">
            <v>183.54</v>
          </cell>
          <cell r="C950">
            <v>21424291</v>
          </cell>
        </row>
        <row r="951">
          <cell r="A951" t="str">
            <v>Jun 10, 2021</v>
          </cell>
          <cell r="B951">
            <v>184.77</v>
          </cell>
          <cell r="C951">
            <v>30719587</v>
          </cell>
        </row>
        <row r="952">
          <cell r="A952" t="str">
            <v>Jun 9, 2021</v>
          </cell>
          <cell r="B952">
            <v>182.52</v>
          </cell>
          <cell r="C952">
            <v>24887924</v>
          </cell>
        </row>
        <row r="953">
          <cell r="A953" t="str">
            <v>Jun 8, 2021</v>
          </cell>
          <cell r="B953">
            <v>183.51</v>
          </cell>
          <cell r="C953">
            <v>21261361</v>
          </cell>
        </row>
        <row r="954">
          <cell r="A954" t="str">
            <v>Jun 7, 2021</v>
          </cell>
          <cell r="B954">
            <v>181.62</v>
          </cell>
          <cell r="C954">
            <v>31433280</v>
          </cell>
        </row>
        <row r="955">
          <cell r="A955" t="str">
            <v>Jun 4, 2021</v>
          </cell>
          <cell r="B955">
            <v>179.3</v>
          </cell>
          <cell r="C955">
            <v>30126021</v>
          </cell>
        </row>
        <row r="956">
          <cell r="A956" t="str">
            <v>Jun 3, 2021</v>
          </cell>
          <cell r="B956">
            <v>179.56</v>
          </cell>
          <cell r="C956">
            <v>46657520</v>
          </cell>
        </row>
        <row r="957">
          <cell r="A957" t="str">
            <v>Jun 2, 2021</v>
          </cell>
          <cell r="B957">
            <v>179.51</v>
          </cell>
          <cell r="C957">
            <v>96654991</v>
          </cell>
        </row>
        <row r="958">
          <cell r="A958" t="str">
            <v>Jun 1, 2021</v>
          </cell>
          <cell r="B958">
            <v>184.88</v>
          </cell>
          <cell r="C958">
            <v>38755111</v>
          </cell>
        </row>
        <row r="959">
          <cell r="A959" t="str">
            <v>May 31, 2021</v>
          </cell>
          <cell r="B959">
            <v>186.04</v>
          </cell>
          <cell r="C959">
            <v>73039531</v>
          </cell>
        </row>
        <row r="960">
          <cell r="A960" t="str">
            <v>May 28, 2021</v>
          </cell>
          <cell r="B960">
            <v>182.86</v>
          </cell>
          <cell r="C960">
            <v>25597550</v>
          </cell>
        </row>
        <row r="961">
          <cell r="A961" t="str">
            <v>May 27, 2021</v>
          </cell>
          <cell r="B961">
            <v>181.36</v>
          </cell>
          <cell r="C961">
            <v>47554219</v>
          </cell>
        </row>
        <row r="962">
          <cell r="A962" t="str">
            <v>May 26, 2021</v>
          </cell>
          <cell r="B962">
            <v>180.89</v>
          </cell>
          <cell r="C962">
            <v>17576137</v>
          </cell>
        </row>
        <row r="963">
          <cell r="A963" t="str">
            <v>May 25, 2021</v>
          </cell>
          <cell r="B963">
            <v>181.15</v>
          </cell>
          <cell r="C963">
            <v>25334878</v>
          </cell>
        </row>
        <row r="964">
          <cell r="A964" t="str">
            <v>May 24, 2021</v>
          </cell>
          <cell r="B964">
            <v>181.66</v>
          </cell>
          <cell r="C964">
            <v>28865798</v>
          </cell>
        </row>
        <row r="965">
          <cell r="A965" t="str">
            <v>May 21, 2021</v>
          </cell>
          <cell r="B965">
            <v>179.56</v>
          </cell>
          <cell r="C965">
            <v>22638020</v>
          </cell>
        </row>
        <row r="966">
          <cell r="A966" t="str">
            <v>May 20, 2021</v>
          </cell>
          <cell r="B966">
            <v>177.8</v>
          </cell>
          <cell r="C966">
            <v>20884367</v>
          </cell>
        </row>
        <row r="967">
          <cell r="A967" t="str">
            <v>May 19, 2021</v>
          </cell>
          <cell r="B967">
            <v>178.44</v>
          </cell>
          <cell r="C967">
            <v>24405319</v>
          </cell>
        </row>
        <row r="968">
          <cell r="A968" t="str">
            <v>May 18, 2021</v>
          </cell>
          <cell r="B968">
            <v>180.42</v>
          </cell>
          <cell r="C968">
            <v>30479551</v>
          </cell>
        </row>
        <row r="969">
          <cell r="A969" t="str">
            <v>May 17, 2021</v>
          </cell>
          <cell r="B969">
            <v>182.61</v>
          </cell>
          <cell r="C969">
            <v>38001828</v>
          </cell>
        </row>
        <row r="970">
          <cell r="A970" t="str">
            <v>May 14, 2021</v>
          </cell>
          <cell r="B970">
            <v>182.31</v>
          </cell>
          <cell r="C970">
            <v>61647120</v>
          </cell>
        </row>
        <row r="971">
          <cell r="A971" t="str">
            <v>May 12, 2021</v>
          </cell>
          <cell r="B971">
            <v>174.58</v>
          </cell>
          <cell r="C971">
            <v>16537612</v>
          </cell>
        </row>
        <row r="972">
          <cell r="A972" t="str">
            <v>May 11, 2021</v>
          </cell>
          <cell r="B972">
            <v>175.22</v>
          </cell>
          <cell r="C972">
            <v>13747541</v>
          </cell>
        </row>
        <row r="973">
          <cell r="A973" t="str">
            <v>May 10, 2021</v>
          </cell>
          <cell r="B973">
            <v>176.55</v>
          </cell>
          <cell r="C973">
            <v>16295368</v>
          </cell>
        </row>
        <row r="974">
          <cell r="A974" t="str">
            <v>May 7, 2021</v>
          </cell>
          <cell r="B974">
            <v>176.38</v>
          </cell>
          <cell r="C974">
            <v>19463495</v>
          </cell>
        </row>
        <row r="975">
          <cell r="A975" t="str">
            <v>May 6, 2021</v>
          </cell>
          <cell r="B975">
            <v>174.15</v>
          </cell>
          <cell r="C975">
            <v>14320889</v>
          </cell>
        </row>
        <row r="976">
          <cell r="A976" t="str">
            <v>May 5, 2021</v>
          </cell>
          <cell r="B976">
            <v>172.99</v>
          </cell>
          <cell r="C976">
            <v>13862655</v>
          </cell>
        </row>
        <row r="977">
          <cell r="A977" t="str">
            <v>May 4, 2021</v>
          </cell>
          <cell r="B977">
            <v>171.44</v>
          </cell>
          <cell r="C977">
            <v>18259282</v>
          </cell>
        </row>
        <row r="978">
          <cell r="A978" t="str">
            <v>May 3, 2021</v>
          </cell>
          <cell r="B978">
            <v>172.6</v>
          </cell>
          <cell r="C978">
            <v>20611626</v>
          </cell>
        </row>
        <row r="979">
          <cell r="A979" t="str">
            <v>Apr 30, 2021</v>
          </cell>
          <cell r="B979">
            <v>174.02</v>
          </cell>
          <cell r="C979">
            <v>16495657</v>
          </cell>
        </row>
        <row r="980">
          <cell r="A980" t="str">
            <v>Apr 29, 2021</v>
          </cell>
          <cell r="B980">
            <v>175.48</v>
          </cell>
          <cell r="C980">
            <v>13096755</v>
          </cell>
        </row>
        <row r="981">
          <cell r="A981" t="str">
            <v>Apr 28, 2021</v>
          </cell>
          <cell r="B981">
            <v>176.51</v>
          </cell>
          <cell r="C981">
            <v>12708021</v>
          </cell>
        </row>
        <row r="982">
          <cell r="A982" t="str">
            <v>Apr 27, 2021</v>
          </cell>
          <cell r="B982">
            <v>176.42</v>
          </cell>
          <cell r="C982">
            <v>11444814</v>
          </cell>
        </row>
        <row r="983">
          <cell r="A983" t="str">
            <v>Apr 26, 2021</v>
          </cell>
          <cell r="B983">
            <v>176.34</v>
          </cell>
          <cell r="C983">
            <v>19886214</v>
          </cell>
        </row>
        <row r="984">
          <cell r="A984" t="str">
            <v>Apr 23, 2021</v>
          </cell>
          <cell r="B984">
            <v>176.38</v>
          </cell>
          <cell r="C984">
            <v>19625381</v>
          </cell>
        </row>
        <row r="985">
          <cell r="A985" t="str">
            <v>Apr 22, 2021</v>
          </cell>
          <cell r="B985">
            <v>176.85</v>
          </cell>
          <cell r="C985">
            <v>23139735</v>
          </cell>
        </row>
        <row r="986">
          <cell r="A986" t="str">
            <v>Apr 20, 2021</v>
          </cell>
          <cell r="B986">
            <v>174.83</v>
          </cell>
          <cell r="C986">
            <v>21364882</v>
          </cell>
        </row>
        <row r="987">
          <cell r="A987" t="str">
            <v>Apr 19, 2021</v>
          </cell>
          <cell r="B987">
            <v>176.59</v>
          </cell>
          <cell r="C987">
            <v>15792299</v>
          </cell>
        </row>
        <row r="988">
          <cell r="A988" t="str">
            <v>Apr 16, 2021</v>
          </cell>
          <cell r="B988">
            <v>178.61</v>
          </cell>
          <cell r="C988">
            <v>13311926</v>
          </cell>
        </row>
        <row r="989">
          <cell r="A989" t="str">
            <v>Apr 15, 2021</v>
          </cell>
          <cell r="B989">
            <v>177.54</v>
          </cell>
          <cell r="C989">
            <v>17530742</v>
          </cell>
        </row>
        <row r="990">
          <cell r="A990" t="str">
            <v>Apr 13, 2021</v>
          </cell>
          <cell r="B990">
            <v>179.26</v>
          </cell>
          <cell r="C990">
            <v>20247639</v>
          </cell>
        </row>
        <row r="991">
          <cell r="A991" t="str">
            <v>Apr 12, 2021</v>
          </cell>
          <cell r="B991">
            <v>176.34</v>
          </cell>
          <cell r="C991">
            <v>34511670</v>
          </cell>
        </row>
        <row r="992">
          <cell r="A992" t="str">
            <v>Apr 9, 2021</v>
          </cell>
          <cell r="B992">
            <v>183.04</v>
          </cell>
          <cell r="C992">
            <v>16364247</v>
          </cell>
        </row>
        <row r="993">
          <cell r="A993" t="str">
            <v>Apr 8, 2021</v>
          </cell>
          <cell r="B993">
            <v>183.17</v>
          </cell>
          <cell r="C993">
            <v>14116874</v>
          </cell>
        </row>
        <row r="994">
          <cell r="A994" t="str">
            <v>Apr 7, 2021</v>
          </cell>
          <cell r="B994">
            <v>183.64</v>
          </cell>
          <cell r="C994">
            <v>15204883</v>
          </cell>
        </row>
        <row r="995">
          <cell r="A995" t="str">
            <v>Apr 6, 2021</v>
          </cell>
          <cell r="B995">
            <v>182.65</v>
          </cell>
          <cell r="C995">
            <v>25674227</v>
          </cell>
        </row>
        <row r="996">
          <cell r="A996" t="str">
            <v>Apr 5, 2021</v>
          </cell>
          <cell r="B996">
            <v>182.56</v>
          </cell>
          <cell r="C996">
            <v>31378045</v>
          </cell>
        </row>
        <row r="997">
          <cell r="A997" t="str">
            <v>Apr 1, 2021</v>
          </cell>
          <cell r="B997">
            <v>189.01</v>
          </cell>
          <cell r="C997">
            <v>29062762</v>
          </cell>
        </row>
        <row r="998">
          <cell r="A998" t="str">
            <v>Mar 31, 2021</v>
          </cell>
          <cell r="B998">
            <v>187.67</v>
          </cell>
          <cell r="C998">
            <v>36485322</v>
          </cell>
        </row>
        <row r="999">
          <cell r="A999" t="str">
            <v>Mar 30, 2021</v>
          </cell>
          <cell r="B999">
            <v>184.28</v>
          </cell>
          <cell r="C999">
            <v>27792033</v>
          </cell>
        </row>
        <row r="1000">
          <cell r="A1000" t="str">
            <v>Mar 26, 2021</v>
          </cell>
          <cell r="B1000">
            <v>181.15</v>
          </cell>
          <cell r="C1000">
            <v>26079435</v>
          </cell>
        </row>
        <row r="1001">
          <cell r="A1001" t="str">
            <v>Mar 25, 2021</v>
          </cell>
          <cell r="B1001">
            <v>181.75</v>
          </cell>
          <cell r="C1001">
            <v>40681282</v>
          </cell>
        </row>
        <row r="1002">
          <cell r="A1002" t="str">
            <v>Mar 24, 2021</v>
          </cell>
          <cell r="B1002">
            <v>185.48</v>
          </cell>
          <cell r="C1002">
            <v>27609243</v>
          </cell>
        </row>
        <row r="1003">
          <cell r="A1003" t="str">
            <v>Mar 23, 2021</v>
          </cell>
          <cell r="B1003">
            <v>190.85</v>
          </cell>
          <cell r="C1003">
            <v>41564683</v>
          </cell>
        </row>
        <row r="1004">
          <cell r="A1004" t="str">
            <v>Mar 22, 2021</v>
          </cell>
          <cell r="B1004">
            <v>194.12</v>
          </cell>
          <cell r="C1004">
            <v>46050245</v>
          </cell>
        </row>
        <row r="1005">
          <cell r="A1005" t="str">
            <v>Mar 19, 2021</v>
          </cell>
          <cell r="B1005">
            <v>191.5</v>
          </cell>
          <cell r="C1005">
            <v>134184994</v>
          </cell>
        </row>
        <row r="1006">
          <cell r="A1006" t="str">
            <v>Mar 18, 2021</v>
          </cell>
          <cell r="B1006">
            <v>186.94</v>
          </cell>
          <cell r="C1006">
            <v>91993104</v>
          </cell>
        </row>
        <row r="1007">
          <cell r="A1007" t="str">
            <v>Mar 17, 2021</v>
          </cell>
          <cell r="B1007">
            <v>180.89</v>
          </cell>
          <cell r="C1007">
            <v>78578698</v>
          </cell>
        </row>
        <row r="1008">
          <cell r="A1008" t="str">
            <v>Mar 16, 2021</v>
          </cell>
          <cell r="B1008">
            <v>178.53</v>
          </cell>
          <cell r="C1008">
            <v>48763187</v>
          </cell>
        </row>
        <row r="1009">
          <cell r="A1009" t="str">
            <v>Mar 15, 2021</v>
          </cell>
          <cell r="B1009">
            <v>176.47</v>
          </cell>
          <cell r="C1009">
            <v>41115805</v>
          </cell>
        </row>
        <row r="1010">
          <cell r="A1010" t="str">
            <v>Mar 12, 2021</v>
          </cell>
          <cell r="B1010">
            <v>176.25</v>
          </cell>
          <cell r="C1010">
            <v>30787960</v>
          </cell>
        </row>
        <row r="1011">
          <cell r="A1011" t="str">
            <v>Mar 10, 2021</v>
          </cell>
          <cell r="B1011">
            <v>177.37</v>
          </cell>
          <cell r="C1011">
            <v>19603214</v>
          </cell>
        </row>
        <row r="1012">
          <cell r="A1012" t="str">
            <v>Mar 9, 2021</v>
          </cell>
          <cell r="B1012">
            <v>178.48</v>
          </cell>
          <cell r="C1012">
            <v>22593086</v>
          </cell>
        </row>
        <row r="1013">
          <cell r="A1013" t="str">
            <v>Mar 8, 2021</v>
          </cell>
          <cell r="B1013">
            <v>178.66</v>
          </cell>
          <cell r="C1013">
            <v>22988740</v>
          </cell>
        </row>
        <row r="1014">
          <cell r="A1014" t="str">
            <v>Mar 5, 2021</v>
          </cell>
          <cell r="B1014">
            <v>179.13</v>
          </cell>
          <cell r="C1014">
            <v>17323590</v>
          </cell>
        </row>
        <row r="1015">
          <cell r="A1015" t="str">
            <v>Mar 4, 2021</v>
          </cell>
          <cell r="B1015">
            <v>180.12</v>
          </cell>
          <cell r="C1015">
            <v>24899212</v>
          </cell>
        </row>
        <row r="1016">
          <cell r="A1016" t="str">
            <v>Mar 3, 2021</v>
          </cell>
          <cell r="B1016">
            <v>180.33</v>
          </cell>
          <cell r="C1016">
            <v>20846117</v>
          </cell>
        </row>
        <row r="1017">
          <cell r="A1017" t="str">
            <v>Mar 2, 2021</v>
          </cell>
          <cell r="B1017">
            <v>180.29</v>
          </cell>
          <cell r="C1017">
            <v>25604169</v>
          </cell>
        </row>
        <row r="1018">
          <cell r="A1018" t="str">
            <v>Mar 1, 2021</v>
          </cell>
          <cell r="B1018">
            <v>177.71</v>
          </cell>
          <cell r="C1018">
            <v>16225536</v>
          </cell>
        </row>
        <row r="1019">
          <cell r="A1019" t="str">
            <v>Feb 26, 2021</v>
          </cell>
          <cell r="B1019">
            <v>175.09</v>
          </cell>
          <cell r="C1019">
            <v>43429293</v>
          </cell>
        </row>
        <row r="1020">
          <cell r="A1020" t="str">
            <v>Feb 25, 2021</v>
          </cell>
          <cell r="B1020">
            <v>179.64</v>
          </cell>
          <cell r="C1020">
            <v>25954142</v>
          </cell>
        </row>
        <row r="1021">
          <cell r="A1021" t="str">
            <v>Feb 24, 2021</v>
          </cell>
          <cell r="B1021">
            <v>179.39</v>
          </cell>
          <cell r="C1021">
            <v>13160617</v>
          </cell>
        </row>
        <row r="1022">
          <cell r="A1022" t="str">
            <v>Feb 23, 2021</v>
          </cell>
          <cell r="B1022">
            <v>179.09</v>
          </cell>
          <cell r="C1022">
            <v>26675953</v>
          </cell>
        </row>
        <row r="1023">
          <cell r="A1023" t="str">
            <v>Feb 22, 2021</v>
          </cell>
          <cell r="B1023">
            <v>177.84</v>
          </cell>
          <cell r="C1023">
            <v>51546288</v>
          </cell>
        </row>
        <row r="1024">
          <cell r="A1024" t="str">
            <v>Feb 19, 2021</v>
          </cell>
          <cell r="B1024">
            <v>181.19</v>
          </cell>
          <cell r="C1024">
            <v>28125203</v>
          </cell>
        </row>
        <row r="1025">
          <cell r="A1025" t="str">
            <v>Feb 18, 2021</v>
          </cell>
          <cell r="B1025">
            <v>183.62</v>
          </cell>
          <cell r="C1025">
            <v>24070563</v>
          </cell>
        </row>
        <row r="1026">
          <cell r="A1026" t="str">
            <v>Feb 17, 2021</v>
          </cell>
          <cell r="B1026">
            <v>182.7</v>
          </cell>
          <cell r="C1026">
            <v>19850516</v>
          </cell>
        </row>
        <row r="1027">
          <cell r="A1027" t="str">
            <v>Feb 16, 2021</v>
          </cell>
          <cell r="B1027">
            <v>183.12</v>
          </cell>
          <cell r="C1027">
            <v>29148891</v>
          </cell>
        </row>
        <row r="1028">
          <cell r="A1028" t="str">
            <v>Feb 15, 2021</v>
          </cell>
          <cell r="B1028">
            <v>183.41</v>
          </cell>
          <cell r="C1028">
            <v>31776555</v>
          </cell>
        </row>
        <row r="1029">
          <cell r="A1029" t="str">
            <v>Feb 12, 2021</v>
          </cell>
          <cell r="B1029">
            <v>182.45</v>
          </cell>
          <cell r="C1029">
            <v>110568108</v>
          </cell>
        </row>
        <row r="1030">
          <cell r="A1030" t="str">
            <v>Feb 11, 2021</v>
          </cell>
          <cell r="B1030">
            <v>190</v>
          </cell>
          <cell r="C1030">
            <v>43631374</v>
          </cell>
        </row>
        <row r="1031">
          <cell r="A1031" t="str">
            <v>Feb 10, 2021</v>
          </cell>
          <cell r="B1031">
            <v>190.92</v>
          </cell>
          <cell r="C1031">
            <v>47283127</v>
          </cell>
        </row>
        <row r="1032">
          <cell r="A1032" t="str">
            <v>Feb 9, 2021</v>
          </cell>
          <cell r="B1032">
            <v>192.14</v>
          </cell>
          <cell r="C1032">
            <v>70655961</v>
          </cell>
        </row>
        <row r="1033">
          <cell r="A1033" t="str">
            <v>Feb 8, 2021</v>
          </cell>
          <cell r="B1033">
            <v>195.58</v>
          </cell>
          <cell r="C1033">
            <v>41495834</v>
          </cell>
        </row>
        <row r="1034">
          <cell r="A1034" t="str">
            <v>Feb 5, 2021</v>
          </cell>
          <cell r="B1034">
            <v>196.63</v>
          </cell>
          <cell r="C1034">
            <v>125490301</v>
          </cell>
        </row>
        <row r="1035">
          <cell r="A1035" t="str">
            <v>Feb 4, 2021</v>
          </cell>
          <cell r="B1035">
            <v>192.94</v>
          </cell>
          <cell r="C1035">
            <v>105818897</v>
          </cell>
        </row>
        <row r="1036">
          <cell r="A1036" t="str">
            <v>Feb 3, 2021</v>
          </cell>
          <cell r="B1036">
            <v>181.86</v>
          </cell>
          <cell r="C1036">
            <v>53643263</v>
          </cell>
        </row>
        <row r="1037">
          <cell r="A1037" t="str">
            <v>Feb 2, 2021</v>
          </cell>
          <cell r="B1037">
            <v>183.08</v>
          </cell>
          <cell r="C1037">
            <v>48457781</v>
          </cell>
        </row>
        <row r="1038">
          <cell r="A1038" t="str">
            <v>Feb 1, 2021</v>
          </cell>
          <cell r="B1038">
            <v>181.19</v>
          </cell>
          <cell r="C1038">
            <v>57744414</v>
          </cell>
        </row>
        <row r="1039">
          <cell r="A1039" t="str">
            <v>Jan 29, 2021</v>
          </cell>
          <cell r="B1039">
            <v>170.53</v>
          </cell>
          <cell r="C1039">
            <v>23764654</v>
          </cell>
        </row>
        <row r="1040">
          <cell r="A1040" t="str">
            <v>Jan 28, 2021</v>
          </cell>
          <cell r="B1040">
            <v>173.34</v>
          </cell>
          <cell r="C1040">
            <v>22131983</v>
          </cell>
        </row>
        <row r="1041">
          <cell r="A1041" t="str">
            <v>Jan 27, 2021</v>
          </cell>
          <cell r="B1041">
            <v>176.74</v>
          </cell>
          <cell r="C1041">
            <v>48471357</v>
          </cell>
        </row>
        <row r="1042">
          <cell r="A1042" t="str">
            <v>Jan 25, 2021</v>
          </cell>
          <cell r="B1042">
            <v>174.35</v>
          </cell>
          <cell r="C1042">
            <v>24967899</v>
          </cell>
        </row>
        <row r="1043">
          <cell r="A1043" t="str">
            <v>Jan 22, 2021</v>
          </cell>
          <cell r="B1043">
            <v>176.78</v>
          </cell>
          <cell r="C1043">
            <v>24712182</v>
          </cell>
        </row>
        <row r="1044">
          <cell r="A1044" t="str">
            <v>Jan 21, 2021</v>
          </cell>
          <cell r="B1044">
            <v>179.3</v>
          </cell>
          <cell r="C1044">
            <v>28999164</v>
          </cell>
        </row>
        <row r="1045">
          <cell r="A1045" t="str">
            <v>Jan 20, 2021</v>
          </cell>
          <cell r="B1045">
            <v>182.62</v>
          </cell>
          <cell r="C1045">
            <v>44672447</v>
          </cell>
        </row>
        <row r="1046">
          <cell r="A1046" t="str">
            <v>Jan 19, 2021</v>
          </cell>
          <cell r="B1046">
            <v>183.62</v>
          </cell>
          <cell r="C1046">
            <v>31785089</v>
          </cell>
        </row>
        <row r="1047">
          <cell r="A1047" t="str">
            <v>Jan 18, 2021</v>
          </cell>
          <cell r="B1047">
            <v>184.38</v>
          </cell>
          <cell r="C1047">
            <v>67607822</v>
          </cell>
        </row>
        <row r="1048">
          <cell r="A1048" t="str">
            <v>Jan 15, 2021</v>
          </cell>
          <cell r="B1048">
            <v>182.78</v>
          </cell>
          <cell r="C1048">
            <v>58321158</v>
          </cell>
        </row>
        <row r="1049">
          <cell r="A1049" t="str">
            <v>Jan 14, 2021</v>
          </cell>
          <cell r="B1049">
            <v>179.68</v>
          </cell>
          <cell r="C1049">
            <v>48304263</v>
          </cell>
        </row>
        <row r="1050">
          <cell r="A1050" t="str">
            <v>Jan 13, 2021</v>
          </cell>
          <cell r="B1050">
            <v>177.25</v>
          </cell>
          <cell r="C1050">
            <v>63925996</v>
          </cell>
        </row>
        <row r="1051">
          <cell r="A1051" t="str">
            <v>Jan 12, 2021</v>
          </cell>
          <cell r="B1051">
            <v>173.22</v>
          </cell>
          <cell r="C1051">
            <v>35617404</v>
          </cell>
        </row>
        <row r="1052">
          <cell r="A1052" t="str">
            <v>Jan 11, 2021</v>
          </cell>
          <cell r="B1052">
            <v>169.9</v>
          </cell>
          <cell r="C1052">
            <v>42970983</v>
          </cell>
        </row>
        <row r="1053">
          <cell r="A1053" t="str">
            <v>Jan 8, 2021</v>
          </cell>
          <cell r="B1053">
            <v>169.07</v>
          </cell>
          <cell r="C1053">
            <v>56427360</v>
          </cell>
        </row>
        <row r="1054">
          <cell r="A1054" t="str">
            <v>Jan 7, 2021</v>
          </cell>
          <cell r="B1054">
            <v>170.16</v>
          </cell>
          <cell r="C1054">
            <v>34952401</v>
          </cell>
        </row>
        <row r="1055">
          <cell r="A1055" t="str">
            <v>Jan 6, 2021</v>
          </cell>
          <cell r="B1055">
            <v>172.34</v>
          </cell>
          <cell r="C1055">
            <v>49067837</v>
          </cell>
        </row>
        <row r="1056">
          <cell r="A1056" t="str">
            <v>Jan 5, 2021</v>
          </cell>
          <cell r="B1056">
            <v>177.41</v>
          </cell>
          <cell r="C1056">
            <v>18024083</v>
          </cell>
        </row>
        <row r="1057">
          <cell r="A1057" t="str">
            <v>Jan 4, 2021</v>
          </cell>
          <cell r="B1057">
            <v>179.05</v>
          </cell>
          <cell r="C1057">
            <v>26891799</v>
          </cell>
        </row>
        <row r="1058">
          <cell r="A1058" t="str">
            <v>Jan 1, 2021</v>
          </cell>
          <cell r="B1058">
            <v>179.43</v>
          </cell>
          <cell r="C1058">
            <v>19527333</v>
          </cell>
        </row>
        <row r="1059">
          <cell r="A1059" t="str">
            <v>Dec 31, 2020</v>
          </cell>
          <cell r="B1059">
            <v>175.36</v>
          </cell>
          <cell r="C1059">
            <v>18245270</v>
          </cell>
        </row>
        <row r="1060">
          <cell r="A1060" t="str">
            <v>Dec 30, 2020</v>
          </cell>
          <cell r="B1060">
            <v>177.16</v>
          </cell>
          <cell r="C1060">
            <v>18925262</v>
          </cell>
        </row>
        <row r="1061">
          <cell r="A1061" t="str">
            <v>Dec 29, 2020</v>
          </cell>
          <cell r="B1061">
            <v>177.5</v>
          </cell>
          <cell r="C1061">
            <v>26546469</v>
          </cell>
        </row>
        <row r="1062">
          <cell r="A1062" t="str">
            <v>Dec 28, 2020</v>
          </cell>
          <cell r="B1062">
            <v>175.78</v>
          </cell>
          <cell r="C1062">
            <v>15741000</v>
          </cell>
        </row>
        <row r="1063">
          <cell r="A1063" t="str">
            <v>Dec 24, 2020</v>
          </cell>
          <cell r="B1063">
            <v>175.02</v>
          </cell>
          <cell r="C1063">
            <v>22768284</v>
          </cell>
        </row>
        <row r="1064">
          <cell r="A1064" t="str">
            <v>Dec 23, 2020</v>
          </cell>
          <cell r="B1064">
            <v>174.31</v>
          </cell>
          <cell r="C1064">
            <v>23695667</v>
          </cell>
        </row>
        <row r="1065">
          <cell r="A1065" t="str">
            <v>Dec 22, 2020</v>
          </cell>
          <cell r="B1065">
            <v>170.66</v>
          </cell>
          <cell r="C1065">
            <v>40986353</v>
          </cell>
        </row>
        <row r="1066">
          <cell r="A1066" t="str">
            <v>Dec 21, 2020</v>
          </cell>
          <cell r="B1066">
            <v>170.28</v>
          </cell>
          <cell r="C1066">
            <v>41834797</v>
          </cell>
        </row>
        <row r="1067">
          <cell r="A1067" t="str">
            <v>Dec 18, 2020</v>
          </cell>
          <cell r="B1067">
            <v>179.97</v>
          </cell>
          <cell r="C1067">
            <v>23775053</v>
          </cell>
        </row>
        <row r="1068">
          <cell r="A1068" t="str">
            <v>Dec 17, 2020</v>
          </cell>
          <cell r="B1068">
            <v>178.76</v>
          </cell>
          <cell r="C1068">
            <v>22386185</v>
          </cell>
        </row>
        <row r="1069">
          <cell r="A1069" t="str">
            <v>Dec 16, 2020</v>
          </cell>
          <cell r="B1069">
            <v>179.55</v>
          </cell>
          <cell r="C1069">
            <v>19551630</v>
          </cell>
        </row>
        <row r="1070">
          <cell r="A1070" t="str">
            <v>Dec 15, 2020</v>
          </cell>
          <cell r="B1070">
            <v>179.18</v>
          </cell>
          <cell r="C1070">
            <v>23255609</v>
          </cell>
        </row>
        <row r="1071">
          <cell r="A1071" t="str">
            <v>Dec 14, 2020</v>
          </cell>
          <cell r="B1071">
            <v>181.15</v>
          </cell>
          <cell r="C1071">
            <v>26990063</v>
          </cell>
        </row>
        <row r="1072">
          <cell r="A1072" t="str">
            <v>Dec 11, 2020</v>
          </cell>
          <cell r="B1072">
            <v>181.48</v>
          </cell>
          <cell r="C1072">
            <v>60322445</v>
          </cell>
        </row>
        <row r="1073">
          <cell r="A1073" t="str">
            <v>Dec 10, 2020</v>
          </cell>
          <cell r="B1073">
            <v>178.46</v>
          </cell>
          <cell r="C1073">
            <v>65227495</v>
          </cell>
        </row>
        <row r="1074">
          <cell r="A1074" t="str">
            <v>Dec 9, 2020</v>
          </cell>
          <cell r="B1074">
            <v>172.34</v>
          </cell>
          <cell r="C1074">
            <v>39684395</v>
          </cell>
        </row>
        <row r="1075">
          <cell r="A1075" t="str">
            <v>Dec 8, 2020</v>
          </cell>
          <cell r="B1075">
            <v>169.86</v>
          </cell>
          <cell r="C1075">
            <v>30853963</v>
          </cell>
        </row>
        <row r="1076">
          <cell r="A1076" t="str">
            <v>Dec 7, 2020</v>
          </cell>
          <cell r="B1076">
            <v>170.45</v>
          </cell>
          <cell r="C1076">
            <v>35693450</v>
          </cell>
        </row>
        <row r="1077">
          <cell r="A1077" t="str">
            <v>Dec 4, 2020</v>
          </cell>
          <cell r="B1077">
            <v>166.3</v>
          </cell>
          <cell r="C1077">
            <v>22152332</v>
          </cell>
        </row>
        <row r="1078">
          <cell r="A1078" t="str">
            <v>Dec 3, 2020</v>
          </cell>
          <cell r="B1078">
            <v>164.62</v>
          </cell>
          <cell r="C1078">
            <v>28009042</v>
          </cell>
        </row>
        <row r="1079">
          <cell r="A1079" t="str">
            <v>Dec 2, 2020</v>
          </cell>
          <cell r="B1079">
            <v>164.41</v>
          </cell>
          <cell r="C1079">
            <v>28425948</v>
          </cell>
        </row>
        <row r="1080">
          <cell r="A1080" t="str">
            <v>Dec 1, 2020</v>
          </cell>
          <cell r="B1080">
            <v>163.11000000000001</v>
          </cell>
          <cell r="C1080">
            <v>15893346</v>
          </cell>
        </row>
        <row r="1081">
          <cell r="A1081" t="str">
            <v>Nov 27, 2020</v>
          </cell>
          <cell r="B1081">
            <v>162.47999999999999</v>
          </cell>
          <cell r="C1081">
            <v>31385396</v>
          </cell>
        </row>
        <row r="1082">
          <cell r="A1082" t="str">
            <v>Nov 26, 2020</v>
          </cell>
          <cell r="B1082">
            <v>163.44</v>
          </cell>
          <cell r="C1082">
            <v>24222956</v>
          </cell>
        </row>
        <row r="1083">
          <cell r="A1083" t="str">
            <v>Nov 25, 2020</v>
          </cell>
          <cell r="B1083">
            <v>162.65</v>
          </cell>
          <cell r="C1083">
            <v>41659179</v>
          </cell>
        </row>
        <row r="1084">
          <cell r="A1084" t="str">
            <v>Nov 24, 2020</v>
          </cell>
          <cell r="B1084">
            <v>164.07</v>
          </cell>
          <cell r="C1084">
            <v>45411815</v>
          </cell>
        </row>
        <row r="1085">
          <cell r="A1085" t="str">
            <v>Nov 23, 2020</v>
          </cell>
          <cell r="B1085">
            <v>160.13</v>
          </cell>
          <cell r="C1085">
            <v>23180456</v>
          </cell>
        </row>
        <row r="1086">
          <cell r="A1086" t="str">
            <v>Nov 20, 2020</v>
          </cell>
          <cell r="B1086">
            <v>160.84</v>
          </cell>
          <cell r="C1086">
            <v>45307312</v>
          </cell>
        </row>
        <row r="1087">
          <cell r="A1087" t="str">
            <v>Nov 19, 2020</v>
          </cell>
          <cell r="B1087">
            <v>157.65</v>
          </cell>
          <cell r="C1087">
            <v>48984610</v>
          </cell>
        </row>
        <row r="1088">
          <cell r="A1088" t="str">
            <v>Nov 18, 2020</v>
          </cell>
          <cell r="B1088">
            <v>154.41999999999999</v>
          </cell>
          <cell r="C1088">
            <v>26595992</v>
          </cell>
        </row>
        <row r="1089">
          <cell r="A1089" t="str">
            <v>Nov 17, 2020</v>
          </cell>
          <cell r="B1089">
            <v>157.19</v>
          </cell>
          <cell r="C1089">
            <v>20950589</v>
          </cell>
        </row>
        <row r="1090">
          <cell r="A1090" t="str">
            <v>Nov 14, 2020</v>
          </cell>
          <cell r="B1090">
            <v>158.24</v>
          </cell>
          <cell r="C1090">
            <v>7767144</v>
          </cell>
        </row>
        <row r="1091">
          <cell r="A1091" t="str">
            <v>Nov 13, 2020</v>
          </cell>
          <cell r="B1091">
            <v>156.97999999999999</v>
          </cell>
          <cell r="C1091">
            <v>28198725</v>
          </cell>
        </row>
        <row r="1092">
          <cell r="A1092" t="str">
            <v>Nov 12, 2020</v>
          </cell>
          <cell r="B1092">
            <v>157.74</v>
          </cell>
          <cell r="C1092">
            <v>46367792</v>
          </cell>
        </row>
        <row r="1093">
          <cell r="A1093" t="str">
            <v>Nov 11, 2020</v>
          </cell>
          <cell r="B1093">
            <v>155.47</v>
          </cell>
          <cell r="C1093">
            <v>63318644</v>
          </cell>
        </row>
        <row r="1094">
          <cell r="A1094" t="str">
            <v>Nov 10, 2020</v>
          </cell>
          <cell r="B1094">
            <v>149.63999999999999</v>
          </cell>
          <cell r="C1094">
            <v>57459436</v>
          </cell>
        </row>
        <row r="1095">
          <cell r="A1095" t="str">
            <v>Nov 9, 2020</v>
          </cell>
          <cell r="B1095">
            <v>144.99</v>
          </cell>
          <cell r="C1095">
            <v>35286484</v>
          </cell>
        </row>
        <row r="1096">
          <cell r="A1096" t="str">
            <v>Nov 6, 2020</v>
          </cell>
          <cell r="B1096">
            <v>145.94999999999999</v>
          </cell>
          <cell r="C1096">
            <v>34252005</v>
          </cell>
        </row>
        <row r="1097">
          <cell r="A1097" t="str">
            <v>Nov 5, 2020</v>
          </cell>
          <cell r="B1097">
            <v>146.62</v>
          </cell>
          <cell r="C1097">
            <v>26997641</v>
          </cell>
        </row>
        <row r="1098">
          <cell r="A1098" t="str">
            <v>Nov 4, 2020</v>
          </cell>
          <cell r="B1098">
            <v>142.47</v>
          </cell>
          <cell r="C1098">
            <v>18808819</v>
          </cell>
        </row>
        <row r="1099">
          <cell r="A1099" t="str">
            <v>Nov 3, 2020</v>
          </cell>
          <cell r="B1099">
            <v>142.72</v>
          </cell>
          <cell r="C1099">
            <v>22602903</v>
          </cell>
        </row>
        <row r="1100">
          <cell r="A1100" t="str">
            <v>Nov 2, 2020</v>
          </cell>
          <cell r="B1100">
            <v>139.91</v>
          </cell>
          <cell r="C1100">
            <v>14370649</v>
          </cell>
        </row>
        <row r="1101">
          <cell r="A1101" t="str">
            <v>Oct 30, 2020</v>
          </cell>
          <cell r="B1101">
            <v>138.65</v>
          </cell>
          <cell r="C1101">
            <v>16347325</v>
          </cell>
        </row>
        <row r="1102">
          <cell r="A1102" t="str">
            <v>Oct 29, 2020</v>
          </cell>
          <cell r="B1102">
            <v>137.47999999999999</v>
          </cell>
          <cell r="C1102">
            <v>21007139</v>
          </cell>
        </row>
        <row r="1103">
          <cell r="A1103" t="str">
            <v>Oct 28, 2020</v>
          </cell>
          <cell r="B1103">
            <v>138.86000000000001</v>
          </cell>
          <cell r="C1103">
            <v>16820774</v>
          </cell>
        </row>
        <row r="1104">
          <cell r="A1104" t="str">
            <v>Oct 27, 2020</v>
          </cell>
          <cell r="B1104">
            <v>140.29</v>
          </cell>
          <cell r="C1104">
            <v>45885092</v>
          </cell>
        </row>
        <row r="1105">
          <cell r="A1105" t="str">
            <v>Oct 26, 2020</v>
          </cell>
          <cell r="B1105">
            <v>141.41999999999999</v>
          </cell>
          <cell r="C1105">
            <v>16080575</v>
          </cell>
        </row>
        <row r="1106">
          <cell r="A1106" t="str">
            <v>Oct 23, 2020</v>
          </cell>
          <cell r="B1106">
            <v>143.27000000000001</v>
          </cell>
          <cell r="C1106">
            <v>20145584</v>
          </cell>
        </row>
        <row r="1107">
          <cell r="A1107" t="str">
            <v>Oct 22, 2020</v>
          </cell>
          <cell r="B1107">
            <v>141.41999999999999</v>
          </cell>
          <cell r="C1107">
            <v>22044107</v>
          </cell>
        </row>
        <row r="1108">
          <cell r="A1108" t="str">
            <v>Oct 21, 2020</v>
          </cell>
          <cell r="B1108">
            <v>140.66</v>
          </cell>
          <cell r="C1108">
            <v>16478833</v>
          </cell>
        </row>
        <row r="1109">
          <cell r="A1109" t="str">
            <v>Oct 20, 2020</v>
          </cell>
          <cell r="B1109">
            <v>140.5</v>
          </cell>
          <cell r="C1109">
            <v>16148741</v>
          </cell>
        </row>
        <row r="1110">
          <cell r="A1110" t="str">
            <v>Oct 19, 2020</v>
          </cell>
          <cell r="B1110">
            <v>141.16999999999999</v>
          </cell>
          <cell r="C1110">
            <v>19016521</v>
          </cell>
        </row>
        <row r="1111">
          <cell r="A1111" t="str">
            <v>Oct 16, 2020</v>
          </cell>
          <cell r="B1111">
            <v>139.03</v>
          </cell>
          <cell r="C1111">
            <v>20227056</v>
          </cell>
        </row>
        <row r="1112">
          <cell r="A1112" t="str">
            <v>Oct 15, 2020</v>
          </cell>
          <cell r="B1112">
            <v>138.47999999999999</v>
          </cell>
          <cell r="C1112">
            <v>27116799</v>
          </cell>
        </row>
        <row r="1113">
          <cell r="A1113" t="str">
            <v>Oct 14, 2020</v>
          </cell>
          <cell r="B1113">
            <v>140.79</v>
          </cell>
          <cell r="C1113">
            <v>38216229</v>
          </cell>
        </row>
        <row r="1114">
          <cell r="A1114" t="str">
            <v>Oct 13, 2020</v>
          </cell>
          <cell r="B1114">
            <v>142.76</v>
          </cell>
          <cell r="C1114">
            <v>35684395</v>
          </cell>
        </row>
        <row r="1115">
          <cell r="A1115" t="str">
            <v>Oct 12, 2020</v>
          </cell>
          <cell r="B1115">
            <v>144.47999999999999</v>
          </cell>
          <cell r="C1115">
            <v>66250422</v>
          </cell>
        </row>
        <row r="1116">
          <cell r="A1116" t="str">
            <v>Oct 9, 2020</v>
          </cell>
          <cell r="B1116">
            <v>140.83000000000001</v>
          </cell>
          <cell r="C1116">
            <v>22373277</v>
          </cell>
        </row>
        <row r="1117">
          <cell r="A1117" t="str">
            <v>Oct 8, 2020</v>
          </cell>
          <cell r="B1117">
            <v>140.24</v>
          </cell>
          <cell r="C1117">
            <v>25502126</v>
          </cell>
        </row>
        <row r="1118">
          <cell r="A1118" t="str">
            <v>Oct 7, 2020</v>
          </cell>
          <cell r="B1118">
            <v>142.22</v>
          </cell>
          <cell r="C1118">
            <v>16286540</v>
          </cell>
        </row>
        <row r="1119">
          <cell r="A1119" t="str">
            <v>Oct 6, 2020</v>
          </cell>
          <cell r="B1119">
            <v>142.55000000000001</v>
          </cell>
          <cell r="C1119">
            <v>21885190</v>
          </cell>
        </row>
        <row r="1120">
          <cell r="A1120" t="str">
            <v>Oct 5, 2020</v>
          </cell>
          <cell r="B1120">
            <v>142.01</v>
          </cell>
          <cell r="C1120">
            <v>24298942</v>
          </cell>
        </row>
        <row r="1121">
          <cell r="A1121" t="str">
            <v>Oct 1, 2020</v>
          </cell>
          <cell r="B1121">
            <v>143.35</v>
          </cell>
          <cell r="C1121">
            <v>19756417</v>
          </cell>
        </row>
        <row r="1122">
          <cell r="A1122" t="str">
            <v>Sep 30, 2020</v>
          </cell>
          <cell r="B1122">
            <v>144.06</v>
          </cell>
          <cell r="C1122">
            <v>18481590</v>
          </cell>
        </row>
        <row r="1123">
          <cell r="A1123" t="str">
            <v>Sep 29, 2020</v>
          </cell>
          <cell r="B1123">
            <v>142.13</v>
          </cell>
          <cell r="C1123">
            <v>25615786</v>
          </cell>
        </row>
        <row r="1124">
          <cell r="A1124" t="str">
            <v>Sep 28, 2020</v>
          </cell>
          <cell r="B1124">
            <v>145.4</v>
          </cell>
          <cell r="C1124">
            <v>23194638</v>
          </cell>
        </row>
        <row r="1125">
          <cell r="A1125" t="str">
            <v>Sep 25, 2020</v>
          </cell>
          <cell r="B1125">
            <v>143.27000000000001</v>
          </cell>
          <cell r="C1125">
            <v>26625318</v>
          </cell>
        </row>
        <row r="1126">
          <cell r="A1126" t="str">
            <v>Sep 24, 2020</v>
          </cell>
          <cell r="B1126">
            <v>139.74</v>
          </cell>
          <cell r="C1126">
            <v>31486355</v>
          </cell>
        </row>
        <row r="1127">
          <cell r="A1127" t="str">
            <v>Sep 23, 2020</v>
          </cell>
          <cell r="B1127">
            <v>144.72999999999999</v>
          </cell>
          <cell r="C1127">
            <v>61785000</v>
          </cell>
        </row>
        <row r="1128">
          <cell r="A1128" t="str">
            <v>Sep 22, 2020</v>
          </cell>
          <cell r="B1128">
            <v>146.16</v>
          </cell>
          <cell r="C1128">
            <v>18529108</v>
          </cell>
        </row>
        <row r="1129">
          <cell r="A1129" t="str">
            <v>Sep 21, 2020</v>
          </cell>
          <cell r="B1129">
            <v>147.46</v>
          </cell>
          <cell r="C1129">
            <v>23891325</v>
          </cell>
        </row>
        <row r="1130">
          <cell r="A1130" t="str">
            <v>Sep 18, 2020</v>
          </cell>
          <cell r="B1130">
            <v>150.27000000000001</v>
          </cell>
          <cell r="C1130">
            <v>29782789</v>
          </cell>
        </row>
        <row r="1131">
          <cell r="A1131" t="str">
            <v>Sep 17, 2020</v>
          </cell>
          <cell r="B1131">
            <v>149.85</v>
          </cell>
          <cell r="C1131">
            <v>33933262</v>
          </cell>
        </row>
        <row r="1132">
          <cell r="A1132" t="str">
            <v>Sep 16, 2020</v>
          </cell>
          <cell r="B1132">
            <v>151.57</v>
          </cell>
          <cell r="C1132">
            <v>50641398</v>
          </cell>
        </row>
        <row r="1133">
          <cell r="A1133" t="str">
            <v>Sep 15, 2020</v>
          </cell>
          <cell r="B1133">
            <v>152.54</v>
          </cell>
          <cell r="C1133">
            <v>30771790</v>
          </cell>
        </row>
        <row r="1134">
          <cell r="A1134" t="str">
            <v>Sep 14, 2020</v>
          </cell>
          <cell r="B1134">
            <v>153.84</v>
          </cell>
          <cell r="C1134">
            <v>30992032</v>
          </cell>
        </row>
        <row r="1135">
          <cell r="A1135" t="str">
            <v>Sep 11, 2020</v>
          </cell>
          <cell r="B1135">
            <v>154.34</v>
          </cell>
          <cell r="C1135">
            <v>19255948</v>
          </cell>
        </row>
        <row r="1136">
          <cell r="A1136" t="str">
            <v>Sep 10, 2020</v>
          </cell>
          <cell r="B1136">
            <v>155.13999999999999</v>
          </cell>
          <cell r="C1136">
            <v>17784303</v>
          </cell>
        </row>
        <row r="1137">
          <cell r="A1137" t="str">
            <v>Sep 9, 2020</v>
          </cell>
          <cell r="B1137">
            <v>154.21</v>
          </cell>
          <cell r="C1137">
            <v>27829564</v>
          </cell>
        </row>
        <row r="1138">
          <cell r="A1138" t="str">
            <v>Sep 8, 2020</v>
          </cell>
          <cell r="B1138">
            <v>157.86000000000001</v>
          </cell>
          <cell r="C1138">
            <v>25589032</v>
          </cell>
        </row>
        <row r="1139">
          <cell r="A1139" t="str">
            <v>Sep 7, 2020</v>
          </cell>
          <cell r="B1139">
            <v>158.66</v>
          </cell>
          <cell r="C1139">
            <v>32660563</v>
          </cell>
        </row>
        <row r="1140">
          <cell r="A1140" t="str">
            <v>Sep 4, 2020</v>
          </cell>
          <cell r="B1140">
            <v>156.65</v>
          </cell>
          <cell r="C1140">
            <v>41389019</v>
          </cell>
        </row>
        <row r="1141">
          <cell r="A1141" t="str">
            <v>Sep 3, 2020</v>
          </cell>
          <cell r="B1141">
            <v>160.76</v>
          </cell>
          <cell r="C1141">
            <v>15691462</v>
          </cell>
        </row>
        <row r="1142">
          <cell r="A1142" t="str">
            <v>Sep 2, 2020</v>
          </cell>
          <cell r="B1142">
            <v>160.55000000000001</v>
          </cell>
          <cell r="C1142">
            <v>20585374</v>
          </cell>
        </row>
        <row r="1143">
          <cell r="A1143" t="str">
            <v>Sep 1, 2020</v>
          </cell>
          <cell r="B1143">
            <v>159.58000000000001</v>
          </cell>
          <cell r="C1143">
            <v>39779151</v>
          </cell>
        </row>
        <row r="1144">
          <cell r="A1144" t="str">
            <v>Aug 31, 2020</v>
          </cell>
          <cell r="B1144">
            <v>160.34</v>
          </cell>
          <cell r="C1144">
            <v>96994911</v>
          </cell>
        </row>
        <row r="1145">
          <cell r="A1145" t="str">
            <v>Aug 28, 2020</v>
          </cell>
          <cell r="B1145">
            <v>164.07</v>
          </cell>
          <cell r="C1145">
            <v>34645487</v>
          </cell>
        </row>
        <row r="1146">
          <cell r="A1146" t="str">
            <v>Aug 27, 2020</v>
          </cell>
          <cell r="B1146">
            <v>162.97999999999999</v>
          </cell>
          <cell r="C1146">
            <v>47212216</v>
          </cell>
        </row>
        <row r="1147">
          <cell r="A1147" t="str">
            <v>Aug 26, 2020</v>
          </cell>
          <cell r="B1147">
            <v>163.57</v>
          </cell>
          <cell r="C1147">
            <v>22631175</v>
          </cell>
        </row>
        <row r="1148">
          <cell r="A1148" t="str">
            <v>Aug 25, 2020</v>
          </cell>
          <cell r="B1148">
            <v>163.95</v>
          </cell>
          <cell r="C1148">
            <v>15199264</v>
          </cell>
        </row>
        <row r="1149">
          <cell r="A1149" t="str">
            <v>Aug 24, 2020</v>
          </cell>
          <cell r="B1149">
            <v>165.04</v>
          </cell>
          <cell r="C1149">
            <v>14737317</v>
          </cell>
        </row>
        <row r="1150">
          <cell r="A1150" t="str">
            <v>Aug 21, 2020</v>
          </cell>
          <cell r="B1150">
            <v>165.12</v>
          </cell>
          <cell r="C1150">
            <v>17233813</v>
          </cell>
        </row>
        <row r="1151">
          <cell r="A1151" t="str">
            <v>Aug 20, 2020</v>
          </cell>
          <cell r="B1151">
            <v>164.28</v>
          </cell>
          <cell r="C1151">
            <v>16910449</v>
          </cell>
        </row>
        <row r="1152">
          <cell r="A1152" t="str">
            <v>Aug 19, 2020</v>
          </cell>
          <cell r="B1152">
            <v>166.51</v>
          </cell>
          <cell r="C1152">
            <v>15474353</v>
          </cell>
        </row>
        <row r="1153">
          <cell r="A1153" t="str">
            <v>Aug 18, 2020</v>
          </cell>
          <cell r="B1153">
            <v>166.59</v>
          </cell>
          <cell r="C1153">
            <v>12488159</v>
          </cell>
        </row>
        <row r="1154">
          <cell r="A1154" t="str">
            <v>Aug 17, 2020</v>
          </cell>
          <cell r="B1154">
            <v>166.76</v>
          </cell>
          <cell r="C1154">
            <v>11740766</v>
          </cell>
        </row>
        <row r="1155">
          <cell r="A1155" t="str">
            <v>Aug 14, 2020</v>
          </cell>
          <cell r="B1155">
            <v>164.79</v>
          </cell>
          <cell r="C1155">
            <v>28751298</v>
          </cell>
        </row>
        <row r="1156">
          <cell r="A1156" t="str">
            <v>Aug 13, 2020</v>
          </cell>
          <cell r="B1156">
            <v>169.02</v>
          </cell>
          <cell r="C1156">
            <v>22698888</v>
          </cell>
        </row>
        <row r="1157">
          <cell r="A1157" t="str">
            <v>Aug 12, 2020</v>
          </cell>
          <cell r="B1157">
            <v>171.33</v>
          </cell>
          <cell r="C1157">
            <v>21287010</v>
          </cell>
        </row>
        <row r="1158">
          <cell r="A1158" t="str">
            <v>Aug 11, 2020</v>
          </cell>
          <cell r="B1158">
            <v>170.37</v>
          </cell>
          <cell r="C1158">
            <v>55142972</v>
          </cell>
        </row>
        <row r="1159">
          <cell r="A1159" t="str">
            <v>Aug 10, 2020</v>
          </cell>
          <cell r="B1159">
            <v>166.84</v>
          </cell>
          <cell r="C1159">
            <v>16474505</v>
          </cell>
        </row>
        <row r="1160">
          <cell r="A1160" t="str">
            <v>Aug 7, 2020</v>
          </cell>
          <cell r="B1160">
            <v>164.49</v>
          </cell>
          <cell r="C1160">
            <v>20911818</v>
          </cell>
        </row>
        <row r="1161">
          <cell r="A1161" t="str">
            <v>Aug 6, 2020</v>
          </cell>
          <cell r="B1161">
            <v>163.91</v>
          </cell>
          <cell r="C1161">
            <v>17886089</v>
          </cell>
        </row>
        <row r="1162">
          <cell r="A1162" t="str">
            <v>Aug 5, 2020</v>
          </cell>
          <cell r="B1162">
            <v>161.77000000000001</v>
          </cell>
          <cell r="C1162">
            <v>48768332</v>
          </cell>
        </row>
        <row r="1163">
          <cell r="A1163" t="str">
            <v>Aug 4, 2020</v>
          </cell>
          <cell r="B1163">
            <v>162.47999999999999</v>
          </cell>
          <cell r="C1163">
            <v>17187619</v>
          </cell>
        </row>
        <row r="1164">
          <cell r="A1164" t="str">
            <v>Aug 3, 2020</v>
          </cell>
          <cell r="B1164">
            <v>161.6</v>
          </cell>
          <cell r="C1164">
            <v>13265411</v>
          </cell>
        </row>
        <row r="1165">
          <cell r="A1165" t="str">
            <v>Jul 31, 2020</v>
          </cell>
          <cell r="B1165">
            <v>162.9</v>
          </cell>
          <cell r="C1165">
            <v>16652851</v>
          </cell>
        </row>
        <row r="1166">
          <cell r="A1166" t="str">
            <v>Jul 30, 2020</v>
          </cell>
          <cell r="B1166">
            <v>162.22999999999999</v>
          </cell>
          <cell r="C1166">
            <v>16315231</v>
          </cell>
        </row>
        <row r="1167">
          <cell r="A1167" t="str">
            <v>Jul 29, 2020</v>
          </cell>
          <cell r="B1167">
            <v>165.04</v>
          </cell>
          <cell r="C1167">
            <v>14831635</v>
          </cell>
        </row>
        <row r="1168">
          <cell r="A1168" t="str">
            <v>Jul 28, 2020</v>
          </cell>
          <cell r="B1168">
            <v>163.95</v>
          </cell>
          <cell r="C1168">
            <v>19287132</v>
          </cell>
        </row>
        <row r="1169">
          <cell r="A1169" t="str">
            <v>Jul 27, 2020</v>
          </cell>
          <cell r="B1169">
            <v>164.79</v>
          </cell>
          <cell r="C1169">
            <v>22645697</v>
          </cell>
        </row>
        <row r="1170">
          <cell r="A1170" t="str">
            <v>Jul 24, 2020</v>
          </cell>
          <cell r="B1170">
            <v>167.47</v>
          </cell>
          <cell r="C1170">
            <v>60183102</v>
          </cell>
        </row>
        <row r="1171">
          <cell r="A1171" t="str">
            <v>Jul 23, 2020</v>
          </cell>
          <cell r="B1171">
            <v>168.39</v>
          </cell>
          <cell r="C1171">
            <v>31488108</v>
          </cell>
        </row>
        <row r="1172">
          <cell r="A1172" t="str">
            <v>Jul 22, 2020</v>
          </cell>
          <cell r="B1172">
            <v>164.91</v>
          </cell>
          <cell r="C1172">
            <v>32572133</v>
          </cell>
        </row>
        <row r="1173">
          <cell r="A1173" t="str">
            <v>Jul 21, 2020</v>
          </cell>
          <cell r="B1173">
            <v>161.30000000000001</v>
          </cell>
          <cell r="C1173">
            <v>28010715</v>
          </cell>
        </row>
        <row r="1174">
          <cell r="A1174" t="str">
            <v>Jul 20, 2020</v>
          </cell>
          <cell r="B1174">
            <v>161.68</v>
          </cell>
          <cell r="C1174">
            <v>18914963</v>
          </cell>
        </row>
        <row r="1175">
          <cell r="A1175" t="str">
            <v>Jul 17, 2020</v>
          </cell>
          <cell r="B1175">
            <v>162.81</v>
          </cell>
          <cell r="C1175">
            <v>14882294</v>
          </cell>
        </row>
        <row r="1176">
          <cell r="A1176" t="str">
            <v>Jul 16, 2020</v>
          </cell>
          <cell r="B1176">
            <v>162.65</v>
          </cell>
          <cell r="C1176">
            <v>22144320</v>
          </cell>
        </row>
        <row r="1177">
          <cell r="A1177" t="str">
            <v>Jul 15, 2020</v>
          </cell>
          <cell r="B1177">
            <v>166.72</v>
          </cell>
          <cell r="C1177">
            <v>23776757</v>
          </cell>
        </row>
        <row r="1178">
          <cell r="A1178" t="str">
            <v>Jul 14, 2020</v>
          </cell>
          <cell r="B1178">
            <v>164.37</v>
          </cell>
          <cell r="C1178">
            <v>18474376</v>
          </cell>
        </row>
        <row r="1179">
          <cell r="A1179" t="str">
            <v>Jul 13, 2020</v>
          </cell>
          <cell r="B1179">
            <v>165.75</v>
          </cell>
          <cell r="C1179">
            <v>20297515</v>
          </cell>
        </row>
        <row r="1180">
          <cell r="A1180" t="str">
            <v>Jul 10, 2020</v>
          </cell>
          <cell r="B1180">
            <v>163.07</v>
          </cell>
          <cell r="C1180">
            <v>16191544</v>
          </cell>
        </row>
        <row r="1181">
          <cell r="A1181" t="str">
            <v>Jul 9, 2020</v>
          </cell>
          <cell r="B1181">
            <v>163.99</v>
          </cell>
          <cell r="C1181">
            <v>18769502</v>
          </cell>
        </row>
        <row r="1182">
          <cell r="A1182" t="str">
            <v>Jul 8, 2020</v>
          </cell>
          <cell r="B1182">
            <v>164.7</v>
          </cell>
          <cell r="C1182">
            <v>21274354</v>
          </cell>
        </row>
        <row r="1183">
          <cell r="A1183" t="str">
            <v>Jul 7, 2020</v>
          </cell>
          <cell r="B1183">
            <v>162.97999999999999</v>
          </cell>
          <cell r="C1183">
            <v>31263172</v>
          </cell>
        </row>
        <row r="1184">
          <cell r="A1184" t="str">
            <v>Jul 6, 2020</v>
          </cell>
          <cell r="B1184">
            <v>167.64</v>
          </cell>
          <cell r="C1184">
            <v>34710176</v>
          </cell>
        </row>
        <row r="1185">
          <cell r="A1185" t="str">
            <v>Jul 3, 2020</v>
          </cell>
          <cell r="B1185">
            <v>165.63</v>
          </cell>
          <cell r="C1185">
            <v>37893277</v>
          </cell>
        </row>
        <row r="1186">
          <cell r="A1186" t="str">
            <v>Jul 2, 2020</v>
          </cell>
          <cell r="B1186">
            <v>164.27</v>
          </cell>
          <cell r="C1186">
            <v>39320871</v>
          </cell>
        </row>
        <row r="1187">
          <cell r="A1187" t="str">
            <v>Jul 1, 2020</v>
          </cell>
          <cell r="B1187">
            <v>161.91</v>
          </cell>
          <cell r="C1187">
            <v>44297953</v>
          </cell>
        </row>
        <row r="1188">
          <cell r="A1188" t="str">
            <v>Jun 30, 2020</v>
          </cell>
          <cell r="B1188">
            <v>155.33000000000001</v>
          </cell>
          <cell r="C1188">
            <v>41210494</v>
          </cell>
        </row>
        <row r="1189">
          <cell r="A1189" t="str">
            <v>Jun 29, 2020</v>
          </cell>
          <cell r="B1189">
            <v>157.41</v>
          </cell>
          <cell r="C1189">
            <v>91503336</v>
          </cell>
        </row>
        <row r="1190">
          <cell r="A1190" t="str">
            <v>Jun 26, 2020</v>
          </cell>
          <cell r="B1190">
            <v>155.77000000000001</v>
          </cell>
          <cell r="C1190">
            <v>71956002</v>
          </cell>
        </row>
        <row r="1191">
          <cell r="A1191" t="str">
            <v>Jun 25, 2020</v>
          </cell>
          <cell r="B1191">
            <v>161.28</v>
          </cell>
          <cell r="C1191">
            <v>75574255</v>
          </cell>
        </row>
        <row r="1192">
          <cell r="A1192" t="str">
            <v>Jun 24, 2020</v>
          </cell>
          <cell r="B1192">
            <v>153.1</v>
          </cell>
          <cell r="C1192">
            <v>54652978</v>
          </cell>
        </row>
        <row r="1193">
          <cell r="A1193" t="str">
            <v>Jun 23, 2020</v>
          </cell>
          <cell r="B1193">
            <v>148.31</v>
          </cell>
          <cell r="C1193">
            <v>26546793</v>
          </cell>
        </row>
        <row r="1194">
          <cell r="A1194" t="str">
            <v>Jun 22, 2020</v>
          </cell>
          <cell r="B1194">
            <v>147.63</v>
          </cell>
          <cell r="C1194">
            <v>31395991</v>
          </cell>
        </row>
        <row r="1195">
          <cell r="A1195" t="str">
            <v>Jun 19, 2020</v>
          </cell>
          <cell r="B1195">
            <v>146.87</v>
          </cell>
          <cell r="C1195">
            <v>30531449</v>
          </cell>
        </row>
        <row r="1196">
          <cell r="A1196" t="str">
            <v>Jun 18, 2020</v>
          </cell>
          <cell r="B1196">
            <v>148.91</v>
          </cell>
          <cell r="C1196">
            <v>28887489</v>
          </cell>
        </row>
        <row r="1197">
          <cell r="A1197" t="str">
            <v>Jun 17, 2020</v>
          </cell>
          <cell r="B1197">
            <v>144.6</v>
          </cell>
          <cell r="C1197">
            <v>24027295</v>
          </cell>
        </row>
        <row r="1198">
          <cell r="A1198" t="str">
            <v>Jun 16, 2020</v>
          </cell>
          <cell r="B1198">
            <v>147.63</v>
          </cell>
          <cell r="C1198">
            <v>27636105</v>
          </cell>
        </row>
        <row r="1199">
          <cell r="A1199" t="str">
            <v>Jun 15, 2020</v>
          </cell>
          <cell r="B1199">
            <v>149.38999999999999</v>
          </cell>
          <cell r="C1199">
            <v>24462536</v>
          </cell>
        </row>
        <row r="1200">
          <cell r="A1200" t="str">
            <v>Jun 12, 2020</v>
          </cell>
          <cell r="B1200">
            <v>154.72999999999999</v>
          </cell>
          <cell r="C1200">
            <v>22562768</v>
          </cell>
        </row>
        <row r="1201">
          <cell r="A1201" t="str">
            <v>Jun 11, 2020</v>
          </cell>
          <cell r="B1201">
            <v>155.01</v>
          </cell>
          <cell r="C1201">
            <v>19847133</v>
          </cell>
        </row>
        <row r="1202">
          <cell r="A1202" t="str">
            <v>Jun 10, 2020</v>
          </cell>
          <cell r="B1202">
            <v>158.84</v>
          </cell>
          <cell r="C1202">
            <v>27199665</v>
          </cell>
        </row>
        <row r="1203">
          <cell r="A1203" t="str">
            <v>Jun 9, 2020</v>
          </cell>
          <cell r="B1203">
            <v>158.4</v>
          </cell>
          <cell r="C1203">
            <v>39914264</v>
          </cell>
        </row>
        <row r="1204">
          <cell r="A1204" t="str">
            <v>Jun 8, 2020</v>
          </cell>
          <cell r="B1204">
            <v>157.72999999999999</v>
          </cell>
          <cell r="C1204">
            <v>19551313</v>
          </cell>
        </row>
        <row r="1205">
          <cell r="A1205" t="str">
            <v>Jun 5, 2020</v>
          </cell>
          <cell r="B1205">
            <v>159.6</v>
          </cell>
          <cell r="C1205">
            <v>14629659</v>
          </cell>
        </row>
        <row r="1206">
          <cell r="A1206" t="str">
            <v>Jun 4, 2020</v>
          </cell>
          <cell r="B1206">
            <v>159.72</v>
          </cell>
          <cell r="C1206">
            <v>21996048</v>
          </cell>
        </row>
        <row r="1207">
          <cell r="A1207" t="str">
            <v>Jun 3, 2020</v>
          </cell>
          <cell r="B1207">
            <v>156.97</v>
          </cell>
          <cell r="C1207">
            <v>18979188</v>
          </cell>
        </row>
        <row r="1208">
          <cell r="A1208" t="str">
            <v>Jun 2, 2020</v>
          </cell>
          <cell r="B1208">
            <v>157.41</v>
          </cell>
          <cell r="C1208">
            <v>22631373</v>
          </cell>
        </row>
        <row r="1209">
          <cell r="A1209" t="str">
            <v>Jun 1, 2020</v>
          </cell>
          <cell r="B1209">
            <v>160.04</v>
          </cell>
          <cell r="C1209">
            <v>28508405</v>
          </cell>
        </row>
        <row r="1210">
          <cell r="A1210" t="str">
            <v>May 29, 2020</v>
          </cell>
          <cell r="B1210">
            <v>157.49</v>
          </cell>
          <cell r="C1210">
            <v>35834621</v>
          </cell>
        </row>
        <row r="1211">
          <cell r="A1211" t="str">
            <v>May 28, 2020</v>
          </cell>
          <cell r="B1211">
            <v>152.13999999999999</v>
          </cell>
          <cell r="C1211">
            <v>24578072</v>
          </cell>
        </row>
        <row r="1212">
          <cell r="A1212" t="str">
            <v>May 27, 2020</v>
          </cell>
          <cell r="B1212">
            <v>153.34</v>
          </cell>
          <cell r="C1212">
            <v>24546119</v>
          </cell>
        </row>
        <row r="1213">
          <cell r="A1213" t="str">
            <v>May 26, 2020</v>
          </cell>
          <cell r="B1213">
            <v>152.97999999999999</v>
          </cell>
          <cell r="C1213">
            <v>53233404</v>
          </cell>
        </row>
        <row r="1214">
          <cell r="A1214" t="str">
            <v>May 22, 2020</v>
          </cell>
          <cell r="B1214">
            <v>148.71</v>
          </cell>
          <cell r="C1214">
            <v>39013770</v>
          </cell>
        </row>
        <row r="1215">
          <cell r="A1215" t="str">
            <v>May 21, 2020</v>
          </cell>
          <cell r="B1215">
            <v>150.78</v>
          </cell>
          <cell r="C1215">
            <v>58382197</v>
          </cell>
        </row>
        <row r="1216">
          <cell r="A1216" t="str">
            <v>May 20, 2020</v>
          </cell>
          <cell r="B1216">
            <v>140.25</v>
          </cell>
          <cell r="C1216">
            <v>25320734</v>
          </cell>
        </row>
        <row r="1217">
          <cell r="A1217" t="str">
            <v>May 19, 2020</v>
          </cell>
          <cell r="B1217">
            <v>136.26</v>
          </cell>
          <cell r="C1217">
            <v>20142171</v>
          </cell>
        </row>
        <row r="1218">
          <cell r="A1218" t="str">
            <v>May 18, 2020</v>
          </cell>
          <cell r="B1218">
            <v>131.47</v>
          </cell>
          <cell r="C1218">
            <v>20801299</v>
          </cell>
        </row>
        <row r="1219">
          <cell r="A1219" t="str">
            <v>May 15, 2020</v>
          </cell>
          <cell r="B1219">
            <v>131.38999999999999</v>
          </cell>
          <cell r="C1219">
            <v>14950243</v>
          </cell>
        </row>
        <row r="1220">
          <cell r="A1220" t="str">
            <v>May 14, 2020</v>
          </cell>
          <cell r="B1220">
            <v>130.71</v>
          </cell>
          <cell r="C1220">
            <v>14949993</v>
          </cell>
        </row>
        <row r="1221">
          <cell r="A1221" t="str">
            <v>May 13, 2020</v>
          </cell>
          <cell r="B1221">
            <v>131.99</v>
          </cell>
          <cell r="C1221">
            <v>20015124</v>
          </cell>
        </row>
        <row r="1222">
          <cell r="A1222" t="str">
            <v>May 12, 2020</v>
          </cell>
          <cell r="B1222">
            <v>131.71</v>
          </cell>
          <cell r="C1222">
            <v>21387527</v>
          </cell>
        </row>
        <row r="1223">
          <cell r="A1223" t="str">
            <v>May 11, 2020</v>
          </cell>
          <cell r="B1223">
            <v>126.44</v>
          </cell>
          <cell r="C1223">
            <v>18095473</v>
          </cell>
        </row>
        <row r="1224">
          <cell r="A1224" t="str">
            <v>May 8, 2020</v>
          </cell>
          <cell r="B1224">
            <v>126.28</v>
          </cell>
          <cell r="C1224">
            <v>25307015</v>
          </cell>
        </row>
        <row r="1225">
          <cell r="A1225" t="str">
            <v>May 7, 2020</v>
          </cell>
          <cell r="B1225">
            <v>128.47999999999999</v>
          </cell>
          <cell r="C1225">
            <v>24249585</v>
          </cell>
        </row>
        <row r="1226">
          <cell r="A1226" t="str">
            <v>May 6, 2020</v>
          </cell>
          <cell r="B1226">
            <v>130.79</v>
          </cell>
          <cell r="C1226">
            <v>65586734</v>
          </cell>
        </row>
        <row r="1227">
          <cell r="A1227" t="str">
            <v>May 5, 2020</v>
          </cell>
          <cell r="B1227">
            <v>138.77000000000001</v>
          </cell>
          <cell r="C1227">
            <v>17707577</v>
          </cell>
        </row>
        <row r="1228">
          <cell r="A1228" t="str">
            <v>May 4, 2020</v>
          </cell>
          <cell r="B1228">
            <v>138.88999999999999</v>
          </cell>
          <cell r="C1228">
            <v>30294317</v>
          </cell>
        </row>
        <row r="1229">
          <cell r="A1229" t="str">
            <v>Apr 30, 2020</v>
          </cell>
          <cell r="B1229">
            <v>145.28</v>
          </cell>
          <cell r="C1229">
            <v>30164713</v>
          </cell>
        </row>
        <row r="1230">
          <cell r="A1230" t="str">
            <v>Apr 29, 2020</v>
          </cell>
          <cell r="B1230">
            <v>145.36000000000001</v>
          </cell>
          <cell r="C1230">
            <v>21461067</v>
          </cell>
        </row>
        <row r="1231">
          <cell r="A1231" t="str">
            <v>Apr 28, 2020</v>
          </cell>
          <cell r="B1231">
            <v>143.19999999999999</v>
          </cell>
          <cell r="C1231">
            <v>17802635</v>
          </cell>
        </row>
        <row r="1232">
          <cell r="A1232" t="str">
            <v>Apr 27, 2020</v>
          </cell>
          <cell r="B1232">
            <v>143.52000000000001</v>
          </cell>
          <cell r="C1232">
            <v>13085703</v>
          </cell>
        </row>
        <row r="1233">
          <cell r="A1233" t="str">
            <v>Apr 24, 2020</v>
          </cell>
          <cell r="B1233">
            <v>143.68</v>
          </cell>
          <cell r="C1233">
            <v>18049697</v>
          </cell>
        </row>
        <row r="1234">
          <cell r="A1234" t="str">
            <v>Apr 23, 2020</v>
          </cell>
          <cell r="B1234">
            <v>144.08000000000001</v>
          </cell>
          <cell r="C1234">
            <v>32968029</v>
          </cell>
        </row>
        <row r="1235">
          <cell r="A1235" t="str">
            <v>Apr 22, 2020</v>
          </cell>
          <cell r="B1235">
            <v>145.44</v>
          </cell>
          <cell r="C1235">
            <v>25163402</v>
          </cell>
        </row>
        <row r="1236">
          <cell r="A1236" t="str">
            <v>Apr 21, 2020</v>
          </cell>
          <cell r="B1236">
            <v>143.32</v>
          </cell>
          <cell r="C1236">
            <v>23333661</v>
          </cell>
        </row>
        <row r="1237">
          <cell r="A1237" t="str">
            <v>Apr 20, 2020</v>
          </cell>
          <cell r="B1237">
            <v>144.19999999999999</v>
          </cell>
          <cell r="C1237">
            <v>35764287</v>
          </cell>
        </row>
        <row r="1238">
          <cell r="A1238" t="str">
            <v>Apr 17, 2020</v>
          </cell>
          <cell r="B1238">
            <v>150.1</v>
          </cell>
          <cell r="C1238">
            <v>26667421</v>
          </cell>
        </row>
        <row r="1239">
          <cell r="A1239" t="str">
            <v>Apr 16, 2020</v>
          </cell>
          <cell r="B1239">
            <v>148.71</v>
          </cell>
          <cell r="C1239">
            <v>27080032</v>
          </cell>
        </row>
        <row r="1240">
          <cell r="A1240" t="str">
            <v>Apr 15, 2020</v>
          </cell>
          <cell r="B1240">
            <v>151.1</v>
          </cell>
          <cell r="C1240">
            <v>49092699</v>
          </cell>
        </row>
        <row r="1241">
          <cell r="A1241" t="str">
            <v>Apr 13, 2020</v>
          </cell>
          <cell r="B1241">
            <v>144.91999999999999</v>
          </cell>
          <cell r="C1241">
            <v>17744169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31"/>
  <sheetViews>
    <sheetView topLeftCell="B1" workbookViewId="0">
      <selection activeCell="C4" sqref="C4"/>
    </sheetView>
  </sheetViews>
  <sheetFormatPr defaultRowHeight="15" x14ac:dyDescent="0.25"/>
  <cols>
    <col min="2" max="2" width="9.140625" customWidth="1"/>
    <col min="3" max="3" width="21.85546875" customWidth="1"/>
    <col min="4" max="4" width="133.5703125" customWidth="1"/>
  </cols>
  <sheetData>
    <row r="4" spans="3:4" ht="79.5" customHeight="1" x14ac:dyDescent="0.25">
      <c r="C4" s="28" t="s">
        <v>94</v>
      </c>
      <c r="D4" s="26" t="s">
        <v>93</v>
      </c>
    </row>
    <row r="5" spans="3:4" x14ac:dyDescent="0.25">
      <c r="D5" s="27"/>
    </row>
    <row r="6" spans="3:4" x14ac:dyDescent="0.25">
      <c r="D6" s="27"/>
    </row>
    <row r="7" spans="3:4" x14ac:dyDescent="0.25">
      <c r="D7" s="27"/>
    </row>
    <row r="8" spans="3:4" x14ac:dyDescent="0.25">
      <c r="D8" s="27"/>
    </row>
    <row r="9" spans="3:4" x14ac:dyDescent="0.25">
      <c r="D9" s="27"/>
    </row>
    <row r="10" spans="3:4" x14ac:dyDescent="0.25">
      <c r="D10" s="27"/>
    </row>
    <row r="11" spans="3:4" x14ac:dyDescent="0.25">
      <c r="D11" s="27"/>
    </row>
    <row r="12" spans="3:4" x14ac:dyDescent="0.25">
      <c r="D12" s="27"/>
    </row>
    <row r="13" spans="3:4" x14ac:dyDescent="0.25">
      <c r="D13" s="27"/>
    </row>
    <row r="14" spans="3:4" x14ac:dyDescent="0.25">
      <c r="D14" s="27"/>
    </row>
    <row r="15" spans="3:4" x14ac:dyDescent="0.25">
      <c r="D15" s="27"/>
    </row>
    <row r="16" spans="3:4" x14ac:dyDescent="0.25">
      <c r="D16" s="27"/>
    </row>
    <row r="17" spans="4:4" x14ac:dyDescent="0.25">
      <c r="D17" s="27"/>
    </row>
    <row r="18" spans="4:4" x14ac:dyDescent="0.25">
      <c r="D18" s="27"/>
    </row>
    <row r="19" spans="4:4" x14ac:dyDescent="0.25">
      <c r="D19" s="27"/>
    </row>
    <row r="20" spans="4:4" x14ac:dyDescent="0.25">
      <c r="D20" s="27"/>
    </row>
    <row r="21" spans="4:4" x14ac:dyDescent="0.25">
      <c r="D21" s="27"/>
    </row>
    <row r="22" spans="4:4" x14ac:dyDescent="0.25">
      <c r="D22" s="27"/>
    </row>
    <row r="23" spans="4:4" x14ac:dyDescent="0.25">
      <c r="D23" s="27"/>
    </row>
    <row r="24" spans="4:4" x14ac:dyDescent="0.25">
      <c r="D24" s="27"/>
    </row>
    <row r="25" spans="4:4" x14ac:dyDescent="0.25">
      <c r="D25" s="27"/>
    </row>
    <row r="26" spans="4:4" x14ac:dyDescent="0.25">
      <c r="D26" s="27"/>
    </row>
    <row r="27" spans="4:4" x14ac:dyDescent="0.25">
      <c r="D27" s="27"/>
    </row>
    <row r="28" spans="4:4" x14ac:dyDescent="0.25">
      <c r="D28" s="27"/>
    </row>
    <row r="29" spans="4:4" x14ac:dyDescent="0.25">
      <c r="D29" s="27"/>
    </row>
    <row r="30" spans="4:4" x14ac:dyDescent="0.25">
      <c r="D30" s="27"/>
    </row>
    <row r="31" spans="4:4" x14ac:dyDescent="0.25">
      <c r="D31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74"/>
  <sheetViews>
    <sheetView showGridLines="0" tabSelected="1" topLeftCell="B1" workbookViewId="0">
      <selection activeCell="M63" sqref="M63"/>
    </sheetView>
  </sheetViews>
  <sheetFormatPr defaultRowHeight="15" x14ac:dyDescent="0.25"/>
  <cols>
    <col min="1" max="1" width="1.85546875" customWidth="1"/>
    <col min="2" max="2" width="43" customWidth="1"/>
    <col min="3" max="3" width="9.85546875" bestFit="1" customWidth="1"/>
    <col min="4" max="4" width="8.42578125" customWidth="1"/>
    <col min="5" max="5" width="12" customWidth="1"/>
    <col min="6" max="6" width="9.85546875" bestFit="1" customWidth="1"/>
    <col min="7" max="7" width="9.85546875" customWidth="1"/>
    <col min="8" max="8" width="0.85546875" customWidth="1"/>
    <col min="9" max="9" width="22.85546875" bestFit="1" customWidth="1"/>
    <col min="10" max="10" width="9.140625" customWidth="1"/>
    <col min="11" max="11" width="11.42578125" customWidth="1"/>
    <col min="12" max="12" width="6" customWidth="1"/>
    <col min="13" max="19" width="9.140625" style="36"/>
  </cols>
  <sheetData>
    <row r="1" spans="2:11" x14ac:dyDescent="0.25">
      <c r="B1" t="s">
        <v>201</v>
      </c>
    </row>
    <row r="2" spans="2:11" x14ac:dyDescent="0.25">
      <c r="B2" s="80" t="str">
        <f>'Data Sheet'!B1&amp;" -  One Page Profile"</f>
        <v>ITC LTD -  One Page Profile</v>
      </c>
      <c r="C2" s="80"/>
      <c r="D2" s="80"/>
      <c r="E2" s="80"/>
      <c r="F2" s="80"/>
      <c r="G2" s="80"/>
      <c r="H2" s="80"/>
      <c r="I2" s="80"/>
      <c r="J2" s="80"/>
      <c r="K2" s="80"/>
    </row>
    <row r="3" spans="2:11" ht="3" customHeight="1" x14ac:dyDescent="0.25"/>
    <row r="4" spans="2:11" ht="80.099999999999994" customHeight="1" x14ac:dyDescent="0.25">
      <c r="B4" s="29"/>
      <c r="C4" s="81" t="str">
        <f>'Input Sheet'!D4</f>
        <v>ITC Limited is an Indian conglomerate, headquartered in Kolkata.[9] It has a presence across six business segments, namely FMCG, agribusiness, information technology, paper products, and packaging.[10] It generates a plurality of its revenue from tobacco products.[11]</v>
      </c>
      <c r="D4" s="81"/>
      <c r="E4" s="81"/>
      <c r="F4" s="81"/>
      <c r="G4" s="81"/>
      <c r="H4" s="81"/>
      <c r="I4" s="81"/>
      <c r="J4" s="81"/>
      <c r="K4" s="81"/>
    </row>
    <row r="5" spans="2:11" x14ac:dyDescent="0.25">
      <c r="B5" s="31" t="s">
        <v>96</v>
      </c>
    </row>
    <row r="6" spans="2:11" x14ac:dyDescent="0.25">
      <c r="B6" s="25" t="s">
        <v>95</v>
      </c>
      <c r="C6" s="30">
        <f>'Data Sheet'!G16</f>
        <v>43921</v>
      </c>
      <c r="D6" s="30">
        <f>'Data Sheet'!H16</f>
        <v>44286</v>
      </c>
      <c r="E6" s="30">
        <f>'Data Sheet'!I16</f>
        <v>44651</v>
      </c>
      <c r="F6" s="30">
        <f>'Data Sheet'!J16</f>
        <v>45016</v>
      </c>
      <c r="G6" s="30">
        <f>'Data Sheet'!K16</f>
        <v>45382</v>
      </c>
      <c r="I6" s="80" t="s">
        <v>115</v>
      </c>
      <c r="J6" s="80"/>
      <c r="K6" s="80"/>
    </row>
    <row r="7" spans="2:11" ht="3" customHeight="1" x14ac:dyDescent="0.25"/>
    <row r="8" spans="2:11" x14ac:dyDescent="0.25">
      <c r="B8" s="49" t="s">
        <v>97</v>
      </c>
      <c r="C8" s="50">
        <f>'Data Sheet'!G17</f>
        <v>49387.7</v>
      </c>
      <c r="D8" s="50">
        <f>'Data Sheet'!H17</f>
        <v>49257.45</v>
      </c>
      <c r="E8" s="50">
        <f>'Data Sheet'!I17</f>
        <v>60644.54</v>
      </c>
      <c r="F8" s="50">
        <f>'Data Sheet'!J17</f>
        <v>70919.03</v>
      </c>
      <c r="G8" s="50">
        <f>'Data Sheet'!K17</f>
        <v>70866.22</v>
      </c>
    </row>
    <row r="9" spans="2:11" x14ac:dyDescent="0.25">
      <c r="B9" s="51" t="s">
        <v>98</v>
      </c>
      <c r="C9" s="52">
        <f>'Profit &amp; Loss'!G28</f>
        <v>2.1682439110972673E-2</v>
      </c>
      <c r="D9" s="52">
        <f>'Profit &amp; Loss'!H28</f>
        <v>-2.6372963308678443E-3</v>
      </c>
      <c r="E9" s="52">
        <f>'Profit &amp; Loss'!I28</f>
        <v>0.23117497962237188</v>
      </c>
      <c r="F9" s="52">
        <f>'Profit &amp; Loss'!J28</f>
        <v>0.1694215175842706</v>
      </c>
      <c r="G9" s="52">
        <f>'Profit &amp; Loss'!K28</f>
        <v>-7.4465203486284715E-4</v>
      </c>
    </row>
    <row r="10" spans="2:11" x14ac:dyDescent="0.25">
      <c r="B10" s="49" t="s">
        <v>101</v>
      </c>
      <c r="C10" s="53">
        <f>'Profit &amp; Loss'!G31</f>
        <v>0.565866197454022</v>
      </c>
      <c r="D10" s="53">
        <f>'Profit &amp; Loss'!H31</f>
        <v>0.51867747924425645</v>
      </c>
      <c r="E10" s="53">
        <f>'Profit &amp; Loss'!I31</f>
        <v>0.49650026201864172</v>
      </c>
      <c r="F10" s="53">
        <f>'Profit &amp; Loss'!J31</f>
        <v>0.53068887152009825</v>
      </c>
      <c r="G10" s="53">
        <f>'Profit &amp; Loss'!K31</f>
        <v>0.54761930296268091</v>
      </c>
    </row>
    <row r="11" spans="2:11" x14ac:dyDescent="0.25">
      <c r="B11" s="49" t="s">
        <v>105</v>
      </c>
      <c r="C11" s="53">
        <f>'Profit &amp; Loss'!G32</f>
        <v>0.39166715599228147</v>
      </c>
      <c r="D11" s="53">
        <f>'Profit &amp; Loss'!H32</f>
        <v>0.34644058919006154</v>
      </c>
      <c r="E11" s="53">
        <f>'Profit &amp; Loss'!I32</f>
        <v>0.3400660636555245</v>
      </c>
      <c r="F11" s="53">
        <f>'Profit &amp; Loss'!J32</f>
        <v>0.36244517162741785</v>
      </c>
      <c r="G11" s="53">
        <f>'Profit &amp; Loss'!K32</f>
        <v>0.37017016005651215</v>
      </c>
    </row>
    <row r="12" spans="2:11" x14ac:dyDescent="0.25">
      <c r="B12" s="49" t="s">
        <v>106</v>
      </c>
      <c r="C12" s="53">
        <f>'Profit &amp; Loss'!G33</f>
        <v>0.35836108990700111</v>
      </c>
      <c r="D12" s="53">
        <f>'Profit &amp; Loss'!H33</f>
        <v>0.31303264785326884</v>
      </c>
      <c r="E12" s="53">
        <f>'Profit &amp; Loss'!I33</f>
        <v>0.3114994358931571</v>
      </c>
      <c r="F12" s="53">
        <f>'Profit &amp; Loss'!J33</f>
        <v>0.33693706752616326</v>
      </c>
      <c r="G12" s="53">
        <f>'Profit &amp; Loss'!K33</f>
        <v>0.34453890725369585</v>
      </c>
    </row>
    <row r="13" spans="2:11" x14ac:dyDescent="0.25">
      <c r="B13" s="49" t="s">
        <v>107</v>
      </c>
      <c r="C13" s="53">
        <f>'Profit &amp; Loss'!G34</f>
        <v>0.30991987883622846</v>
      </c>
      <c r="D13" s="53">
        <f>'Profit &amp; Loss'!H34</f>
        <v>0.26719186640802561</v>
      </c>
      <c r="E13" s="53">
        <f>'Profit &amp; Loss'!I34</f>
        <v>0.25134430898478244</v>
      </c>
      <c r="F13" s="53">
        <f>'Profit &amp; Loss'!J34</f>
        <v>0.27061368436652333</v>
      </c>
      <c r="G13" s="53">
        <f>'Profit &amp; Loss'!K34</f>
        <v>0.28869579892930647</v>
      </c>
    </row>
    <row r="14" spans="2:11" x14ac:dyDescent="0.25">
      <c r="B14" s="49" t="s">
        <v>112</v>
      </c>
      <c r="C14" s="54">
        <f>'Profit &amp; Loss'!G13</f>
        <v>12.451985812141032</v>
      </c>
      <c r="D14" s="54">
        <f>'Profit &amp; Loss'!H13</f>
        <v>10.692504549590536</v>
      </c>
      <c r="E14" s="54">
        <f>'Profit &amp; Loss'!I13</f>
        <v>12.368975842509718</v>
      </c>
      <c r="F14" s="54">
        <f>'Profit &amp; Loss'!J13</f>
        <v>15.442275506919859</v>
      </c>
      <c r="G14" s="54">
        <f>'Profit &amp; Loss'!K13</f>
        <v>16.387081788108645</v>
      </c>
    </row>
    <row r="15" spans="2:11" x14ac:dyDescent="0.25">
      <c r="B15" s="51" t="s">
        <v>111</v>
      </c>
      <c r="C15" s="52">
        <f>'Profit &amp; Loss'!G35</f>
        <v>0.21219753037533184</v>
      </c>
      <c r="D15" s="52">
        <f>'Profit &amp; Loss'!H35</f>
        <v>-0.14130125821657724</v>
      </c>
      <c r="E15" s="52">
        <f>'Profit &amp; Loss'!I35</f>
        <v>0.15678939252669122</v>
      </c>
      <c r="F15" s="52">
        <f>'Profit &amp; Loss'!J35</f>
        <v>0.24846840219768396</v>
      </c>
      <c r="G15" s="52">
        <f>'Profit &amp; Loss'!K35</f>
        <v>6.1183099651693551E-2</v>
      </c>
    </row>
    <row r="16" spans="2:11" x14ac:dyDescent="0.25">
      <c r="B16" s="49" t="s">
        <v>109</v>
      </c>
      <c r="C16" s="54">
        <f>'Profit &amp; Loss'!G36</f>
        <v>10.149997559427931</v>
      </c>
      <c r="D16" s="54">
        <f>'Profit &amp; Loss'!H36</f>
        <v>10.749999999999998</v>
      </c>
      <c r="E16" s="54">
        <f>'Profit &amp; Loss'!I36</f>
        <v>11.500004057354767</v>
      </c>
      <c r="F16" s="54">
        <f>'Profit &amp; Loss'!J36</f>
        <v>15.500000000000004</v>
      </c>
      <c r="G16" s="54">
        <f>'Profit &amp; Loss'!K36</f>
        <v>13.749997997549</v>
      </c>
    </row>
    <row r="17" spans="2:11" x14ac:dyDescent="0.25">
      <c r="B17" s="51" t="s">
        <v>113</v>
      </c>
      <c r="C17" s="53">
        <f>'Profit &amp; Loss'!G37</f>
        <v>0.76521571469921024</v>
      </c>
      <c r="D17" s="53">
        <f>'Profit &amp; Loss'!H37</f>
        <v>5.9113555156941722E-2</v>
      </c>
      <c r="E17" s="53">
        <f>'Profit &amp; Loss'!I37</f>
        <v>6.9767819288815591E-2</v>
      </c>
      <c r="F17" s="53">
        <f>'Profit &amp; Loss'!J37</f>
        <v>0.34782561142550739</v>
      </c>
      <c r="G17" s="53">
        <f>'Profit &amp; Loss'!K37</f>
        <v>-0.1129033549968389</v>
      </c>
    </row>
    <row r="19" spans="2:11" x14ac:dyDescent="0.25">
      <c r="B19" s="25" t="s">
        <v>123</v>
      </c>
      <c r="C19" s="30">
        <f>C6</f>
        <v>43921</v>
      </c>
      <c r="D19" s="30">
        <f t="shared" ref="D19:G19" si="0">D6</f>
        <v>44286</v>
      </c>
      <c r="E19" s="30">
        <f t="shared" si="0"/>
        <v>44651</v>
      </c>
      <c r="F19" s="30">
        <f t="shared" si="0"/>
        <v>45016</v>
      </c>
      <c r="G19" s="30">
        <f t="shared" si="0"/>
        <v>45382</v>
      </c>
      <c r="I19" s="80" t="s">
        <v>130</v>
      </c>
      <c r="J19" s="80"/>
      <c r="K19" s="80"/>
    </row>
    <row r="20" spans="2:11" ht="3" customHeight="1" x14ac:dyDescent="0.25"/>
    <row r="21" spans="2:11" x14ac:dyDescent="0.25">
      <c r="B21" s="49" t="s">
        <v>124</v>
      </c>
      <c r="C21" s="55">
        <f>'Profit &amp; Loss'!G14</f>
        <v>12.925649163771876</v>
      </c>
      <c r="D21" s="55">
        <f>'Profit &amp; Loss'!H14</f>
        <v>19.155474664525016</v>
      </c>
      <c r="E21" s="55">
        <f>'Profit &amp; Loss'!I14</f>
        <v>18.995913889045614</v>
      </c>
      <c r="F21" s="55">
        <f>'Profit &amp; Loss'!J14</f>
        <v>23.279600201337455</v>
      </c>
      <c r="G21" s="55">
        <f>'Profit &amp; Loss'!K14</f>
        <v>24.502837368601647</v>
      </c>
      <c r="H21" s="33">
        <f>'Profit &amp; Loss'!L14</f>
        <v>24.692809912308014</v>
      </c>
    </row>
    <row r="22" spans="2:11" x14ac:dyDescent="0.25">
      <c r="B22" s="49" t="s">
        <v>125</v>
      </c>
      <c r="C22" s="55">
        <f>'Profit &amp; Loss'!G44</f>
        <v>9.8659846646477352</v>
      </c>
      <c r="D22" s="55">
        <f>'Profit &amp; Loss'!H44</f>
        <v>14.516486681926171</v>
      </c>
      <c r="E22" s="55">
        <f>'Profit &amp; Loss'!I44</f>
        <v>13.826368755500493</v>
      </c>
      <c r="F22" s="55">
        <f>'Profit &amp; Loss'!J44</f>
        <v>17.203374926957636</v>
      </c>
      <c r="G22" s="55">
        <f>'Profit &amp; Loss'!K44</f>
        <v>18.846193779791218</v>
      </c>
      <c r="H22" s="33">
        <f>'Profit &amp; Loss'!L44</f>
        <v>0</v>
      </c>
    </row>
    <row r="23" spans="2:11" x14ac:dyDescent="0.25">
      <c r="B23" s="49" t="s">
        <v>126</v>
      </c>
      <c r="C23" s="55">
        <f>'Profit &amp; Loss'!G45</f>
        <v>3.8641821546660409</v>
      </c>
      <c r="D23" s="55">
        <f>'Profit &amp; Loss'!H45</f>
        <v>5.0291001990561837</v>
      </c>
      <c r="E23" s="55">
        <f>'Profit &amp; Loss'!I45</f>
        <v>4.7018787973327854</v>
      </c>
      <c r="F23" s="55">
        <f>'Profit &amp; Loss'!J45</f>
        <v>6.2352801779719771</v>
      </c>
      <c r="G23" s="55">
        <f>'Profit &amp; Loss'!K45</f>
        <v>6.9762985679213596</v>
      </c>
    </row>
    <row r="24" spans="2:11" x14ac:dyDescent="0.25">
      <c r="B24" s="49" t="s">
        <v>127</v>
      </c>
      <c r="C24" s="55">
        <f>'Profit &amp; Loss'!G47</f>
        <v>3.0309955255796939</v>
      </c>
      <c r="D24" s="55">
        <f>'Profit &amp; Loss'!H47</f>
        <v>4.177629728170289</v>
      </c>
      <c r="E24" s="55">
        <f>'Profit &amp; Loss'!I47</f>
        <v>4.6360677966753006</v>
      </c>
      <c r="F24" s="55">
        <f>'Profit &amp; Loss'!J47</f>
        <v>6.4604510488428497</v>
      </c>
      <c r="G24" s="55">
        <f>'Profit &amp; Loss'!K47</f>
        <v>6.728202170265881</v>
      </c>
    </row>
    <row r="25" spans="2:11" x14ac:dyDescent="0.25">
      <c r="B25" s="49" t="s">
        <v>128</v>
      </c>
      <c r="C25" s="53">
        <f>'Balance Sheet'!G23</f>
        <v>0.23449464604648212</v>
      </c>
      <c r="D25" s="53">
        <f>'Balance Sheet'!H23</f>
        <v>0.21809063995198466</v>
      </c>
      <c r="E25" s="53">
        <f>'Balance Sheet'!I23</f>
        <v>0.24405605456807136</v>
      </c>
      <c r="F25" s="53">
        <f>'Balance Sheet'!J23</f>
        <v>0.2775155497933201</v>
      </c>
      <c r="G25" s="53">
        <f>'Balance Sheet'!K23</f>
        <v>0.27458869636409999</v>
      </c>
    </row>
    <row r="26" spans="2:11" x14ac:dyDescent="0.25">
      <c r="B26" s="49" t="s">
        <v>129</v>
      </c>
      <c r="C26" s="53">
        <f>'Balance Sheet'!G24</f>
        <v>0.32261652337652486</v>
      </c>
      <c r="D26" s="53">
        <f>'Balance Sheet'!H24</f>
        <v>0.28527066262298589</v>
      </c>
      <c r="E26" s="53">
        <f>'Balance Sheet'!I24</f>
        <v>0.33733252742915004</v>
      </c>
      <c r="F26" s="53">
        <f>'Balance Sheet'!J24</f>
        <v>0.39333609298769096</v>
      </c>
      <c r="G26" s="53">
        <f>'Balance Sheet'!K24</f>
        <v>0.3773426713604946</v>
      </c>
    </row>
    <row r="28" spans="2:11" x14ac:dyDescent="0.25">
      <c r="B28" s="25" t="s">
        <v>155</v>
      </c>
      <c r="C28" s="80" t="str">
        <f>'Share Price'!R8</f>
        <v>N.Shares(in Crs)</v>
      </c>
      <c r="D28" s="80"/>
      <c r="E28" s="35" t="str">
        <f>'Share Price'!S8</f>
        <v>% Holding</v>
      </c>
      <c r="F28" s="80" t="str">
        <f>'Share Price'!T8</f>
        <v>Market Value(in Crs)</v>
      </c>
      <c r="G28" s="80"/>
      <c r="I28" s="80" t="s">
        <v>159</v>
      </c>
      <c r="J28" s="80"/>
      <c r="K28" s="80"/>
    </row>
    <row r="29" spans="2:11" x14ac:dyDescent="0.25">
      <c r="B29" s="49" t="str">
        <f>'Share Price'!Q9</f>
        <v>British American Tobacco plc</v>
      </c>
      <c r="C29" s="82">
        <f>'Share Price'!R9</f>
        <v>318.27626930000002</v>
      </c>
      <c r="D29" s="82"/>
      <c r="E29" s="56">
        <f>'Share Price'!S9</f>
        <v>0.25440000000000002</v>
      </c>
      <c r="F29" s="82">
        <f>'Share Price'!T9</f>
        <v>130334.13227835001</v>
      </c>
      <c r="G29" s="82"/>
    </row>
    <row r="30" spans="2:11" x14ac:dyDescent="0.25">
      <c r="B30" s="49" t="str">
        <f>'Share Price'!Q10</f>
        <v>Life Insurance Corporation of India (Investment Portfolio)</v>
      </c>
      <c r="C30" s="82">
        <f>'Share Price'!R10</f>
        <v>189.6861285</v>
      </c>
      <c r="D30" s="82"/>
      <c r="E30" s="56">
        <f>'Share Price'!S10</f>
        <v>0.15160000000000001</v>
      </c>
      <c r="F30" s="82">
        <f>'Share Price'!T10</f>
        <v>77676.469620749995</v>
      </c>
      <c r="G30" s="82"/>
    </row>
    <row r="31" spans="2:11" x14ac:dyDescent="0.25">
      <c r="B31" s="49" t="str">
        <f>'Share Price'!Q11</f>
        <v>The Specified Undertaking of the Unit Trust of India</v>
      </c>
      <c r="C31" s="82">
        <f>'Share Price'!R11</f>
        <v>97.453142700000001</v>
      </c>
      <c r="D31" s="82"/>
      <c r="E31" s="56">
        <f>'Share Price'!S11</f>
        <v>7.7890000000000001E-2</v>
      </c>
      <c r="F31" s="82">
        <f>'Share Price'!T11</f>
        <v>39907.061935650003</v>
      </c>
      <c r="G31" s="82"/>
    </row>
    <row r="32" spans="2:11" x14ac:dyDescent="0.25">
      <c r="B32" s="49" t="str">
        <f>'Share Price'!Q12</f>
        <v>SBI Funds Management Ltd.</v>
      </c>
      <c r="C32" s="82">
        <f>'Share Price'!R12</f>
        <v>40.665415000000003</v>
      </c>
      <c r="D32" s="82"/>
      <c r="E32" s="56">
        <f>'Share Price'!S12</f>
        <v>3.2500000000000001E-2</v>
      </c>
      <c r="F32" s="82">
        <f>'Share Price'!T12</f>
        <v>16652.487442500002</v>
      </c>
      <c r="G32" s="82"/>
    </row>
    <row r="33" spans="2:11" x14ac:dyDescent="0.25">
      <c r="B33" s="49" t="str">
        <f>'Share Price'!Q13</f>
        <v>General Insurance Corp. of India (Invt Port)</v>
      </c>
      <c r="C33" s="82">
        <f>'Share Price'!R13</f>
        <v>21.699550800000001</v>
      </c>
      <c r="D33" s="82"/>
      <c r="E33" s="56">
        <f>'Share Price'!S13</f>
        <v>1.7340000000000001E-2</v>
      </c>
      <c r="F33" s="82">
        <f>'Share Price'!T13</f>
        <v>8885.9660526000007</v>
      </c>
      <c r="G33" s="82"/>
    </row>
    <row r="34" spans="2:11" x14ac:dyDescent="0.25">
      <c r="B34" s="49" t="str">
        <f>'Share Price'!Q14</f>
        <v>The New India Assurance Co. Ltd. (Investment Portfolio)</v>
      </c>
      <c r="C34" s="82">
        <f>'Share Price'!R14</f>
        <v>18.444745000000001</v>
      </c>
      <c r="D34" s="82"/>
      <c r="E34" s="56">
        <f>'Share Price'!S14</f>
        <v>1.474E-2</v>
      </c>
      <c r="F34" s="82">
        <f>'Share Price'!T14</f>
        <v>7553.1230775000004</v>
      </c>
      <c r="G34" s="82"/>
    </row>
    <row r="35" spans="2:11" x14ac:dyDescent="0.25">
      <c r="B35" s="49" t="str">
        <f>'Share Price'!Q15</f>
        <v>Government of Singapore</v>
      </c>
      <c r="C35" s="82">
        <f>'Share Price'!R15</f>
        <v>18.005723199999998</v>
      </c>
      <c r="D35" s="82"/>
      <c r="E35" s="56">
        <f>'Share Price'!S15</f>
        <v>1.439E-2</v>
      </c>
      <c r="F35" s="82">
        <f>'Share Price'!T15</f>
        <v>7373.3436503999992</v>
      </c>
      <c r="G35" s="82"/>
    </row>
    <row r="36" spans="2:11" x14ac:dyDescent="0.25">
      <c r="B36" s="49" t="str">
        <f>'Share Price'!Q16</f>
        <v>HDFC Asset Management Co. Ltd. (Invt Mgmt)</v>
      </c>
      <c r="C36" s="82">
        <f>'Share Price'!R16</f>
        <v>14.6878894</v>
      </c>
      <c r="D36" s="82"/>
      <c r="E36" s="56">
        <f>'Share Price'!S16</f>
        <v>1.174E-2</v>
      </c>
      <c r="F36" s="82">
        <f>'Share Price'!T16</f>
        <v>6014.6907093</v>
      </c>
      <c r="G36" s="82"/>
    </row>
    <row r="37" spans="2:11" x14ac:dyDescent="0.25">
      <c r="B37" s="49" t="str">
        <f>'Share Price'!Q17</f>
        <v>UTI Asset Management Co. Ltd. (Investment Management)</v>
      </c>
      <c r="C37" s="82">
        <f>'Share Price'!R17</f>
        <v>14.1084481</v>
      </c>
      <c r="D37" s="82"/>
      <c r="E37" s="56">
        <f>'Share Price'!S17</f>
        <v>1.128E-2</v>
      </c>
      <c r="F37" s="82">
        <f>'Share Price'!T17</f>
        <v>5777.4094969500002</v>
      </c>
      <c r="G37" s="82"/>
    </row>
    <row r="38" spans="2:11" x14ac:dyDescent="0.25">
      <c r="B38" s="49" t="str">
        <f>'Share Price'!Q18</f>
        <v>PPFAS Asset Management Private Ltd.</v>
      </c>
      <c r="C38" s="82">
        <f>'Share Price'!R18</f>
        <v>10.636832</v>
      </c>
      <c r="D38" s="82"/>
      <c r="E38" s="56">
        <f>'Share Price'!S18</f>
        <v>8.5019999999999991E-3</v>
      </c>
      <c r="F38" s="82">
        <f>'Share Price'!T18</f>
        <v>4355.7827040000002</v>
      </c>
      <c r="G38" s="82"/>
    </row>
    <row r="40" spans="2:11" x14ac:dyDescent="0.25">
      <c r="B40" s="25" t="s">
        <v>1433</v>
      </c>
      <c r="C40" s="80" t="s">
        <v>174</v>
      </c>
      <c r="D40" s="80"/>
      <c r="E40" s="35" t="s">
        <v>175</v>
      </c>
      <c r="F40" s="80" t="s">
        <v>176</v>
      </c>
      <c r="G40" s="80"/>
      <c r="I40" s="80" t="s">
        <v>163</v>
      </c>
      <c r="J40" s="80"/>
      <c r="K40" s="80"/>
    </row>
    <row r="41" spans="2:11" ht="3" customHeight="1" x14ac:dyDescent="0.25"/>
    <row r="42" spans="2:11" x14ac:dyDescent="0.25">
      <c r="B42" s="49" t="s">
        <v>177</v>
      </c>
      <c r="C42" s="58" t="s">
        <v>183</v>
      </c>
      <c r="D42" s="49"/>
      <c r="E42" s="49">
        <v>25.7</v>
      </c>
      <c r="F42" s="85" t="s">
        <v>184</v>
      </c>
      <c r="G42" s="84"/>
      <c r="I42" s="49" t="s">
        <v>164</v>
      </c>
      <c r="J42" s="49"/>
      <c r="K42" s="49">
        <f>'Data Sheet'!B8</f>
        <v>397.45</v>
      </c>
    </row>
    <row r="43" spans="2:11" x14ac:dyDescent="0.25">
      <c r="B43" s="49" t="s">
        <v>178</v>
      </c>
      <c r="C43" s="58" t="s">
        <v>182</v>
      </c>
      <c r="D43" s="49"/>
      <c r="E43" s="49">
        <v>5.66</v>
      </c>
      <c r="F43" s="83" t="s">
        <v>185</v>
      </c>
      <c r="G43" s="84"/>
      <c r="I43" s="60" t="s">
        <v>165</v>
      </c>
      <c r="J43" s="60"/>
      <c r="K43" s="61">
        <f>'Data Sheet'!B6</f>
        <v>1251.2479557177003</v>
      </c>
    </row>
    <row r="44" spans="2:11" ht="15.75" thickBot="1" x14ac:dyDescent="0.3">
      <c r="B44" s="49" t="s">
        <v>180</v>
      </c>
      <c r="C44" s="58" t="s">
        <v>181</v>
      </c>
      <c r="D44" s="49"/>
      <c r="E44" s="49">
        <v>11.91</v>
      </c>
      <c r="F44" s="83" t="s">
        <v>186</v>
      </c>
      <c r="G44" s="84"/>
      <c r="I44" s="64" t="s">
        <v>79</v>
      </c>
      <c r="J44" s="64"/>
      <c r="K44" s="65">
        <f>K42*K43</f>
        <v>497308.49999999994</v>
      </c>
    </row>
    <row r="45" spans="2:11" x14ac:dyDescent="0.25">
      <c r="B45" s="49" t="s">
        <v>179</v>
      </c>
      <c r="C45" s="58" t="s">
        <v>181</v>
      </c>
      <c r="D45" s="49"/>
      <c r="E45" s="49">
        <v>2.4900000000000002</v>
      </c>
      <c r="F45" s="83" t="s">
        <v>187</v>
      </c>
      <c r="G45" s="84"/>
      <c r="I45" s="62" t="s">
        <v>166</v>
      </c>
      <c r="J45" s="29"/>
      <c r="K45" s="63">
        <f xml:space="preserve"> -'Data Sheet'!K69</f>
        <v>-7217.68</v>
      </c>
    </row>
    <row r="46" spans="2:11" x14ac:dyDescent="0.25">
      <c r="B46" s="60"/>
      <c r="C46" s="68"/>
      <c r="D46" s="60"/>
      <c r="E46" s="60"/>
      <c r="F46" s="78"/>
      <c r="G46" s="79"/>
      <c r="I46" s="59" t="s">
        <v>167</v>
      </c>
      <c r="J46" s="49"/>
      <c r="K46" s="49">
        <f>'Data Sheet'!K59</f>
        <v>303.43</v>
      </c>
    </row>
    <row r="47" spans="2:11" x14ac:dyDescent="0.25">
      <c r="I47" s="66" t="s">
        <v>168</v>
      </c>
      <c r="J47" s="60"/>
      <c r="K47" s="60">
        <f>292.58</f>
        <v>292.58</v>
      </c>
    </row>
    <row r="48" spans="2:11" ht="15.75" thickBot="1" x14ac:dyDescent="0.3">
      <c r="I48" s="64" t="s">
        <v>169</v>
      </c>
      <c r="J48" s="67"/>
      <c r="K48" s="65">
        <f>SUM(K44:K47)</f>
        <v>490686.82999999996</v>
      </c>
    </row>
    <row r="50" spans="2:19" x14ac:dyDescent="0.25">
      <c r="B50" s="25" t="s">
        <v>188</v>
      </c>
      <c r="C50" s="71"/>
      <c r="D50" s="71"/>
      <c r="E50" s="71"/>
      <c r="F50" s="71"/>
      <c r="G50" s="71"/>
      <c r="H50" s="71"/>
      <c r="I50" s="71"/>
      <c r="J50" s="71"/>
      <c r="K50" s="71"/>
    </row>
    <row r="51" spans="2:19" ht="3" customHeight="1" x14ac:dyDescent="0.25">
      <c r="B51" s="70"/>
      <c r="C51" s="70"/>
      <c r="D51" s="70"/>
      <c r="E51" s="70"/>
      <c r="F51" s="70"/>
      <c r="G51" s="70"/>
      <c r="H51" s="48"/>
      <c r="I51" s="48"/>
    </row>
    <row r="52" spans="2:19" x14ac:dyDescent="0.25">
      <c r="B52" s="76" t="s">
        <v>189</v>
      </c>
      <c r="C52" s="76"/>
      <c r="D52" s="76"/>
      <c r="E52" s="76"/>
      <c r="F52" s="76"/>
      <c r="G52" s="76"/>
      <c r="H52" s="76"/>
      <c r="I52" s="76"/>
      <c r="J52" s="76"/>
      <c r="K52" s="76"/>
    </row>
    <row r="53" spans="2:19" ht="10.5" customHeight="1" x14ac:dyDescent="0.25">
      <c r="B53" s="76"/>
      <c r="C53" s="76"/>
      <c r="D53" s="76"/>
      <c r="E53" s="76"/>
      <c r="F53" s="76"/>
      <c r="G53" s="76"/>
      <c r="H53" s="76"/>
      <c r="I53" s="76"/>
      <c r="J53" s="76"/>
      <c r="K53" s="76"/>
    </row>
    <row r="54" spans="2:19" ht="1.5" hidden="1" customHeight="1" x14ac:dyDescent="0.25">
      <c r="B54" s="76"/>
      <c r="C54" s="76"/>
      <c r="D54" s="76"/>
      <c r="E54" s="76"/>
      <c r="F54" s="76"/>
      <c r="G54" s="76"/>
      <c r="H54" s="76"/>
      <c r="I54" s="76"/>
      <c r="J54" s="76"/>
      <c r="K54" s="76"/>
    </row>
    <row r="55" spans="2:19" ht="3.75" hidden="1" customHeight="1" x14ac:dyDescent="0.25"/>
    <row r="56" spans="2:19" x14ac:dyDescent="0.25">
      <c r="B56" s="75" t="s">
        <v>190</v>
      </c>
      <c r="C56" s="75"/>
      <c r="D56" s="75"/>
      <c r="E56" s="75"/>
      <c r="F56" s="75"/>
      <c r="G56" s="75"/>
      <c r="H56" s="75"/>
      <c r="I56" s="75"/>
      <c r="J56" s="75"/>
      <c r="K56" s="75"/>
    </row>
    <row r="57" spans="2:19" ht="9" customHeight="1" x14ac:dyDescent="0.25"/>
    <row r="58" spans="2:19" ht="15" customHeight="1" x14ac:dyDescent="0.25">
      <c r="B58" s="2" t="s">
        <v>191</v>
      </c>
      <c r="C58" s="2"/>
      <c r="D58" s="2"/>
      <c r="E58" s="2"/>
      <c r="F58" s="2"/>
      <c r="G58" s="2"/>
      <c r="H58" s="2"/>
      <c r="I58" s="2"/>
      <c r="J58" s="2"/>
      <c r="K58" s="2"/>
      <c r="L58" s="2"/>
      <c r="S58"/>
    </row>
    <row r="59" spans="2:19" x14ac:dyDescent="0.25">
      <c r="B59" s="77"/>
      <c r="C59" s="77"/>
      <c r="D59" s="77"/>
      <c r="E59" s="77"/>
      <c r="F59" s="77"/>
      <c r="G59" s="77"/>
    </row>
    <row r="60" spans="2:19" ht="15" customHeight="1" x14ac:dyDescent="0.25">
      <c r="B60" s="75" t="s">
        <v>192</v>
      </c>
      <c r="C60" s="75"/>
      <c r="D60" s="75"/>
      <c r="E60" s="75"/>
      <c r="F60" s="75"/>
      <c r="G60" s="75"/>
    </row>
    <row r="61" spans="2:19" x14ac:dyDescent="0.25">
      <c r="B61" s="75"/>
      <c r="C61" s="75"/>
      <c r="D61" s="75"/>
      <c r="E61" s="75"/>
      <c r="F61" s="75"/>
      <c r="G61" s="75"/>
    </row>
    <row r="62" spans="2:19" x14ac:dyDescent="0.25">
      <c r="B62" s="75"/>
      <c r="C62" s="75"/>
      <c r="D62" s="75"/>
      <c r="E62" s="75"/>
      <c r="F62" s="75"/>
      <c r="G62" s="75"/>
    </row>
    <row r="63" spans="2:19" x14ac:dyDescent="0.25">
      <c r="B63" s="75" t="s">
        <v>193</v>
      </c>
      <c r="C63" s="75"/>
      <c r="D63" s="75"/>
      <c r="E63" s="75"/>
      <c r="F63" s="75"/>
      <c r="G63" s="75"/>
      <c r="H63" s="75"/>
      <c r="I63" s="75"/>
      <c r="J63" s="75"/>
      <c r="K63" s="75"/>
    </row>
    <row r="64" spans="2:19" x14ac:dyDescent="0.25">
      <c r="B64" s="75"/>
      <c r="C64" s="75"/>
      <c r="D64" s="75"/>
      <c r="E64" s="75"/>
      <c r="F64" s="75"/>
      <c r="G64" s="75"/>
      <c r="H64" s="75"/>
      <c r="I64" s="75"/>
      <c r="J64" s="75"/>
      <c r="K64" s="75"/>
    </row>
    <row r="65" spans="2:13" x14ac:dyDescent="0.25">
      <c r="B65" s="45" t="s">
        <v>194</v>
      </c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72"/>
    </row>
    <row r="66" spans="2:13" x14ac:dyDescent="0.25">
      <c r="B66" s="57"/>
      <c r="C66" s="57"/>
      <c r="D66" s="57"/>
      <c r="E66" s="69"/>
      <c r="F66" s="57"/>
      <c r="G66" s="57"/>
      <c r="H66" s="57"/>
      <c r="I66" s="57"/>
      <c r="J66" s="57"/>
      <c r="K66" s="57"/>
      <c r="L66" s="57"/>
      <c r="M66" s="72"/>
    </row>
    <row r="67" spans="2:13" x14ac:dyDescent="0.25">
      <c r="B67" s="25" t="s">
        <v>195</v>
      </c>
      <c r="C67" s="71"/>
      <c r="D67" s="71"/>
      <c r="E67" s="71"/>
      <c r="F67" s="71"/>
      <c r="G67" s="71"/>
      <c r="H67" s="71"/>
      <c r="I67" s="71"/>
      <c r="J67" s="71"/>
      <c r="K67" s="71"/>
      <c r="L67" s="57"/>
      <c r="M67" s="72"/>
    </row>
    <row r="68" spans="2:13" ht="3" customHeight="1" x14ac:dyDescent="0.25"/>
    <row r="69" spans="2:13" x14ac:dyDescent="0.25">
      <c r="B69" s="2" t="s">
        <v>196</v>
      </c>
    </row>
    <row r="70" spans="2:13" x14ac:dyDescent="0.25">
      <c r="B70" s="2" t="s">
        <v>197</v>
      </c>
    </row>
    <row r="71" spans="2:13" x14ac:dyDescent="0.25">
      <c r="B71" s="2" t="s">
        <v>198</v>
      </c>
    </row>
    <row r="72" spans="2:13" x14ac:dyDescent="0.25">
      <c r="B72" s="2" t="s">
        <v>199</v>
      </c>
    </row>
    <row r="73" spans="2:13" x14ac:dyDescent="0.25">
      <c r="B73" s="2" t="s">
        <v>200</v>
      </c>
    </row>
    <row r="74" spans="2:13" x14ac:dyDescent="0.25">
      <c r="B74" s="2" t="s">
        <v>1434</v>
      </c>
    </row>
  </sheetData>
  <mergeCells count="40">
    <mergeCell ref="F43:G43"/>
    <mergeCell ref="F44:G44"/>
    <mergeCell ref="F45:G45"/>
    <mergeCell ref="C30:D30"/>
    <mergeCell ref="C31:D31"/>
    <mergeCell ref="C40:D40"/>
    <mergeCell ref="F40:G40"/>
    <mergeCell ref="F42:G42"/>
    <mergeCell ref="F34:G34"/>
    <mergeCell ref="F35:G35"/>
    <mergeCell ref="F36:G36"/>
    <mergeCell ref="F37:G37"/>
    <mergeCell ref="F38:G38"/>
    <mergeCell ref="F29:G29"/>
    <mergeCell ref="F30:G30"/>
    <mergeCell ref="F31:G31"/>
    <mergeCell ref="F32:G32"/>
    <mergeCell ref="F33:G33"/>
    <mergeCell ref="I40:K40"/>
    <mergeCell ref="I19:K19"/>
    <mergeCell ref="C4:K4"/>
    <mergeCell ref="I6:K6"/>
    <mergeCell ref="B2:K2"/>
    <mergeCell ref="I28:K28"/>
    <mergeCell ref="C32:D32"/>
    <mergeCell ref="C33:D33"/>
    <mergeCell ref="C34:D34"/>
    <mergeCell ref="C28:D28"/>
    <mergeCell ref="F28:G28"/>
    <mergeCell ref="C29:D29"/>
    <mergeCell ref="C35:D35"/>
    <mergeCell ref="C36:D36"/>
    <mergeCell ref="C37:D37"/>
    <mergeCell ref="C38:D38"/>
    <mergeCell ref="B63:K64"/>
    <mergeCell ref="B52:K54"/>
    <mergeCell ref="B59:G59"/>
    <mergeCell ref="F46:G46"/>
    <mergeCell ref="B56:K56"/>
    <mergeCell ref="B60:G62"/>
  </mergeCells>
  <pageMargins left="0.31496062992125984" right="0.70866141732283472" top="0.74803149606299213" bottom="0.43307086614173229" header="0.31496062992125984" footer="0.32283464566929132"/>
  <pageSetup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N47"/>
  <sheetViews>
    <sheetView zoomScale="110" zoomScaleNormal="11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K50" sqref="K50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ITC LTD</v>
      </c>
      <c r="H1" t="str">
        <f>UPDATE</f>
        <v/>
      </c>
      <c r="J1" s="3"/>
      <c r="K1" s="3"/>
      <c r="M1" s="2" t="s">
        <v>1</v>
      </c>
    </row>
    <row r="3" spans="1:14" s="2" customFormat="1" x14ac:dyDescent="0.25">
      <c r="A3" s="11" t="s">
        <v>2</v>
      </c>
      <c r="B3" s="12">
        <f>'Data Sheet'!B16</f>
        <v>42094</v>
      </c>
      <c r="C3" s="12">
        <f>'Data Sheet'!C16</f>
        <v>42460</v>
      </c>
      <c r="D3" s="12">
        <f>'Data Sheet'!D16</f>
        <v>42825</v>
      </c>
      <c r="E3" s="12">
        <f>'Data Sheet'!E16</f>
        <v>43190</v>
      </c>
      <c r="F3" s="12">
        <f>'Data Sheet'!F16</f>
        <v>43555</v>
      </c>
      <c r="G3" s="12">
        <f>'Data Sheet'!G16</f>
        <v>43921</v>
      </c>
      <c r="H3" s="12">
        <f>'Data Sheet'!H16</f>
        <v>44286</v>
      </c>
      <c r="I3" s="12">
        <f>'Data Sheet'!I16</f>
        <v>44651</v>
      </c>
      <c r="J3" s="12">
        <f>'Data Sheet'!J16</f>
        <v>45016</v>
      </c>
      <c r="K3" s="12">
        <f>'Data Sheet'!K16</f>
        <v>45382</v>
      </c>
      <c r="L3" s="13" t="s">
        <v>3</v>
      </c>
      <c r="M3" s="13" t="s">
        <v>4</v>
      </c>
      <c r="N3" s="13" t="s">
        <v>5</v>
      </c>
    </row>
    <row r="4" spans="1:14" s="2" customFormat="1" x14ac:dyDescent="0.25">
      <c r="A4" s="2" t="s">
        <v>6</v>
      </c>
      <c r="B4" s="1">
        <f>'Data Sheet'!B17</f>
        <v>38817.15</v>
      </c>
      <c r="C4" s="1">
        <f>'Data Sheet'!C17</f>
        <v>39192.1</v>
      </c>
      <c r="D4" s="1">
        <f>'Data Sheet'!D17</f>
        <v>42767.6</v>
      </c>
      <c r="E4" s="1">
        <f>'Data Sheet'!E17</f>
        <v>43448.94</v>
      </c>
      <c r="F4" s="1">
        <f>'Data Sheet'!F17</f>
        <v>48339.58</v>
      </c>
      <c r="G4" s="1">
        <f>'Data Sheet'!G17</f>
        <v>49387.7</v>
      </c>
      <c r="H4" s="1">
        <f>'Data Sheet'!H17</f>
        <v>49257.45</v>
      </c>
      <c r="I4" s="1">
        <f>'Data Sheet'!I17</f>
        <v>60644.54</v>
      </c>
      <c r="J4" s="1">
        <f>'Data Sheet'!J17</f>
        <v>70919.03</v>
      </c>
      <c r="K4" s="1">
        <f>'Data Sheet'!K17</f>
        <v>70866.22</v>
      </c>
      <c r="L4" s="1">
        <f>SUM(Quarters!H4:K4)</f>
        <v>75160.56</v>
      </c>
      <c r="M4" s="1">
        <f>$K4+M23*K4</f>
        <v>80000.93248487798</v>
      </c>
      <c r="N4" s="1">
        <f>$K4+N23*L4</f>
        <v>75420.787736650833</v>
      </c>
    </row>
    <row r="5" spans="1:14" x14ac:dyDescent="0.25">
      <c r="A5" t="s">
        <v>7</v>
      </c>
      <c r="B5" s="6">
        <f>SUM('Data Sheet'!B18,'Data Sheet'!B20:B24, -1*'Data Sheet'!B19)</f>
        <v>24565.529999999995</v>
      </c>
      <c r="C5" s="6">
        <f>SUM('Data Sheet'!C18,'Data Sheet'!C20:C24, -1*'Data Sheet'!C19)</f>
        <v>24660.609999999997</v>
      </c>
      <c r="D5" s="6">
        <f>SUM('Data Sheet'!D18,'Data Sheet'!D20:D24, -1*'Data Sheet'!D19)</f>
        <v>27298.09</v>
      </c>
      <c r="E5" s="6">
        <f>SUM('Data Sheet'!E18,'Data Sheet'!E20:E24, -1*'Data Sheet'!E19)</f>
        <v>26928.35</v>
      </c>
      <c r="F5" s="6">
        <f>SUM('Data Sheet'!F18,'Data Sheet'!F20:F24, -1*'Data Sheet'!F19)</f>
        <v>29802.19</v>
      </c>
      <c r="G5" s="6">
        <f>SUM('Data Sheet'!G18,'Data Sheet'!G20:G24, -1*'Data Sheet'!G19)</f>
        <v>30044.16</v>
      </c>
      <c r="H5" s="6">
        <f>SUM('Data Sheet'!H18,'Data Sheet'!H20:H24, -1*'Data Sheet'!H19)</f>
        <v>32192.670000000002</v>
      </c>
      <c r="I5" s="6">
        <f>SUM('Data Sheet'!I18,'Data Sheet'!I20:I24, -1*'Data Sheet'!I19)</f>
        <v>40021.39</v>
      </c>
      <c r="J5" s="6">
        <f>SUM('Data Sheet'!J18,'Data Sheet'!J20:J24, -1*'Data Sheet'!J19)</f>
        <v>45214.770000000004</v>
      </c>
      <c r="K5" s="6">
        <f>SUM('Data Sheet'!K18,'Data Sheet'!K20:K24, -1*'Data Sheet'!K19)</f>
        <v>44633.659999999996</v>
      </c>
      <c r="L5" s="6">
        <f>SUM(Quarters!H5:K5)</f>
        <v>48871.95</v>
      </c>
      <c r="M5" s="6">
        <f>M4-M6</f>
        <v>51324.988785708148</v>
      </c>
      <c r="N5" s="6">
        <f>N4-N6</f>
        <v>49041.158916674016</v>
      </c>
    </row>
    <row r="6" spans="1:14" s="2" customFormat="1" x14ac:dyDescent="0.25">
      <c r="A6" s="2" t="s">
        <v>8</v>
      </c>
      <c r="B6" s="1">
        <f>B4-B5</f>
        <v>14251.620000000006</v>
      </c>
      <c r="C6" s="1">
        <f t="shared" ref="C6:K6" si="0">C4-C5</f>
        <v>14531.490000000002</v>
      </c>
      <c r="D6" s="1">
        <f t="shared" si="0"/>
        <v>15469.509999999998</v>
      </c>
      <c r="E6" s="1">
        <f t="shared" si="0"/>
        <v>16520.590000000004</v>
      </c>
      <c r="F6" s="1">
        <f t="shared" si="0"/>
        <v>18537.390000000003</v>
      </c>
      <c r="G6" s="1">
        <f t="shared" si="0"/>
        <v>19343.539999999997</v>
      </c>
      <c r="H6" s="1">
        <f t="shared" si="0"/>
        <v>17064.779999999995</v>
      </c>
      <c r="I6" s="1">
        <f t="shared" si="0"/>
        <v>20623.150000000001</v>
      </c>
      <c r="J6" s="1">
        <f t="shared" si="0"/>
        <v>25704.259999999995</v>
      </c>
      <c r="K6" s="1">
        <f t="shared" si="0"/>
        <v>26232.560000000005</v>
      </c>
      <c r="L6" s="1">
        <f>SUM(Quarters!H6:K6)</f>
        <v>26288.61</v>
      </c>
      <c r="M6" s="1">
        <f>M4*M24</f>
        <v>28675.943699169828</v>
      </c>
      <c r="N6" s="1">
        <f>N4*N24</f>
        <v>26379.628819976817</v>
      </c>
    </row>
    <row r="7" spans="1:14" x14ac:dyDescent="0.25">
      <c r="A7" t="s">
        <v>9</v>
      </c>
      <c r="B7" s="6">
        <f>'Data Sheet'!B25</f>
        <v>1229.3499999999999</v>
      </c>
      <c r="C7" s="6">
        <f>'Data Sheet'!C25</f>
        <v>1483.11</v>
      </c>
      <c r="D7" s="6">
        <f>'Data Sheet'!D25</f>
        <v>1758.63</v>
      </c>
      <c r="E7" s="6">
        <f>'Data Sheet'!E25</f>
        <v>2239.81</v>
      </c>
      <c r="F7" s="6">
        <f>'Data Sheet'!F25</f>
        <v>2080.44</v>
      </c>
      <c r="G7" s="6">
        <f>'Data Sheet'!G25</f>
        <v>2417.3200000000002</v>
      </c>
      <c r="H7" s="6">
        <f>'Data Sheet'!H25</f>
        <v>2576.9499999999998</v>
      </c>
      <c r="I7" s="6">
        <f>'Data Sheet'!I25</f>
        <v>1909.72</v>
      </c>
      <c r="J7" s="6">
        <f>'Data Sheet'!J25</f>
        <v>2097.64</v>
      </c>
      <c r="K7" s="6">
        <f>'Data Sheet'!K25</f>
        <v>2803.77</v>
      </c>
      <c r="L7" s="6">
        <f>SUM(Quarters!H7:K7)</f>
        <v>2874.9500000000003</v>
      </c>
      <c r="M7" s="6">
        <v>0</v>
      </c>
      <c r="N7" s="6">
        <v>0</v>
      </c>
    </row>
    <row r="8" spans="1:14" x14ac:dyDescent="0.25">
      <c r="A8" t="s">
        <v>10</v>
      </c>
      <c r="B8" s="6">
        <f>'Data Sheet'!B26</f>
        <v>1027.96</v>
      </c>
      <c r="C8" s="6">
        <f>'Data Sheet'!C26</f>
        <v>1077.4000000000001</v>
      </c>
      <c r="D8" s="6">
        <f>'Data Sheet'!D26</f>
        <v>1152.79</v>
      </c>
      <c r="E8" s="6">
        <f>'Data Sheet'!E26</f>
        <v>1236.28</v>
      </c>
      <c r="F8" s="6">
        <f>'Data Sheet'!F26</f>
        <v>1396.61</v>
      </c>
      <c r="G8" s="6">
        <f>'Data Sheet'!G26</f>
        <v>1644.91</v>
      </c>
      <c r="H8" s="6">
        <f>'Data Sheet'!H26</f>
        <v>1645.59</v>
      </c>
      <c r="I8" s="6">
        <f>'Data Sheet'!I26</f>
        <v>1732.41</v>
      </c>
      <c r="J8" s="6">
        <f>'Data Sheet'!J26</f>
        <v>1809.01</v>
      </c>
      <c r="K8" s="6">
        <f>'Data Sheet'!K26</f>
        <v>1816.39</v>
      </c>
      <c r="L8" s="6">
        <f>SUM(Quarters!H8:K8)</f>
        <v>1792.17</v>
      </c>
      <c r="M8" s="6">
        <f>+$L8</f>
        <v>1792.17</v>
      </c>
      <c r="N8" s="6">
        <f>+$L8</f>
        <v>1792.17</v>
      </c>
    </row>
    <row r="9" spans="1:14" x14ac:dyDescent="0.25">
      <c r="A9" t="s">
        <v>11</v>
      </c>
      <c r="B9" s="6">
        <f>'Data Sheet'!B27</f>
        <v>90.96</v>
      </c>
      <c r="C9" s="6">
        <f>'Data Sheet'!C27</f>
        <v>78.13</v>
      </c>
      <c r="D9" s="6">
        <f>'Data Sheet'!D27</f>
        <v>49.03</v>
      </c>
      <c r="E9" s="6">
        <f>'Data Sheet'!E27</f>
        <v>115.01</v>
      </c>
      <c r="F9" s="6">
        <f>'Data Sheet'!F27</f>
        <v>71.400000000000006</v>
      </c>
      <c r="G9" s="6">
        <f>'Data Sheet'!G27</f>
        <v>81.38</v>
      </c>
      <c r="H9" s="6">
        <f>'Data Sheet'!H27</f>
        <v>57.97</v>
      </c>
      <c r="I9" s="6">
        <f>'Data Sheet'!I27</f>
        <v>59.99</v>
      </c>
      <c r="J9" s="6">
        <f>'Data Sheet'!J27</f>
        <v>77.77</v>
      </c>
      <c r="K9" s="6">
        <f>'Data Sheet'!K27</f>
        <v>80.06</v>
      </c>
      <c r="L9" s="6">
        <f>SUM(Quarters!H9:K9)</f>
        <v>48.39</v>
      </c>
      <c r="M9" s="6">
        <f>+$L9</f>
        <v>48.39</v>
      </c>
      <c r="N9" s="6">
        <f>+$L9</f>
        <v>48.39</v>
      </c>
    </row>
    <row r="10" spans="1:14" x14ac:dyDescent="0.25">
      <c r="A10" t="s">
        <v>12</v>
      </c>
      <c r="B10" s="6">
        <f>'Data Sheet'!B28</f>
        <v>14362.05</v>
      </c>
      <c r="C10" s="6">
        <f>'Data Sheet'!C28</f>
        <v>14859.07</v>
      </c>
      <c r="D10" s="6">
        <f>'Data Sheet'!D28</f>
        <v>16026.32</v>
      </c>
      <c r="E10" s="6">
        <f>'Data Sheet'!E28</f>
        <v>17409.11</v>
      </c>
      <c r="F10" s="6">
        <f>'Data Sheet'!F28</f>
        <v>19149.82</v>
      </c>
      <c r="G10" s="6">
        <f>'Data Sheet'!G28</f>
        <v>20034.57</v>
      </c>
      <c r="H10" s="6">
        <f>'Data Sheet'!H28</f>
        <v>17938.169999999998</v>
      </c>
      <c r="I10" s="6">
        <f>'Data Sheet'!I28</f>
        <v>20740.47</v>
      </c>
      <c r="J10" s="6">
        <f>'Data Sheet'!J28</f>
        <v>25915.119999999999</v>
      </c>
      <c r="K10" s="6">
        <f>'Data Sheet'!K28</f>
        <v>27139.88</v>
      </c>
      <c r="L10" s="6">
        <f>SUM(Quarters!H10:K10)</f>
        <v>27323</v>
      </c>
      <c r="M10" s="6">
        <f>M6+M7-SUM(M8:M9)</f>
        <v>26835.383699169826</v>
      </c>
      <c r="N10" s="6">
        <f>N6+N7-SUM(N8:N9)</f>
        <v>24539.068819976816</v>
      </c>
    </row>
    <row r="11" spans="1:14" x14ac:dyDescent="0.25">
      <c r="A11" t="s">
        <v>13</v>
      </c>
      <c r="B11" s="6">
        <f>'Data Sheet'!B29</f>
        <v>4596.42</v>
      </c>
      <c r="C11" s="6">
        <f>'Data Sheet'!C29</f>
        <v>5358.21</v>
      </c>
      <c r="D11" s="6">
        <f>'Data Sheet'!D29</f>
        <v>5549.09</v>
      </c>
      <c r="E11" s="6">
        <f>'Data Sheet'!E29</f>
        <v>5916.43</v>
      </c>
      <c r="F11" s="6">
        <f>'Data Sheet'!F29</f>
        <v>6313.92</v>
      </c>
      <c r="G11" s="6">
        <f>'Data Sheet'!G29</f>
        <v>4441.79</v>
      </c>
      <c r="H11" s="6">
        <f>'Data Sheet'!H29</f>
        <v>4555.29</v>
      </c>
      <c r="I11" s="6">
        <f>'Data Sheet'!I29</f>
        <v>5237.34</v>
      </c>
      <c r="J11" s="6">
        <f>'Data Sheet'!J29</f>
        <v>6438.4</v>
      </c>
      <c r="K11" s="6">
        <f>'Data Sheet'!K29</f>
        <v>6388.52</v>
      </c>
      <c r="L11" s="6">
        <f>SUM(Quarters!H11:K11)</f>
        <v>6891.1799999999994</v>
      </c>
      <c r="M11" s="7">
        <f>IF($L10&gt;0,$L11/$L10,0)</f>
        <v>0.25221168978516267</v>
      </c>
      <c r="N11" s="7">
        <f>IF($L10&gt;0,$L11/$L10,0)</f>
        <v>0.25221168978516267</v>
      </c>
    </row>
    <row r="12" spans="1:14" s="2" customFormat="1" x14ac:dyDescent="0.25">
      <c r="A12" s="2" t="s">
        <v>14</v>
      </c>
      <c r="B12" s="1">
        <f>'Data Sheet'!B30</f>
        <v>9663.17</v>
      </c>
      <c r="C12" s="1">
        <f>'Data Sheet'!C30</f>
        <v>9344.4500000000007</v>
      </c>
      <c r="D12" s="1">
        <f>'Data Sheet'!D30</f>
        <v>10289.44</v>
      </c>
      <c r="E12" s="1">
        <f>'Data Sheet'!E30</f>
        <v>11271.2</v>
      </c>
      <c r="F12" s="1">
        <f>'Data Sheet'!F30</f>
        <v>12592.33</v>
      </c>
      <c r="G12" s="1">
        <f>'Data Sheet'!G30</f>
        <v>15306.23</v>
      </c>
      <c r="H12" s="1">
        <f>'Data Sheet'!H30</f>
        <v>13161.19</v>
      </c>
      <c r="I12" s="1">
        <f>'Data Sheet'!I30</f>
        <v>15242.66</v>
      </c>
      <c r="J12" s="1">
        <f>'Data Sheet'!J30</f>
        <v>19191.66</v>
      </c>
      <c r="K12" s="1">
        <f>'Data Sheet'!K30</f>
        <v>20458.78</v>
      </c>
      <c r="L12" s="1">
        <f>SUM(Quarters!H12:K12)</f>
        <v>20139.809999999998</v>
      </c>
      <c r="M12" s="1">
        <f>M10-M11*M10</f>
        <v>20067.186230368996</v>
      </c>
      <c r="N12" s="1">
        <f>N10-N11*N10</f>
        <v>18350.028807136063</v>
      </c>
    </row>
    <row r="13" spans="1:14" x14ac:dyDescent="0.25">
      <c r="A13" t="s">
        <v>57</v>
      </c>
      <c r="B13" s="6">
        <f>IF('Data Sheet'!B93&gt;0,B12/'Data Sheet'!B93,0)</f>
        <v>8.0370364209493239</v>
      </c>
      <c r="C13" s="6">
        <f>IF('Data Sheet'!C93&gt;0,C12/'Data Sheet'!C93,0)</f>
        <v>7.7413675978394147</v>
      </c>
      <c r="D13" s="6">
        <f>IF('Data Sheet'!D93&gt;0,D12/'Data Sheet'!D93,0)</f>
        <v>8.4704875117309051</v>
      </c>
      <c r="E13" s="6">
        <f>IF('Data Sheet'!E93&gt;0,E12/'Data Sheet'!E93,0)</f>
        <v>9.2354334128135172</v>
      </c>
      <c r="F13" s="6">
        <f>IF('Data Sheet'!F93&gt;0,F12/'Data Sheet'!F93,0)</f>
        <v>10.272241528396393</v>
      </c>
      <c r="G13" s="6">
        <f>IF('Data Sheet'!G93&gt;0,G12/'Data Sheet'!G93,0)</f>
        <v>12.451985812141032</v>
      </c>
      <c r="H13" s="6">
        <f>IF('Data Sheet'!H93&gt;0,H12/'Data Sheet'!H93,0)</f>
        <v>10.692504549590536</v>
      </c>
      <c r="I13" s="6">
        <f>IF('Data Sheet'!I93&gt;0,I12/'Data Sheet'!I93,0)</f>
        <v>12.368975842509718</v>
      </c>
      <c r="J13" s="6">
        <f>IF('Data Sheet'!J93&gt;0,J12/'Data Sheet'!J93,0)</f>
        <v>15.442275506919859</v>
      </c>
      <c r="K13" s="6">
        <f>IF('Data Sheet'!K93&gt;0,K12/'Data Sheet'!K93,0)</f>
        <v>16.387081788108645</v>
      </c>
      <c r="L13" s="6">
        <f>IF('Data Sheet'!$B6&gt;0,'Profit &amp; Loss'!L12/'Data Sheet'!$B6,0)</f>
        <v>16.095778544907233</v>
      </c>
      <c r="M13" s="6">
        <f>IF('Data Sheet'!$B6&gt;0,'Profit &amp; Loss'!M12/'Data Sheet'!$B6,0)</f>
        <v>16.037737475350124</v>
      </c>
      <c r="N13" s="6">
        <f>IF('Data Sheet'!$B6&gt;0,'Profit &amp; Loss'!N12/'Data Sheet'!$B6,0)</f>
        <v>14.665381648204743</v>
      </c>
    </row>
    <row r="14" spans="1:14" x14ac:dyDescent="0.25">
      <c r="A14" t="s">
        <v>16</v>
      </c>
      <c r="B14" s="6">
        <f>IF(B15&gt;0,B15/B13,"")</f>
        <v>25.336453555096305</v>
      </c>
      <c r="C14" s="6">
        <f t="shared" ref="C14:K14" si="1">IF(C15&gt;0,C15/C13,"")</f>
        <v>26.49790200600356</v>
      </c>
      <c r="D14" s="6">
        <f t="shared" si="1"/>
        <v>31.019466073955435</v>
      </c>
      <c r="E14" s="6">
        <f t="shared" si="1"/>
        <v>25.932729877918941</v>
      </c>
      <c r="F14" s="6">
        <f t="shared" si="1"/>
        <v>27.125530414148926</v>
      </c>
      <c r="G14" s="6">
        <f t="shared" si="1"/>
        <v>12.925649163771876</v>
      </c>
      <c r="H14" s="6">
        <f t="shared" si="1"/>
        <v>19.155474664525016</v>
      </c>
      <c r="I14" s="6">
        <f t="shared" si="1"/>
        <v>18.995913889045614</v>
      </c>
      <c r="J14" s="6">
        <f t="shared" si="1"/>
        <v>23.279600201337455</v>
      </c>
      <c r="K14" s="6">
        <f t="shared" si="1"/>
        <v>24.502837368601647</v>
      </c>
      <c r="L14" s="6">
        <f>IF(L13&gt;0,L15/L13,0)</f>
        <v>24.692809912308014</v>
      </c>
      <c r="M14" s="6">
        <f>M25</f>
        <v>24.692809912308014</v>
      </c>
      <c r="N14" s="6">
        <f>N25</f>
        <v>20.592047533264935</v>
      </c>
    </row>
    <row r="15" spans="1:14" s="2" customFormat="1" x14ac:dyDescent="0.25">
      <c r="A15" s="2" t="s">
        <v>58</v>
      </c>
      <c r="B15" s="1">
        <f>'Data Sheet'!B90</f>
        <v>203.63</v>
      </c>
      <c r="C15" s="1">
        <f>'Data Sheet'!C90</f>
        <v>205.13</v>
      </c>
      <c r="D15" s="1">
        <f>'Data Sheet'!D90</f>
        <v>262.75</v>
      </c>
      <c r="E15" s="1">
        <f>'Data Sheet'!E90</f>
        <v>239.5</v>
      </c>
      <c r="F15" s="1">
        <f>'Data Sheet'!F90</f>
        <v>278.64</v>
      </c>
      <c r="G15" s="1">
        <f>'Data Sheet'!G90</f>
        <v>160.94999999999999</v>
      </c>
      <c r="H15" s="1">
        <f>'Data Sheet'!H90</f>
        <v>204.82</v>
      </c>
      <c r="I15" s="1">
        <f>'Data Sheet'!I90</f>
        <v>234.96</v>
      </c>
      <c r="J15" s="1">
        <f>'Data Sheet'!J90</f>
        <v>359.49</v>
      </c>
      <c r="K15" s="1">
        <f>'Data Sheet'!K90</f>
        <v>401.53</v>
      </c>
      <c r="L15" s="1">
        <f>'Data Sheet'!B8</f>
        <v>397.45</v>
      </c>
      <c r="M15" s="8">
        <f>M13*M14</f>
        <v>396.01680290231923</v>
      </c>
      <c r="N15" s="9">
        <f>N13*N14</f>
        <v>301.99023599330332</v>
      </c>
    </row>
    <row r="17" spans="1:14" s="2" customFormat="1" x14ac:dyDescent="0.25">
      <c r="A17" s="2" t="s">
        <v>15</v>
      </c>
    </row>
    <row r="18" spans="1:14" x14ac:dyDescent="0.25">
      <c r="A18" t="s">
        <v>17</v>
      </c>
      <c r="B18" s="5">
        <f>IF('Data Sheet'!B30&gt;0, 'Data Sheet'!B31/'Data Sheet'!B30, 0)</f>
        <v>0.51843132222655708</v>
      </c>
      <c r="C18" s="5">
        <f>IF('Data Sheet'!C30&gt;0, 'Data Sheet'!C31/'Data Sheet'!C30, 0)</f>
        <v>0.73199813793214152</v>
      </c>
      <c r="D18" s="5">
        <f>IF('Data Sheet'!D30&gt;0, 'Data Sheet'!D31/'Data Sheet'!D30, 0)</f>
        <v>0.56077104293333746</v>
      </c>
      <c r="E18" s="5">
        <f>IF('Data Sheet'!E30&gt;0, 'Data Sheet'!E31/'Data Sheet'!E30, 0)</f>
        <v>0.55763450209383203</v>
      </c>
      <c r="F18" s="5">
        <f>IF('Data Sheet'!F30&gt;0, 'Data Sheet'!F31/'Data Sheet'!F30, 0)</f>
        <v>0.55976137855345276</v>
      </c>
      <c r="G18" s="5">
        <f>IF('Data Sheet'!G30&gt;0, 'Data Sheet'!G31/'Data Sheet'!G30, 0)</f>
        <v>0.8151308323473514</v>
      </c>
      <c r="H18" s="5">
        <f>IF('Data Sheet'!H30&gt;0, 'Data Sheet'!H31/'Data Sheet'!H30, 0)</f>
        <v>1.0053771733407084</v>
      </c>
      <c r="I18" s="5">
        <f>IF('Data Sheet'!I30&gt;0, 'Data Sheet'!I31/'Data Sheet'!I30, 0)</f>
        <v>0.92974585800641096</v>
      </c>
      <c r="J18" s="5">
        <f>IF('Data Sheet'!J30&gt;0, 'Data Sheet'!J31/'Data Sheet'!J30, 0)</f>
        <v>1.0037380820627295</v>
      </c>
      <c r="K18" s="5">
        <f>IF('Data Sheet'!K30&gt;0, 'Data Sheet'!K31/'Data Sheet'!K30, 0)</f>
        <v>0.83907544829163816</v>
      </c>
    </row>
    <row r="19" spans="1:14" x14ac:dyDescent="0.25">
      <c r="A19" t="s">
        <v>18</v>
      </c>
      <c r="B19" s="5">
        <f>IF(B6&gt;0,B6/B4,0)</f>
        <v>0.36714751082962055</v>
      </c>
      <c r="C19" s="5">
        <f t="shared" ref="C19:K19" si="2">IF(C6&gt;0,C6/C4,0)</f>
        <v>0.37077599822413199</v>
      </c>
      <c r="D19" s="5">
        <f t="shared" si="2"/>
        <v>0.36171096811605047</v>
      </c>
      <c r="E19" s="5">
        <f t="shared" si="2"/>
        <v>0.38022998950031928</v>
      </c>
      <c r="F19" s="5">
        <f t="shared" si="2"/>
        <v>0.38348264507056129</v>
      </c>
      <c r="G19" s="5">
        <f t="shared" si="2"/>
        <v>0.39166715599228147</v>
      </c>
      <c r="H19" s="5">
        <f t="shared" si="2"/>
        <v>0.34644058919006154</v>
      </c>
      <c r="I19" s="5">
        <f t="shared" si="2"/>
        <v>0.3400660636555245</v>
      </c>
      <c r="J19" s="5">
        <f t="shared" si="2"/>
        <v>0.36244517162741785</v>
      </c>
      <c r="K19" s="5">
        <f t="shared" si="2"/>
        <v>0.37017016005651215</v>
      </c>
      <c r="L19" s="5">
        <f>IF(L6&gt;0,L6/L4,0)</f>
        <v>0.34976602090245207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25">
      <c r="A23"/>
      <c r="B23"/>
      <c r="C23"/>
      <c r="D23"/>
      <c r="E23"/>
      <c r="F23"/>
      <c r="G23" t="s">
        <v>22</v>
      </c>
      <c r="H23" s="5">
        <f>IF(B4=0,"",POWER($K4/B4,1/9)-1)</f>
        <v>6.9168562118728794E-2</v>
      </c>
      <c r="I23" s="5">
        <f>IF(D4=0,"",POWER($K4/D4,1/7)-1)</f>
        <v>7.4810883698475106E-2</v>
      </c>
      <c r="J23" s="5">
        <f>IF(F4=0,"",POWER($K4/F4,1/5)-1)</f>
        <v>7.9511514582520038E-2</v>
      </c>
      <c r="K23" s="5">
        <f>IF(H4=0,"",POWER($K4/H4, 1/3)-1)</f>
        <v>0.12890080047839403</v>
      </c>
      <c r="L23" s="5">
        <f>IF(ISERROR(MAX(IF(J4=0,"",(K4-J4)/J4),IF(K4=0,"",(L4-K4)/K4))),"",MAX(IF(J4=0,"",(K4-J4)/J4),IF(K4=0,"",(L4-K4)/K4)))</f>
        <v>6.0597841961938938E-2</v>
      </c>
      <c r="M23" s="16">
        <f>MAX(K23:L23)</f>
        <v>0.12890080047839403</v>
      </c>
      <c r="N23" s="16">
        <f>MIN(H23:L23)</f>
        <v>6.0597841961938938E-2</v>
      </c>
    </row>
    <row r="24" spans="1:14" x14ac:dyDescent="0.25">
      <c r="G24" t="s">
        <v>18</v>
      </c>
      <c r="H24" s="5">
        <f>IF(SUM(B4:$K$4)=0,"",SUMPRODUCT(B19:$K$19,B4:$K$4)/SUM(B4:$K$4))</f>
        <v>0.36655785446434302</v>
      </c>
      <c r="I24" s="5">
        <f>IF(SUM(E4:$K$4)=0,"",SUMPRODUCT(E19:$K$19,E4:$K$4)/SUM(E4:$K$4))</f>
        <v>0.36660642860499176</v>
      </c>
      <c r="J24" s="5">
        <f>IF(SUM(G4:$K$4)=0,"",SUMPRODUCT(G19:$K$19,G4:$K$4)/SUM(G4:$K$4))</f>
        <v>0.36193078706583809</v>
      </c>
      <c r="K24" s="5">
        <f>IF(SUM(I4:$K$4)=0, "", SUMPRODUCT(I19:$K$19,I4:$K$4)/SUM(I4:$K$4))</f>
        <v>0.35844511818146924</v>
      </c>
      <c r="L24" s="5">
        <f>L19</f>
        <v>0.34976602090245207</v>
      </c>
      <c r="M24" s="16">
        <f>MAX(K24:L24)</f>
        <v>0.35844511818146924</v>
      </c>
      <c r="N24" s="16">
        <f>MIN(H24:L24)</f>
        <v>0.34976602090245207</v>
      </c>
    </row>
    <row r="25" spans="1:14" x14ac:dyDescent="0.25">
      <c r="G25" t="s">
        <v>23</v>
      </c>
      <c r="H25" s="6">
        <f>IF(ISERROR(AVERAGEIF(B14:$L14,"&gt;0")),"",AVERAGEIF(B14:$L14,"&gt;0"))</f>
        <v>23.587669738792076</v>
      </c>
      <c r="I25" s="6">
        <f>IF(ISERROR(AVERAGEIF(E14:$L14,"&gt;0")),"",AVERAGEIF(E14:$L14,"&gt;0"))</f>
        <v>22.076318186457186</v>
      </c>
      <c r="J25" s="6">
        <f>IF(ISERROR(AVERAGEIF(G14:$L14,"&gt;0")),"",AVERAGEIF(G14:$L14,"&gt;0"))</f>
        <v>20.592047533264935</v>
      </c>
      <c r="K25" s="6">
        <f>IF(ISERROR(AVERAGEIF(I14:$L14,"&gt;0")),"",AVERAGEIF(I14:$L14,"&gt;0"))</f>
        <v>22.867790342823184</v>
      </c>
      <c r="L25" s="6">
        <f>L14</f>
        <v>24.692809912308014</v>
      </c>
      <c r="M25" s="1">
        <f>MAX(K25:L25)</f>
        <v>24.692809912308014</v>
      </c>
      <c r="N25" s="1">
        <f>MIN(H25:L25)</f>
        <v>20.592047533264935</v>
      </c>
    </row>
    <row r="28" spans="1:14" x14ac:dyDescent="0.25">
      <c r="A28" t="s">
        <v>22</v>
      </c>
      <c r="C28" s="32">
        <f>C4/B4-1</f>
        <v>9.6593902437451806E-3</v>
      </c>
      <c r="D28" s="32">
        <f t="shared" ref="D28:K28" si="3">D4/C4-1</f>
        <v>9.1230120355888067E-2</v>
      </c>
      <c r="E28" s="32">
        <f t="shared" si="3"/>
        <v>1.5931218960147486E-2</v>
      </c>
      <c r="F28" s="32">
        <f t="shared" si="3"/>
        <v>0.11256062863673999</v>
      </c>
      <c r="G28" s="32">
        <f t="shared" si="3"/>
        <v>2.1682439110972673E-2</v>
      </c>
      <c r="H28" s="32">
        <f t="shared" si="3"/>
        <v>-2.6372963308678443E-3</v>
      </c>
      <c r="I28" s="32">
        <f t="shared" si="3"/>
        <v>0.23117497962237188</v>
      </c>
      <c r="J28" s="32">
        <f t="shared" si="3"/>
        <v>0.1694215175842706</v>
      </c>
      <c r="K28" s="32">
        <f t="shared" si="3"/>
        <v>-7.4465203486284715E-4</v>
      </c>
    </row>
    <row r="30" spans="1:14" x14ac:dyDescent="0.25">
      <c r="A30" t="s">
        <v>99</v>
      </c>
      <c r="B30">
        <f>'Data Sheet'!B17-SUM('Data Sheet'!B18:B21)</f>
        <v>21429.61</v>
      </c>
      <c r="C30">
        <f>'Data Sheet'!C17-SUM('Data Sheet'!C18:C21)</f>
        <v>23079.370000000003</v>
      </c>
      <c r="D30">
        <f>'Data Sheet'!D17-SUM('Data Sheet'!D18:D21)</f>
        <v>25635.35</v>
      </c>
      <c r="E30">
        <f>'Data Sheet'!E17-SUM('Data Sheet'!E18:E21)</f>
        <v>27297.860000000004</v>
      </c>
      <c r="F30">
        <f>'Data Sheet'!F17-SUM('Data Sheet'!F18:F21)</f>
        <v>27895.130000000005</v>
      </c>
      <c r="G30">
        <f>'Data Sheet'!G17-SUM('Data Sheet'!G18:G21)</f>
        <v>27946.829999999998</v>
      </c>
      <c r="H30">
        <f>'Data Sheet'!H17-SUM('Data Sheet'!H18:H21)</f>
        <v>25548.729999999996</v>
      </c>
      <c r="I30">
        <f>'Data Sheet'!I17-SUM('Data Sheet'!I18:I21)</f>
        <v>30110.03</v>
      </c>
      <c r="J30">
        <f>'Data Sheet'!J17-SUM('Data Sheet'!J18:J21)</f>
        <v>37635.939999999995</v>
      </c>
      <c r="K30">
        <f>'Data Sheet'!K17-SUM('Data Sheet'!K18:K21)</f>
        <v>38807.71</v>
      </c>
    </row>
    <row r="31" spans="1:14" x14ac:dyDescent="0.25">
      <c r="A31" t="s">
        <v>100</v>
      </c>
      <c r="B31" s="32">
        <f>B30/B4</f>
        <v>0.55206551743237198</v>
      </c>
      <c r="C31" s="32">
        <f t="shared" ref="C31:K31" si="4">C30/C4</f>
        <v>0.58887811574271354</v>
      </c>
      <c r="D31" s="32">
        <f t="shared" si="4"/>
        <v>0.59941053507795616</v>
      </c>
      <c r="E31" s="32">
        <f t="shared" si="4"/>
        <v>0.6282744757409503</v>
      </c>
      <c r="F31" s="32">
        <f t="shared" si="4"/>
        <v>0.57706603987870819</v>
      </c>
      <c r="G31" s="32">
        <f t="shared" si="4"/>
        <v>0.565866197454022</v>
      </c>
      <c r="H31" s="32">
        <f t="shared" si="4"/>
        <v>0.51867747924425645</v>
      </c>
      <c r="I31" s="32">
        <f t="shared" si="4"/>
        <v>0.49650026201864172</v>
      </c>
      <c r="J31" s="32">
        <f t="shared" si="4"/>
        <v>0.53068887152009825</v>
      </c>
      <c r="K31" s="32">
        <f t="shared" si="4"/>
        <v>0.54761930296268091</v>
      </c>
    </row>
    <row r="32" spans="1:14" x14ac:dyDescent="0.25">
      <c r="A32" t="s">
        <v>102</v>
      </c>
      <c r="B32" s="32">
        <f>B6/B4</f>
        <v>0.36714751082962055</v>
      </c>
      <c r="C32" s="32">
        <f t="shared" ref="C32:K32" si="5">C6/C4</f>
        <v>0.37077599822413199</v>
      </c>
      <c r="D32" s="32">
        <f t="shared" si="5"/>
        <v>0.36171096811605047</v>
      </c>
      <c r="E32" s="32">
        <f t="shared" si="5"/>
        <v>0.38022998950031928</v>
      </c>
      <c r="F32" s="32">
        <f t="shared" si="5"/>
        <v>0.38348264507056129</v>
      </c>
      <c r="G32" s="32">
        <f t="shared" si="5"/>
        <v>0.39166715599228147</v>
      </c>
      <c r="H32" s="32">
        <f t="shared" si="5"/>
        <v>0.34644058919006154</v>
      </c>
      <c r="I32" s="32">
        <f t="shared" si="5"/>
        <v>0.3400660636555245</v>
      </c>
      <c r="J32" s="32">
        <f t="shared" si="5"/>
        <v>0.36244517162741785</v>
      </c>
      <c r="K32" s="32">
        <f t="shared" si="5"/>
        <v>0.37017016005651215</v>
      </c>
    </row>
    <row r="33" spans="1:11" x14ac:dyDescent="0.25">
      <c r="A33" t="s">
        <v>103</v>
      </c>
      <c r="B33" s="32">
        <f>(B6-B8)/B4</f>
        <v>0.34066540176185028</v>
      </c>
      <c r="C33" s="32">
        <f t="shared" ref="C33:K33" si="6">(C6-C8)/C4</f>
        <v>0.34328576422289192</v>
      </c>
      <c r="D33" s="32">
        <f t="shared" si="6"/>
        <v>0.33475621732339428</v>
      </c>
      <c r="E33" s="32">
        <f t="shared" si="6"/>
        <v>0.35177636094229231</v>
      </c>
      <c r="F33" s="32">
        <f t="shared" si="6"/>
        <v>0.35459099975630737</v>
      </c>
      <c r="G33" s="32">
        <f t="shared" si="6"/>
        <v>0.35836108990700111</v>
      </c>
      <c r="H33" s="32">
        <f t="shared" si="6"/>
        <v>0.31303264785326884</v>
      </c>
      <c r="I33" s="32">
        <f t="shared" si="6"/>
        <v>0.3114994358931571</v>
      </c>
      <c r="J33" s="32">
        <f t="shared" si="6"/>
        <v>0.33693706752616326</v>
      </c>
      <c r="K33" s="32">
        <f t="shared" si="6"/>
        <v>0.34453890725369585</v>
      </c>
    </row>
    <row r="34" spans="1:11" x14ac:dyDescent="0.25">
      <c r="A34" t="s">
        <v>104</v>
      </c>
      <c r="B34" s="32">
        <f>B12/B4</f>
        <v>0.24894073882291717</v>
      </c>
      <c r="C34" s="32">
        <f t="shared" ref="C34:K34" si="7">C12/C4</f>
        <v>0.23842687684507849</v>
      </c>
      <c r="D34" s="32">
        <f t="shared" si="7"/>
        <v>0.2405896052151629</v>
      </c>
      <c r="E34" s="32">
        <f t="shared" si="7"/>
        <v>0.25941254263049918</v>
      </c>
      <c r="F34" s="32">
        <f t="shared" si="7"/>
        <v>0.26049729848707825</v>
      </c>
      <c r="G34" s="32">
        <f t="shared" si="7"/>
        <v>0.30991987883622846</v>
      </c>
      <c r="H34" s="32">
        <f t="shared" si="7"/>
        <v>0.26719186640802561</v>
      </c>
      <c r="I34" s="32">
        <f t="shared" si="7"/>
        <v>0.25134430898478244</v>
      </c>
      <c r="J34" s="32">
        <f t="shared" si="7"/>
        <v>0.27061368436652333</v>
      </c>
      <c r="K34" s="32">
        <f t="shared" si="7"/>
        <v>0.28869579892930647</v>
      </c>
    </row>
    <row r="35" spans="1:11" x14ac:dyDescent="0.25">
      <c r="A35" t="s">
        <v>108</v>
      </c>
      <c r="C35" s="32">
        <f>C13/B13-1</f>
        <v>-3.6788289566440091E-2</v>
      </c>
      <c r="D35" s="32">
        <f t="shared" ref="D35:K35" si="8">D13/C13-1</f>
        <v>9.4184897523143629E-2</v>
      </c>
      <c r="E35" s="32">
        <f t="shared" si="8"/>
        <v>9.030718716286712E-2</v>
      </c>
      <c r="F35" s="32">
        <f t="shared" si="8"/>
        <v>0.11226415363943576</v>
      </c>
      <c r="G35" s="32">
        <f t="shared" si="8"/>
        <v>0.21219753037533184</v>
      </c>
      <c r="H35" s="32">
        <f t="shared" si="8"/>
        <v>-0.14130125821657724</v>
      </c>
      <c r="I35" s="32">
        <f t="shared" si="8"/>
        <v>0.15678939252669122</v>
      </c>
      <c r="J35" s="32">
        <f t="shared" si="8"/>
        <v>0.24846840219768396</v>
      </c>
      <c r="K35" s="32">
        <f t="shared" si="8"/>
        <v>6.1183099651693551E-2</v>
      </c>
    </row>
    <row r="36" spans="1:11" x14ac:dyDescent="0.25">
      <c r="A36" t="s">
        <v>109</v>
      </c>
      <c r="B36" s="33">
        <f>B13*B18</f>
        <v>4.1666514184957544</v>
      </c>
      <c r="C36" s="33">
        <f t="shared" ref="C36:K36" si="9">C13*C18</f>
        <v>5.666666666666667</v>
      </c>
      <c r="D36" s="33">
        <f t="shared" si="9"/>
        <v>4.7500041161071502</v>
      </c>
      <c r="E36" s="33">
        <f t="shared" si="9"/>
        <v>5.1499963127750057</v>
      </c>
      <c r="F36" s="33">
        <f t="shared" si="9"/>
        <v>5.7500040787691908</v>
      </c>
      <c r="G36" s="33">
        <f t="shared" si="9"/>
        <v>10.149997559427931</v>
      </c>
      <c r="H36" s="33">
        <f t="shared" si="9"/>
        <v>10.749999999999998</v>
      </c>
      <c r="I36" s="33">
        <f t="shared" si="9"/>
        <v>11.500004057354767</v>
      </c>
      <c r="J36" s="33">
        <f t="shared" si="9"/>
        <v>15.500000000000004</v>
      </c>
      <c r="K36" s="33">
        <f t="shared" si="9"/>
        <v>13.749997997549</v>
      </c>
    </row>
    <row r="37" spans="1:11" x14ac:dyDescent="0.25">
      <c r="A37" t="s">
        <v>110</v>
      </c>
      <c r="C37" s="32">
        <f>C36/B36-1</f>
        <v>0.36000497702119949</v>
      </c>
      <c r="D37" s="32">
        <f t="shared" ref="D37:K37" si="10">D36/C36-1</f>
        <v>-0.16176397951050292</v>
      </c>
      <c r="E37" s="32">
        <f t="shared" si="10"/>
        <v>8.4208810537972356E-2</v>
      </c>
      <c r="F37" s="32">
        <f t="shared" si="10"/>
        <v>0.11650644574362401</v>
      </c>
      <c r="G37" s="32">
        <f t="shared" si="10"/>
        <v>0.76521571469921024</v>
      </c>
      <c r="H37" s="32">
        <f t="shared" si="10"/>
        <v>5.9113555156941722E-2</v>
      </c>
      <c r="I37" s="32">
        <f t="shared" si="10"/>
        <v>6.9767819288815591E-2</v>
      </c>
      <c r="J37" s="32">
        <f t="shared" si="10"/>
        <v>0.34782561142550739</v>
      </c>
      <c r="K37" s="32">
        <f t="shared" si="10"/>
        <v>-0.1129033549968389</v>
      </c>
    </row>
    <row r="39" spans="1:11" x14ac:dyDescent="0.25">
      <c r="A39" t="s">
        <v>116</v>
      </c>
      <c r="B39" s="37">
        <f>'Data Sheet'!B90*'Data Sheet'!B93</f>
        <v>244830.45789999998</v>
      </c>
      <c r="C39" s="37">
        <f>'Data Sheet'!C90*'Data Sheet'!C93</f>
        <v>247608.32039999997</v>
      </c>
      <c r="D39" s="37">
        <f>'Data Sheet'!D90*'Data Sheet'!D93</f>
        <v>319172.935</v>
      </c>
      <c r="E39" s="37">
        <f>'Data Sheet'!E90*'Data Sheet'!E93</f>
        <v>292292.98500000004</v>
      </c>
      <c r="F39" s="37">
        <f>'Data Sheet'!F90*'Data Sheet'!F93</f>
        <v>341573.63039999997</v>
      </c>
      <c r="G39" s="37">
        <f>'Data Sheet'!G90*'Data Sheet'!G93</f>
        <v>197842.959</v>
      </c>
      <c r="H39" s="37">
        <f>'Data Sheet'!H90*'Data Sheet'!H93</f>
        <v>252108.84160000001</v>
      </c>
      <c r="I39" s="37">
        <f>'Data Sheet'!I90*'Data Sheet'!I93</f>
        <v>289548.25679999997</v>
      </c>
      <c r="J39" s="37">
        <f>'Data Sheet'!J90*'Data Sheet'!J93</f>
        <v>446774.17200000002</v>
      </c>
      <c r="K39" s="37">
        <f>'Data Sheet'!K90*'Data Sheet'!K93</f>
        <v>501298.15909999999</v>
      </c>
    </row>
    <row r="40" spans="1:11" x14ac:dyDescent="0.25">
      <c r="A40" t="s">
        <v>117</v>
      </c>
      <c r="B40" s="37">
        <f>'Balance Sheet'!B6</f>
        <v>268.8</v>
      </c>
      <c r="C40" s="37">
        <f>'Balance Sheet'!C6</f>
        <v>83.78</v>
      </c>
      <c r="D40" s="37">
        <f>'Balance Sheet'!D6</f>
        <v>45.72</v>
      </c>
      <c r="E40" s="37">
        <f>'Balance Sheet'!E6</f>
        <v>35.92</v>
      </c>
      <c r="F40" s="37">
        <f>'Balance Sheet'!F6</f>
        <v>13.44</v>
      </c>
      <c r="G40" s="37">
        <f>'Balance Sheet'!G6</f>
        <v>277.45</v>
      </c>
      <c r="H40" s="37">
        <f>'Balance Sheet'!H6</f>
        <v>270.83</v>
      </c>
      <c r="I40" s="37">
        <f>'Balance Sheet'!I6</f>
        <v>249.44</v>
      </c>
      <c r="J40" s="37">
        <f>'Balance Sheet'!J6</f>
        <v>306.04000000000002</v>
      </c>
      <c r="K40" s="37">
        <f>'Balance Sheet'!K6</f>
        <v>303.43</v>
      </c>
    </row>
    <row r="41" spans="1:11" x14ac:dyDescent="0.25">
      <c r="A41" t="s">
        <v>118</v>
      </c>
      <c r="B41" s="37">
        <f>'Data Sheet'!B69</f>
        <v>7896.22</v>
      </c>
      <c r="C41" s="37">
        <f>'Data Sheet'!C69</f>
        <v>6063.3</v>
      </c>
      <c r="D41" s="37">
        <f>'Data Sheet'!D69</f>
        <v>2967.4</v>
      </c>
      <c r="E41" s="37">
        <f>'Data Sheet'!E69</f>
        <v>2899.6</v>
      </c>
      <c r="F41" s="37">
        <f>'Data Sheet'!F69</f>
        <v>4152.03</v>
      </c>
      <c r="G41" s="37">
        <f>'Data Sheet'!G69</f>
        <v>7277.34</v>
      </c>
      <c r="H41" s="37">
        <f>'Data Sheet'!H69</f>
        <v>4659.0200000000004</v>
      </c>
      <c r="I41" s="37">
        <f>'Data Sheet'!I69</f>
        <v>4654.42</v>
      </c>
      <c r="J41" s="37">
        <f>'Data Sheet'!J69</f>
        <v>4880.1899999999996</v>
      </c>
      <c r="K41" s="37">
        <f>'Data Sheet'!K69</f>
        <v>7217.68</v>
      </c>
    </row>
    <row r="42" spans="1:11" x14ac:dyDescent="0.25">
      <c r="A42" t="s">
        <v>119</v>
      </c>
      <c r="B42" s="37">
        <f>SUM(B39:B40)-B41</f>
        <v>237203.03789999997</v>
      </c>
      <c r="C42" s="37">
        <f t="shared" ref="C42:K42" si="11">SUM(C39:C40)-C41</f>
        <v>241628.80039999998</v>
      </c>
      <c r="D42" s="37">
        <f t="shared" si="11"/>
        <v>316251.25499999995</v>
      </c>
      <c r="E42" s="37">
        <f t="shared" si="11"/>
        <v>289429.30500000005</v>
      </c>
      <c r="F42" s="37">
        <f t="shared" si="11"/>
        <v>337435.04039999994</v>
      </c>
      <c r="G42" s="37">
        <f t="shared" si="11"/>
        <v>190843.06900000002</v>
      </c>
      <c r="H42" s="37">
        <f t="shared" si="11"/>
        <v>247720.65160000001</v>
      </c>
      <c r="I42" s="37">
        <f t="shared" si="11"/>
        <v>285143.27679999999</v>
      </c>
      <c r="J42" s="37">
        <f t="shared" si="11"/>
        <v>442200.022</v>
      </c>
      <c r="K42" s="37">
        <f t="shared" si="11"/>
        <v>494383.90909999999</v>
      </c>
    </row>
    <row r="44" spans="1:11" x14ac:dyDescent="0.25">
      <c r="A44" t="s">
        <v>120</v>
      </c>
      <c r="B44" s="33">
        <f>B42/SUM('Profit &amp; Loss'!B6)</f>
        <v>16.643935068434317</v>
      </c>
      <c r="C44" s="33">
        <f>C42/SUM('Profit &amp; Loss'!C6)</f>
        <v>16.627943892883657</v>
      </c>
      <c r="D44" s="33">
        <f>D42/SUM('Profit &amp; Loss'!D6)</f>
        <v>20.443521158718021</v>
      </c>
      <c r="E44" s="33">
        <f>E42/SUM('Profit &amp; Loss'!E6)</f>
        <v>17.519308027134624</v>
      </c>
      <c r="F44" s="33">
        <f>F42/SUM('Profit &amp; Loss'!F6)</f>
        <v>18.202942291228695</v>
      </c>
      <c r="G44" s="33">
        <f>G42/SUM('Profit &amp; Loss'!G6)</f>
        <v>9.8659846646477352</v>
      </c>
      <c r="H44" s="33">
        <f>H42/SUM('Profit &amp; Loss'!H6)</f>
        <v>14.516486681926171</v>
      </c>
      <c r="I44" s="33">
        <f>I42/SUM('Profit &amp; Loss'!I6)</f>
        <v>13.826368755500493</v>
      </c>
      <c r="J44" s="33">
        <f>J42/SUM('Profit &amp; Loss'!J6)</f>
        <v>17.203374926957636</v>
      </c>
      <c r="K44" s="33">
        <f>K42/SUM('Profit &amp; Loss'!K6)</f>
        <v>18.846193779791218</v>
      </c>
    </row>
    <row r="45" spans="1:11" x14ac:dyDescent="0.25">
      <c r="A45" t="s">
        <v>121</v>
      </c>
      <c r="B45" s="33">
        <f>B42/B4</f>
        <v>6.1107793307854896</v>
      </c>
      <c r="C45" s="33">
        <f t="shared" ref="C45:K45" si="12">C42/C4</f>
        <v>6.1652424952987968</v>
      </c>
      <c r="D45" s="33">
        <f t="shared" si="12"/>
        <v>7.3946458300208562</v>
      </c>
      <c r="E45" s="33">
        <f t="shared" si="12"/>
        <v>6.6613663072102574</v>
      </c>
      <c r="F45" s="33">
        <f t="shared" si="12"/>
        <v>6.9805124579071629</v>
      </c>
      <c r="G45" s="33">
        <f t="shared" si="12"/>
        <v>3.8641821546660409</v>
      </c>
      <c r="H45" s="33">
        <f t="shared" si="12"/>
        <v>5.0291001990561837</v>
      </c>
      <c r="I45" s="33">
        <f t="shared" si="12"/>
        <v>4.7018787973327854</v>
      </c>
      <c r="J45" s="33">
        <f t="shared" si="12"/>
        <v>6.2352801779719771</v>
      </c>
      <c r="K45" s="33">
        <f t="shared" si="12"/>
        <v>6.9762985679213596</v>
      </c>
    </row>
    <row r="47" spans="1:11" x14ac:dyDescent="0.25">
      <c r="A47" t="s">
        <v>122</v>
      </c>
      <c r="B47" s="33">
        <f>B39/SUM('Balance Sheet'!B4:B5)</f>
        <v>7.7147212127495113</v>
      </c>
      <c r="C47" s="33">
        <f>C39/SUM('Balance Sheet'!C4:C5)</f>
        <v>5.8015722857239247</v>
      </c>
      <c r="D47" s="33">
        <f>D39/SUM('Balance Sheet'!D4:D5)</f>
        <v>6.8768107292515257</v>
      </c>
      <c r="E47" s="33">
        <f>E39/SUM('Balance Sheet'!E4:E5)</f>
        <v>5.5664134963724132</v>
      </c>
      <c r="F47" s="33">
        <f>F39/SUM('Balance Sheet'!F4:F5)</f>
        <v>5.7755936021908356</v>
      </c>
      <c r="G47" s="33">
        <f>G39/SUM('Balance Sheet'!G4:G5)</f>
        <v>3.0309955255796939</v>
      </c>
      <c r="H47" s="33">
        <f>H39/SUM('Balance Sheet'!H4:H5)</f>
        <v>4.177629728170289</v>
      </c>
      <c r="I47" s="33">
        <f>I39/SUM('Balance Sheet'!I4:I5)</f>
        <v>4.6360677966753006</v>
      </c>
      <c r="J47" s="33">
        <f>J39/SUM('Balance Sheet'!J4:J5)</f>
        <v>6.4604510488428497</v>
      </c>
      <c r="K47" s="33">
        <f>K39/SUM('Balance Sheet'!K4:K5)</f>
        <v>6.728202170265881</v>
      </c>
    </row>
  </sheetData>
  <hyperlinks>
    <hyperlink ref="M1" r:id="rId1" xr:uid="{00000000-0004-0000-0200-000000000000}"/>
  </hyperlinks>
  <printOptions gridLines="1"/>
  <pageMargins left="0.7" right="0.7" top="0.75" bottom="0.75" header="0.3" footer="0.3"/>
  <pageSetup paperSize="9" scale="67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ITC LTD</v>
      </c>
      <c r="E1" t="str">
        <f>UPDATE</f>
        <v/>
      </c>
      <c r="J1" s="2" t="s">
        <v>1</v>
      </c>
    </row>
    <row r="3" spans="1:11" s="2" customFormat="1" x14ac:dyDescent="0.25">
      <c r="A3" s="11" t="s">
        <v>2</v>
      </c>
      <c r="B3" s="12">
        <f>'Data Sheet'!B41</f>
        <v>44834</v>
      </c>
      <c r="C3" s="12">
        <f>'Data Sheet'!C41</f>
        <v>44926</v>
      </c>
      <c r="D3" s="12">
        <f>'Data Sheet'!D41</f>
        <v>45016</v>
      </c>
      <c r="E3" s="12">
        <f>'Data Sheet'!E41</f>
        <v>45107</v>
      </c>
      <c r="F3" s="12">
        <f>'Data Sheet'!F41</f>
        <v>45199</v>
      </c>
      <c r="G3" s="12">
        <f>'Data Sheet'!G41</f>
        <v>45291</v>
      </c>
      <c r="H3" s="12">
        <f>'Data Sheet'!H41</f>
        <v>45382</v>
      </c>
      <c r="I3" s="12">
        <f>'Data Sheet'!I41</f>
        <v>45473</v>
      </c>
      <c r="J3" s="12">
        <f>'Data Sheet'!J41</f>
        <v>45565</v>
      </c>
      <c r="K3" s="12">
        <f>'Data Sheet'!K41</f>
        <v>45657</v>
      </c>
    </row>
    <row r="4" spans="1:11" s="2" customFormat="1" x14ac:dyDescent="0.25">
      <c r="A4" s="2" t="s">
        <v>6</v>
      </c>
      <c r="B4" s="1">
        <f>'Data Sheet'!B42</f>
        <v>17107.990000000002</v>
      </c>
      <c r="C4" s="1">
        <f>'Data Sheet'!C42</f>
        <v>17704.52</v>
      </c>
      <c r="D4" s="1">
        <f>'Data Sheet'!D42</f>
        <v>17634.89</v>
      </c>
      <c r="E4" s="1">
        <f>'Data Sheet'!E42</f>
        <v>17164.46</v>
      </c>
      <c r="F4" s="1">
        <f>'Data Sheet'!F42</f>
        <v>17774.47</v>
      </c>
      <c r="G4" s="1">
        <f>'Data Sheet'!G42</f>
        <v>17195.240000000002</v>
      </c>
      <c r="H4" s="1">
        <f>'Data Sheet'!H42</f>
        <v>17922.7</v>
      </c>
      <c r="I4" s="1">
        <f>'Data Sheet'!I42</f>
        <v>18457.330000000002</v>
      </c>
      <c r="J4" s="1">
        <f>'Data Sheet'!J42</f>
        <v>19990.36</v>
      </c>
      <c r="K4" s="1">
        <f>'Data Sheet'!K42</f>
        <v>18790.169999999998</v>
      </c>
    </row>
    <row r="5" spans="1:11" x14ac:dyDescent="0.25">
      <c r="A5" t="s">
        <v>7</v>
      </c>
      <c r="B5" s="6">
        <f>'Data Sheet'!B43</f>
        <v>10848.89</v>
      </c>
      <c r="C5" s="6">
        <f>'Data Sheet'!C43</f>
        <v>10999.82</v>
      </c>
      <c r="D5" s="6">
        <f>'Data Sheet'!D43</f>
        <v>11010.89</v>
      </c>
      <c r="E5" s="6">
        <f>'Data Sheet'!E43</f>
        <v>10494.39</v>
      </c>
      <c r="F5" s="6">
        <f>'Data Sheet'!F43</f>
        <v>11320.23</v>
      </c>
      <c r="G5" s="6">
        <f>'Data Sheet'!G43</f>
        <v>10985.01</v>
      </c>
      <c r="H5" s="6">
        <f>'Data Sheet'!H43</f>
        <v>11296.48</v>
      </c>
      <c r="I5" s="6">
        <f>'Data Sheet'!I43</f>
        <v>11708.92</v>
      </c>
      <c r="J5" s="6">
        <f>'Data Sheet'!J43</f>
        <v>13438.28</v>
      </c>
      <c r="K5" s="6">
        <f>'Data Sheet'!K43</f>
        <v>12428.27</v>
      </c>
    </row>
    <row r="6" spans="1:11" s="2" customFormat="1" x14ac:dyDescent="0.25">
      <c r="A6" s="2" t="s">
        <v>8</v>
      </c>
      <c r="B6" s="1">
        <f>'Data Sheet'!B50</f>
        <v>6259.1</v>
      </c>
      <c r="C6" s="1">
        <f>'Data Sheet'!C50</f>
        <v>6704.7</v>
      </c>
      <c r="D6" s="1">
        <f>'Data Sheet'!D50</f>
        <v>6624</v>
      </c>
      <c r="E6" s="1">
        <f>'Data Sheet'!E50</f>
        <v>6670.07</v>
      </c>
      <c r="F6" s="1">
        <f>'Data Sheet'!F50</f>
        <v>6454.24</v>
      </c>
      <c r="G6" s="1">
        <f>'Data Sheet'!G50</f>
        <v>6210.23</v>
      </c>
      <c r="H6" s="1">
        <f>'Data Sheet'!H50</f>
        <v>6626.22</v>
      </c>
      <c r="I6" s="1">
        <f>'Data Sheet'!I50</f>
        <v>6748.41</v>
      </c>
      <c r="J6" s="1">
        <f>'Data Sheet'!J50</f>
        <v>6552.08</v>
      </c>
      <c r="K6" s="1">
        <f>'Data Sheet'!K50</f>
        <v>6361.9</v>
      </c>
    </row>
    <row r="7" spans="1:11" x14ac:dyDescent="0.25">
      <c r="A7" t="s">
        <v>9</v>
      </c>
      <c r="B7" s="6">
        <f>'Data Sheet'!B44</f>
        <v>454.68</v>
      </c>
      <c r="C7" s="6">
        <f>'Data Sheet'!C44</f>
        <v>595.42999999999995</v>
      </c>
      <c r="D7" s="6">
        <f>'Data Sheet'!D44</f>
        <v>682.52</v>
      </c>
      <c r="E7" s="6">
        <f>'Data Sheet'!E44</f>
        <v>722.3</v>
      </c>
      <c r="F7" s="6">
        <f>'Data Sheet'!F44</f>
        <v>673.5</v>
      </c>
      <c r="G7" s="6">
        <f>'Data Sheet'!G44</f>
        <v>820.26</v>
      </c>
      <c r="H7" s="6">
        <f>'Data Sheet'!H44</f>
        <v>681.78</v>
      </c>
      <c r="I7" s="6">
        <f>'Data Sheet'!I44</f>
        <v>699.46</v>
      </c>
      <c r="J7" s="6">
        <f>'Data Sheet'!J44</f>
        <v>690.31</v>
      </c>
      <c r="K7" s="6">
        <f>'Data Sheet'!K44</f>
        <v>803.4</v>
      </c>
    </row>
    <row r="8" spans="1:11" x14ac:dyDescent="0.25">
      <c r="A8" t="s">
        <v>10</v>
      </c>
      <c r="B8" s="6">
        <f>'Data Sheet'!B45</f>
        <v>462.38</v>
      </c>
      <c r="C8" s="6">
        <f>'Data Sheet'!C45</f>
        <v>447.11</v>
      </c>
      <c r="D8" s="6">
        <f>'Data Sheet'!D45</f>
        <v>461.4</v>
      </c>
      <c r="E8" s="6">
        <f>'Data Sheet'!E45</f>
        <v>442.46</v>
      </c>
      <c r="F8" s="6">
        <f>'Data Sheet'!F45</f>
        <v>453.04</v>
      </c>
      <c r="G8" s="6">
        <f>'Data Sheet'!G45</f>
        <v>384.04</v>
      </c>
      <c r="H8" s="6">
        <f>'Data Sheet'!H45</f>
        <v>461.44</v>
      </c>
      <c r="I8" s="6">
        <f>'Data Sheet'!I45</f>
        <v>498.57</v>
      </c>
      <c r="J8" s="6">
        <f>'Data Sheet'!J45</f>
        <v>416.18</v>
      </c>
      <c r="K8" s="6">
        <f>'Data Sheet'!K45</f>
        <v>415.98</v>
      </c>
    </row>
    <row r="9" spans="1:11" x14ac:dyDescent="0.25">
      <c r="A9" t="s">
        <v>11</v>
      </c>
      <c r="B9" s="6">
        <f>'Data Sheet'!B46</f>
        <v>12.59</v>
      </c>
      <c r="C9" s="6">
        <f>'Data Sheet'!C46</f>
        <v>9.2100000000000009</v>
      </c>
      <c r="D9" s="6">
        <f>'Data Sheet'!D46</f>
        <v>12.15</v>
      </c>
      <c r="E9" s="6">
        <f>'Data Sheet'!E46</f>
        <v>9.9</v>
      </c>
      <c r="F9" s="6">
        <f>'Data Sheet'!F46</f>
        <v>9.8699999999999992</v>
      </c>
      <c r="G9" s="6">
        <f>'Data Sheet'!G46</f>
        <v>11.94</v>
      </c>
      <c r="H9" s="6">
        <f>'Data Sheet'!H46</f>
        <v>12.59</v>
      </c>
      <c r="I9" s="6">
        <f>'Data Sheet'!I46</f>
        <v>11.25</v>
      </c>
      <c r="J9" s="6">
        <f>'Data Sheet'!J46</f>
        <v>14.73</v>
      </c>
      <c r="K9" s="6">
        <f>'Data Sheet'!K46</f>
        <v>9.82</v>
      </c>
    </row>
    <row r="10" spans="1:11" x14ac:dyDescent="0.25">
      <c r="A10" t="s">
        <v>12</v>
      </c>
      <c r="B10" s="6">
        <f>'Data Sheet'!B47</f>
        <v>6238.81</v>
      </c>
      <c r="C10" s="6">
        <f>'Data Sheet'!C47</f>
        <v>6843.81</v>
      </c>
      <c r="D10" s="6">
        <f>'Data Sheet'!D47</f>
        <v>6832.97</v>
      </c>
      <c r="E10" s="6">
        <f>'Data Sheet'!E47</f>
        <v>6940.01</v>
      </c>
      <c r="F10" s="6">
        <f>'Data Sheet'!F47</f>
        <v>6664.83</v>
      </c>
      <c r="G10" s="6">
        <f>'Data Sheet'!G47</f>
        <v>6634.51</v>
      </c>
      <c r="H10" s="6">
        <f>'Data Sheet'!H47</f>
        <v>6833.97</v>
      </c>
      <c r="I10" s="6">
        <f>'Data Sheet'!I47</f>
        <v>6938.05</v>
      </c>
      <c r="J10" s="6">
        <f>'Data Sheet'!J47</f>
        <v>6811.48</v>
      </c>
      <c r="K10" s="6">
        <f>'Data Sheet'!K47</f>
        <v>6739.5</v>
      </c>
    </row>
    <row r="11" spans="1:11" x14ac:dyDescent="0.25">
      <c r="A11" t="s">
        <v>13</v>
      </c>
      <c r="B11" s="6">
        <f>'Data Sheet'!B48</f>
        <v>1568.49</v>
      </c>
      <c r="C11" s="6">
        <f>'Data Sheet'!C48</f>
        <v>1773.72</v>
      </c>
      <c r="D11" s="6">
        <f>'Data Sheet'!D48</f>
        <v>1607.95</v>
      </c>
      <c r="E11" s="6">
        <f>'Data Sheet'!E48</f>
        <v>1759.89</v>
      </c>
      <c r="F11" s="6">
        <f>'Data Sheet'!F48</f>
        <v>1700.31</v>
      </c>
      <c r="G11" s="6">
        <f>'Data Sheet'!G48</f>
        <v>1227.99</v>
      </c>
      <c r="H11" s="6">
        <f>'Data Sheet'!H48</f>
        <v>1646.75</v>
      </c>
      <c r="I11" s="6">
        <f>'Data Sheet'!I48</f>
        <v>1761.06</v>
      </c>
      <c r="J11" s="6">
        <f>'Data Sheet'!J48</f>
        <v>1757.05</v>
      </c>
      <c r="K11" s="6">
        <f>'Data Sheet'!K48</f>
        <v>1726.32</v>
      </c>
    </row>
    <row r="12" spans="1:11" s="2" customFormat="1" x14ac:dyDescent="0.25">
      <c r="A12" s="2" t="s">
        <v>14</v>
      </c>
      <c r="B12" s="1">
        <f>'Data Sheet'!B49</f>
        <v>4619.7700000000004</v>
      </c>
      <c r="C12" s="1">
        <f>'Data Sheet'!C49</f>
        <v>5006.6499999999996</v>
      </c>
      <c r="D12" s="1">
        <f>'Data Sheet'!D49</f>
        <v>5175.4799999999996</v>
      </c>
      <c r="E12" s="1">
        <f>'Data Sheet'!E49</f>
        <v>5104.93</v>
      </c>
      <c r="F12" s="1">
        <f>'Data Sheet'!F49</f>
        <v>4898.07</v>
      </c>
      <c r="G12" s="1">
        <f>'Data Sheet'!G49</f>
        <v>5335.23</v>
      </c>
      <c r="H12" s="1">
        <f>'Data Sheet'!H49</f>
        <v>5120.55</v>
      </c>
      <c r="I12" s="1">
        <f>'Data Sheet'!I49</f>
        <v>5091.59</v>
      </c>
      <c r="J12" s="1">
        <f>'Data Sheet'!J49</f>
        <v>4992.87</v>
      </c>
      <c r="K12" s="1">
        <f>'Data Sheet'!K49</f>
        <v>4934.8</v>
      </c>
    </row>
    <row r="14" spans="1:11" s="2" customFormat="1" x14ac:dyDescent="0.25">
      <c r="A14" s="2" t="s">
        <v>18</v>
      </c>
      <c r="B14" s="10">
        <f>IF(B4&gt;0,B6/B4,"")</f>
        <v>0.36585829194429037</v>
      </c>
      <c r="C14" s="10">
        <f t="shared" ref="C14:K14" si="0">IF(C4&gt;0,C6/C4,"")</f>
        <v>0.37869990262373676</v>
      </c>
      <c r="D14" s="10">
        <f t="shared" si="0"/>
        <v>0.37561901435166312</v>
      </c>
      <c r="E14" s="10">
        <f t="shared" si="0"/>
        <v>0.38859771877472404</v>
      </c>
      <c r="F14" s="10">
        <f t="shared" si="0"/>
        <v>0.3631185627475812</v>
      </c>
      <c r="G14" s="10">
        <f t="shared" si="0"/>
        <v>0.36115983260483708</v>
      </c>
      <c r="H14" s="10">
        <f t="shared" si="0"/>
        <v>0.36971103684154732</v>
      </c>
      <c r="I14" s="10">
        <f t="shared" si="0"/>
        <v>0.36562222163227287</v>
      </c>
      <c r="J14" s="10">
        <f t="shared" si="0"/>
        <v>0.32776198127497452</v>
      </c>
      <c r="K14" s="10">
        <f t="shared" si="0"/>
        <v>0.3385759681791064</v>
      </c>
    </row>
    <row r="22" s="23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scale="84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pageSetUpPr fitToPage="1"/>
  </sheetPr>
  <dimension ref="A1:K24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N52" sqref="N52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ITC LTD</v>
      </c>
      <c r="E1" t="str">
        <f>UPDATE</f>
        <v/>
      </c>
      <c r="G1"/>
      <c r="J1" s="2" t="s">
        <v>1</v>
      </c>
    </row>
    <row r="2" spans="1:11" x14ac:dyDescent="0.25">
      <c r="G2" s="2"/>
      <c r="H2" s="2"/>
    </row>
    <row r="3" spans="1:11" x14ac:dyDescent="0.25">
      <c r="A3" s="11" t="s">
        <v>2</v>
      </c>
      <c r="B3" s="12">
        <f>'Data Sheet'!B56</f>
        <v>42094</v>
      </c>
      <c r="C3" s="12">
        <f>'Data Sheet'!C56</f>
        <v>42460</v>
      </c>
      <c r="D3" s="12">
        <f>'Data Sheet'!D56</f>
        <v>42825</v>
      </c>
      <c r="E3" s="12">
        <f>'Data Sheet'!E56</f>
        <v>43190</v>
      </c>
      <c r="F3" s="12">
        <f>'Data Sheet'!F56</f>
        <v>43555</v>
      </c>
      <c r="G3" s="12">
        <f>'Data Sheet'!G56</f>
        <v>43921</v>
      </c>
      <c r="H3" s="12">
        <f>'Data Sheet'!H56</f>
        <v>44286</v>
      </c>
      <c r="I3" s="12">
        <f>'Data Sheet'!I56</f>
        <v>44651</v>
      </c>
      <c r="J3" s="12">
        <f>'Data Sheet'!J56</f>
        <v>45016</v>
      </c>
      <c r="K3" s="12">
        <f>'Data Sheet'!K56</f>
        <v>45382</v>
      </c>
    </row>
    <row r="4" spans="1:11" x14ac:dyDescent="0.25">
      <c r="A4" t="s">
        <v>24</v>
      </c>
      <c r="B4" s="14">
        <f>'Data Sheet'!B57</f>
        <v>801.55</v>
      </c>
      <c r="C4" s="14">
        <f>'Data Sheet'!C57</f>
        <v>804.72</v>
      </c>
      <c r="D4" s="14">
        <f>'Data Sheet'!D57</f>
        <v>1214.74</v>
      </c>
      <c r="E4" s="14">
        <f>'Data Sheet'!E57</f>
        <v>1220.43</v>
      </c>
      <c r="F4" s="14">
        <f>'Data Sheet'!F57</f>
        <v>1225.8599999999999</v>
      </c>
      <c r="G4" s="14">
        <f>'Data Sheet'!G57</f>
        <v>1229.22</v>
      </c>
      <c r="H4" s="14">
        <f>'Data Sheet'!H57</f>
        <v>1230.8800000000001</v>
      </c>
      <c r="I4" s="14">
        <f>'Data Sheet'!I57</f>
        <v>1232.33</v>
      </c>
      <c r="J4" s="14">
        <f>'Data Sheet'!J57</f>
        <v>1242.8</v>
      </c>
      <c r="K4" s="14">
        <f>'Data Sheet'!K57</f>
        <v>1248.47</v>
      </c>
    </row>
    <row r="5" spans="1:11" x14ac:dyDescent="0.25">
      <c r="A5" t="s">
        <v>25</v>
      </c>
      <c r="B5" s="14">
        <f>'Data Sheet'!B58</f>
        <v>30933.94</v>
      </c>
      <c r="C5" s="14">
        <f>'Data Sheet'!C58</f>
        <v>41874.800000000003</v>
      </c>
      <c r="D5" s="14">
        <f>'Data Sheet'!D58</f>
        <v>45198.19</v>
      </c>
      <c r="E5" s="14">
        <f>'Data Sheet'!E58</f>
        <v>51289.68</v>
      </c>
      <c r="F5" s="14">
        <f>'Data Sheet'!F58</f>
        <v>57915.01</v>
      </c>
      <c r="G5" s="14">
        <f>'Data Sheet'!G58</f>
        <v>64044.04</v>
      </c>
      <c r="H5" s="14">
        <f>'Data Sheet'!H58</f>
        <v>59116.46</v>
      </c>
      <c r="I5" s="14">
        <f>'Data Sheet'!I58</f>
        <v>61223.24</v>
      </c>
      <c r="J5" s="14">
        <f>'Data Sheet'!J58</f>
        <v>67912.460000000006</v>
      </c>
      <c r="K5" s="14">
        <f>'Data Sheet'!K58</f>
        <v>73258.53</v>
      </c>
    </row>
    <row r="6" spans="1:11" x14ac:dyDescent="0.25">
      <c r="A6" t="s">
        <v>71</v>
      </c>
      <c r="B6" s="14">
        <f>'Data Sheet'!B59</f>
        <v>268.8</v>
      </c>
      <c r="C6" s="14">
        <f>'Data Sheet'!C59</f>
        <v>83.78</v>
      </c>
      <c r="D6" s="14">
        <f>'Data Sheet'!D59</f>
        <v>45.72</v>
      </c>
      <c r="E6" s="14">
        <f>'Data Sheet'!E59</f>
        <v>35.92</v>
      </c>
      <c r="F6" s="14">
        <f>'Data Sheet'!F59</f>
        <v>13.44</v>
      </c>
      <c r="G6" s="14">
        <f>'Data Sheet'!G59</f>
        <v>277.45</v>
      </c>
      <c r="H6" s="14">
        <f>'Data Sheet'!H59</f>
        <v>270.83</v>
      </c>
      <c r="I6" s="14">
        <f>'Data Sheet'!I59</f>
        <v>249.44</v>
      </c>
      <c r="J6" s="14">
        <f>'Data Sheet'!J59</f>
        <v>306.04000000000002</v>
      </c>
      <c r="K6" s="14">
        <f>'Data Sheet'!K59</f>
        <v>303.43</v>
      </c>
    </row>
    <row r="7" spans="1:11" x14ac:dyDescent="0.25">
      <c r="A7" t="s">
        <v>72</v>
      </c>
      <c r="B7" s="14">
        <f>'Data Sheet'!B60</f>
        <v>13947.93</v>
      </c>
      <c r="C7" s="14">
        <f>'Data Sheet'!C60</f>
        <v>8888.0400000000009</v>
      </c>
      <c r="D7" s="14">
        <f>'Data Sheet'!D60</f>
        <v>9439.67</v>
      </c>
      <c r="E7" s="14">
        <f>'Data Sheet'!E60</f>
        <v>11694.85</v>
      </c>
      <c r="F7" s="14">
        <f>'Data Sheet'!F60</f>
        <v>12584.73</v>
      </c>
      <c r="G7" s="14">
        <f>'Data Sheet'!G60</f>
        <v>11760.04</v>
      </c>
      <c r="H7" s="14">
        <f>'Data Sheet'!H60</f>
        <v>13142.59</v>
      </c>
      <c r="I7" s="14">
        <f>'Data Sheet'!I60</f>
        <v>14491.01</v>
      </c>
      <c r="J7" s="14">
        <f>'Data Sheet'!J60</f>
        <v>16369.66</v>
      </c>
      <c r="K7" s="14">
        <f>'Data Sheet'!K60</f>
        <v>16943.54</v>
      </c>
    </row>
    <row r="8" spans="1:11" s="2" customFormat="1" x14ac:dyDescent="0.25">
      <c r="A8" s="2" t="s">
        <v>26</v>
      </c>
      <c r="B8" s="15">
        <f>'Data Sheet'!B61</f>
        <v>45952.22</v>
      </c>
      <c r="C8" s="15">
        <f>'Data Sheet'!C61</f>
        <v>51651.34</v>
      </c>
      <c r="D8" s="15">
        <f>'Data Sheet'!D61</f>
        <v>55898.32</v>
      </c>
      <c r="E8" s="15">
        <f>'Data Sheet'!E61</f>
        <v>64240.88</v>
      </c>
      <c r="F8" s="15">
        <f>'Data Sheet'!F61</f>
        <v>71739.039999999994</v>
      </c>
      <c r="G8" s="15">
        <f>'Data Sheet'!G61</f>
        <v>77310.75</v>
      </c>
      <c r="H8" s="15">
        <f>'Data Sheet'!H61</f>
        <v>73760.759999999995</v>
      </c>
      <c r="I8" s="15">
        <f>'Data Sheet'!I61</f>
        <v>77196.02</v>
      </c>
      <c r="J8" s="15">
        <f>'Data Sheet'!J61</f>
        <v>85830.96</v>
      </c>
      <c r="K8" s="15">
        <f>'Data Sheet'!K61</f>
        <v>91753.97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27</v>
      </c>
      <c r="B10" s="14">
        <f>'Data Sheet'!B62</f>
        <v>15303.28</v>
      </c>
      <c r="C10" s="14">
        <f>'Data Sheet'!C62</f>
        <v>15106.63</v>
      </c>
      <c r="D10" s="14">
        <f>'Data Sheet'!D62</f>
        <v>15893.48</v>
      </c>
      <c r="E10" s="14">
        <f>'Data Sheet'!E62</f>
        <v>16523.96</v>
      </c>
      <c r="F10" s="14">
        <f>'Data Sheet'!F62</f>
        <v>19374.189999999999</v>
      </c>
      <c r="G10" s="14">
        <f>'Data Sheet'!G62</f>
        <v>21713.34</v>
      </c>
      <c r="H10" s="14">
        <f>'Data Sheet'!H62</f>
        <v>23298.48</v>
      </c>
      <c r="I10" s="14">
        <f>'Data Sheet'!I62</f>
        <v>24231.59</v>
      </c>
      <c r="J10" s="14">
        <f>'Data Sheet'!J62</f>
        <v>25851.27</v>
      </c>
      <c r="K10" s="14">
        <f>'Data Sheet'!K62</f>
        <v>27820.22</v>
      </c>
    </row>
    <row r="11" spans="1:11" x14ac:dyDescent="0.25">
      <c r="A11" t="s">
        <v>28</v>
      </c>
      <c r="B11" s="14">
        <f>'Data Sheet'!B63</f>
        <v>2700.2</v>
      </c>
      <c r="C11" s="14">
        <f>'Data Sheet'!C63</f>
        <v>2559.7199999999998</v>
      </c>
      <c r="D11" s="14">
        <f>'Data Sheet'!D63</f>
        <v>3729.89</v>
      </c>
      <c r="E11" s="14">
        <f>'Data Sheet'!E63</f>
        <v>5508.33</v>
      </c>
      <c r="F11" s="14">
        <f>'Data Sheet'!F63</f>
        <v>4136.42</v>
      </c>
      <c r="G11" s="14">
        <f>'Data Sheet'!G63</f>
        <v>3256.46</v>
      </c>
      <c r="H11" s="14">
        <f>'Data Sheet'!H63</f>
        <v>4011.29</v>
      </c>
      <c r="I11" s="14">
        <f>'Data Sheet'!I63</f>
        <v>3225.54</v>
      </c>
      <c r="J11" s="14">
        <f>'Data Sheet'!J63</f>
        <v>3003.3</v>
      </c>
      <c r="K11" s="14">
        <f>'Data Sheet'!K63</f>
        <v>2860.78</v>
      </c>
    </row>
    <row r="12" spans="1:11" x14ac:dyDescent="0.25">
      <c r="A12" t="s">
        <v>29</v>
      </c>
      <c r="B12" s="14">
        <f>'Data Sheet'!B64</f>
        <v>6942.77</v>
      </c>
      <c r="C12" s="14">
        <f>'Data Sheet'!C64</f>
        <v>11747.59</v>
      </c>
      <c r="D12" s="14">
        <f>'Data Sheet'!D64</f>
        <v>17581.38</v>
      </c>
      <c r="E12" s="14">
        <f>'Data Sheet'!E64</f>
        <v>22052.86</v>
      </c>
      <c r="F12" s="14">
        <f>'Data Sheet'!F64</f>
        <v>25043.49</v>
      </c>
      <c r="G12" s="14">
        <f>'Data Sheet'!G64</f>
        <v>28663.35</v>
      </c>
      <c r="H12" s="14">
        <f>'Data Sheet'!H64</f>
        <v>24870.87</v>
      </c>
      <c r="I12" s="14">
        <f>'Data Sheet'!I64</f>
        <v>24841.01</v>
      </c>
      <c r="J12" s="14">
        <f>'Data Sheet'!J64</f>
        <v>29415.02</v>
      </c>
      <c r="K12" s="14">
        <f>'Data Sheet'!K64</f>
        <v>31114.02</v>
      </c>
    </row>
    <row r="13" spans="1:11" x14ac:dyDescent="0.25">
      <c r="A13" t="s">
        <v>73</v>
      </c>
      <c r="B13" s="14">
        <f>'Data Sheet'!B65</f>
        <v>21005.97</v>
      </c>
      <c r="C13" s="14">
        <f>'Data Sheet'!C65</f>
        <v>22237.4</v>
      </c>
      <c r="D13" s="14">
        <f>'Data Sheet'!D65</f>
        <v>18693.57</v>
      </c>
      <c r="E13" s="14">
        <f>'Data Sheet'!E65</f>
        <v>20155.73</v>
      </c>
      <c r="F13" s="14">
        <f>'Data Sheet'!F65</f>
        <v>23184.94</v>
      </c>
      <c r="G13" s="14">
        <f>'Data Sheet'!G65</f>
        <v>23677.599999999999</v>
      </c>
      <c r="H13" s="14">
        <f>'Data Sheet'!H65</f>
        <v>21580.12</v>
      </c>
      <c r="I13" s="14">
        <f>'Data Sheet'!I65</f>
        <v>24897.88</v>
      </c>
      <c r="J13" s="14">
        <f>'Data Sheet'!J65</f>
        <v>27561.37</v>
      </c>
      <c r="K13" s="14">
        <f>'Data Sheet'!K65</f>
        <v>29958.95</v>
      </c>
    </row>
    <row r="14" spans="1:11" s="2" customFormat="1" x14ac:dyDescent="0.25">
      <c r="A14" s="2" t="s">
        <v>26</v>
      </c>
      <c r="B14" s="14">
        <f>'Data Sheet'!B66</f>
        <v>45952.22</v>
      </c>
      <c r="C14" s="14">
        <f>'Data Sheet'!C66</f>
        <v>51651.34</v>
      </c>
      <c r="D14" s="14">
        <f>'Data Sheet'!D66</f>
        <v>55898.32</v>
      </c>
      <c r="E14" s="14">
        <f>'Data Sheet'!E66</f>
        <v>64240.88</v>
      </c>
      <c r="F14" s="14">
        <f>'Data Sheet'!F66</f>
        <v>71739.039999999994</v>
      </c>
      <c r="G14" s="14">
        <f>'Data Sheet'!G66</f>
        <v>77310.75</v>
      </c>
      <c r="H14" s="14">
        <f>'Data Sheet'!H66</f>
        <v>73760.759999999995</v>
      </c>
      <c r="I14" s="14">
        <f>'Data Sheet'!I66</f>
        <v>77196.02</v>
      </c>
      <c r="J14" s="14">
        <f>'Data Sheet'!J66</f>
        <v>85830.96</v>
      </c>
      <c r="K14" s="14">
        <f>'Data Sheet'!K66</f>
        <v>91753.97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30</v>
      </c>
      <c r="B16" s="4">
        <f>B13-B7</f>
        <v>7058.0400000000009</v>
      </c>
      <c r="C16" s="4">
        <f t="shared" ref="C16:K16" si="0">C13-C7</f>
        <v>13349.36</v>
      </c>
      <c r="D16" s="4">
        <f t="shared" si="0"/>
        <v>9253.9</v>
      </c>
      <c r="E16" s="4">
        <f t="shared" si="0"/>
        <v>8460.8799999999992</v>
      </c>
      <c r="F16" s="4">
        <f t="shared" si="0"/>
        <v>10600.21</v>
      </c>
      <c r="G16" s="4">
        <f t="shared" si="0"/>
        <v>11917.559999999998</v>
      </c>
      <c r="H16" s="4">
        <f t="shared" si="0"/>
        <v>8437.5299999999988</v>
      </c>
      <c r="I16" s="4">
        <f t="shared" si="0"/>
        <v>10406.870000000001</v>
      </c>
      <c r="J16" s="4">
        <f t="shared" si="0"/>
        <v>11191.71</v>
      </c>
      <c r="K16" s="4">
        <f t="shared" si="0"/>
        <v>13015.41</v>
      </c>
    </row>
    <row r="17" spans="1:11" x14ac:dyDescent="0.25">
      <c r="A17" t="s">
        <v>44</v>
      </c>
      <c r="B17" s="4">
        <f>'Data Sheet'!B67</f>
        <v>1982.07</v>
      </c>
      <c r="C17" s="4">
        <f>'Data Sheet'!C67</f>
        <v>1917.18</v>
      </c>
      <c r="D17" s="4">
        <f>'Data Sheet'!D67</f>
        <v>2474.29</v>
      </c>
      <c r="E17" s="4">
        <f>'Data Sheet'!E67</f>
        <v>2682.29</v>
      </c>
      <c r="F17" s="4">
        <f>'Data Sheet'!F67</f>
        <v>4035.28</v>
      </c>
      <c r="G17" s="4">
        <f>'Data Sheet'!G67</f>
        <v>2562.48</v>
      </c>
      <c r="H17" s="4">
        <f>'Data Sheet'!H67</f>
        <v>2501.6999999999998</v>
      </c>
      <c r="I17" s="4">
        <f>'Data Sheet'!I67</f>
        <v>2461.9</v>
      </c>
      <c r="J17" s="4">
        <f>'Data Sheet'!J67</f>
        <v>2956.17</v>
      </c>
      <c r="K17" s="4">
        <f>'Data Sheet'!K67</f>
        <v>4025.82</v>
      </c>
    </row>
    <row r="18" spans="1:11" x14ac:dyDescent="0.25">
      <c r="A18" t="s">
        <v>45</v>
      </c>
      <c r="B18" s="4">
        <f>'Data Sheet'!B68</f>
        <v>8586.8700000000008</v>
      </c>
      <c r="C18" s="4">
        <f>'Data Sheet'!C68</f>
        <v>9062.1</v>
      </c>
      <c r="D18" s="4">
        <f>'Data Sheet'!D68</f>
        <v>8116.1</v>
      </c>
      <c r="E18" s="4">
        <f>'Data Sheet'!E68</f>
        <v>7495.09</v>
      </c>
      <c r="F18" s="4">
        <f>'Data Sheet'!F68</f>
        <v>7859.56</v>
      </c>
      <c r="G18" s="4">
        <f>'Data Sheet'!G68</f>
        <v>8879.33</v>
      </c>
      <c r="H18" s="4">
        <f>'Data Sheet'!H68</f>
        <v>10397.16</v>
      </c>
      <c r="I18" s="4">
        <f>'Data Sheet'!I68</f>
        <v>10864.15</v>
      </c>
      <c r="J18" s="4">
        <f>'Data Sheet'!J68</f>
        <v>11771.16</v>
      </c>
      <c r="K18" s="4">
        <f>'Data Sheet'!K68</f>
        <v>14152.88</v>
      </c>
    </row>
    <row r="20" spans="1:11" x14ac:dyDescent="0.25">
      <c r="A20" t="s">
        <v>46</v>
      </c>
      <c r="B20" s="4">
        <f>IF('Profit &amp; Loss'!B4&gt;0,'Balance Sheet'!B17/('Profit &amp; Loss'!B4/365),0)</f>
        <v>18.637523620358525</v>
      </c>
      <c r="C20" s="4">
        <f>IF('Profit &amp; Loss'!C4&gt;0,'Balance Sheet'!C17/('Profit &amp; Loss'!C4/365),0)</f>
        <v>17.854891674597688</v>
      </c>
      <c r="D20" s="4">
        <f>IF('Profit &amp; Loss'!D4&gt;0,'Balance Sheet'!D17/('Profit &amp; Loss'!D4/365),0)</f>
        <v>21.116823249375695</v>
      </c>
      <c r="E20" s="4">
        <f>IF('Profit &amp; Loss'!E4&gt;0,'Balance Sheet'!E17/('Profit &amp; Loss'!E4/365),0)</f>
        <v>22.533020368275956</v>
      </c>
      <c r="F20" s="4">
        <f>IF('Profit &amp; Loss'!F4&gt;0,'Balance Sheet'!F17/('Profit &amp; Loss'!F4/365),0)</f>
        <v>30.469383474163411</v>
      </c>
      <c r="G20" s="4">
        <f>IF('Profit &amp; Loss'!G4&gt;0,'Balance Sheet'!G17/('Profit &amp; Loss'!G4/365),0)</f>
        <v>18.938018980434403</v>
      </c>
      <c r="H20" s="4">
        <f>IF('Profit &amp; Loss'!H4&gt;0,'Balance Sheet'!H17/('Profit &amp; Loss'!H4/365),0)</f>
        <v>18.537713584442557</v>
      </c>
      <c r="I20" s="4">
        <f>IF('Profit &amp; Loss'!I4&gt;0,'Balance Sheet'!I17/('Profit &amp; Loss'!I4/365),0)</f>
        <v>14.817385044061677</v>
      </c>
      <c r="J20" s="4">
        <f>IF('Profit &amp; Loss'!J4&gt;0,'Balance Sheet'!J17/('Profit &amp; Loss'!J4/365),0)</f>
        <v>15.214563002342249</v>
      </c>
      <c r="K20" s="4">
        <f>IF('Profit &amp; Loss'!K4&gt;0,'Balance Sheet'!K17/('Profit &amp; Loss'!K4/365),0)</f>
        <v>20.73518666580495</v>
      </c>
    </row>
    <row r="21" spans="1:11" x14ac:dyDescent="0.25">
      <c r="A21" t="s">
        <v>47</v>
      </c>
      <c r="B21" s="4">
        <f>IF('Balance Sheet'!B18&gt;0,'Profit &amp; Loss'!B4/'Balance Sheet'!B18,0)</f>
        <v>4.5205237764167849</v>
      </c>
      <c r="C21" s="4">
        <f>IF('Balance Sheet'!C18&gt;0,'Profit &amp; Loss'!C4/'Balance Sheet'!C18,0)</f>
        <v>4.3248364065724276</v>
      </c>
      <c r="D21" s="4">
        <f>IF('Balance Sheet'!D18&gt;0,'Profit &amp; Loss'!D4/'Balance Sheet'!D18,0)</f>
        <v>5.2694767191138601</v>
      </c>
      <c r="E21" s="4">
        <f>IF('Balance Sheet'!E18&gt;0,'Profit &amp; Loss'!E4/'Balance Sheet'!E18,0)</f>
        <v>5.7969870942176813</v>
      </c>
      <c r="F21" s="4">
        <f>IF('Balance Sheet'!F18&gt;0,'Profit &amp; Loss'!F4/'Balance Sheet'!F18,0)</f>
        <v>6.1504180895622653</v>
      </c>
      <c r="G21" s="4">
        <f>IF('Balance Sheet'!G18&gt;0,'Profit &amp; Loss'!G4/'Balance Sheet'!G18,0)</f>
        <v>5.5620975906965953</v>
      </c>
      <c r="H21" s="4">
        <f>IF('Balance Sheet'!H18&gt;0,'Profit &amp; Loss'!H4/'Balance Sheet'!H18,0)</f>
        <v>4.7375869949101483</v>
      </c>
      <c r="I21" s="4">
        <f>IF('Balance Sheet'!I18&gt;0,'Profit &amp; Loss'!I4/'Balance Sheet'!I18,0)</f>
        <v>5.5820786715941884</v>
      </c>
      <c r="J21" s="4">
        <f>IF('Balance Sheet'!J18&gt;0,'Profit &amp; Loss'!J4/'Balance Sheet'!J18,0)</f>
        <v>6.0248123379514</v>
      </c>
      <c r="K21" s="4">
        <f>IF('Balance Sheet'!K18&gt;0,'Profit &amp; Loss'!K4/'Balance Sheet'!K18,0)</f>
        <v>5.0071942954366886</v>
      </c>
    </row>
    <row r="23" spans="1:11" s="2" customFormat="1" x14ac:dyDescent="0.25">
      <c r="A23" s="2" t="s">
        <v>59</v>
      </c>
      <c r="B23" s="10">
        <f>IF(SUM('Balance Sheet'!B4:B5)&gt;0,'Profit &amp; Loss'!B12/SUM('Balance Sheet'!B4:B5),"")</f>
        <v>0.30449096579255591</v>
      </c>
      <c r="C23" s="10">
        <f>IF(SUM('Balance Sheet'!C4:C5)&gt;0,'Profit &amp; Loss'!C12/SUM('Balance Sheet'!C4:C5),"")</f>
        <v>0.21894458981731754</v>
      </c>
      <c r="D23" s="10">
        <f>IF(SUM('Balance Sheet'!D4:D5)&gt;0,'Profit &amp; Loss'!D12/SUM('Balance Sheet'!D4:D5),"")</f>
        <v>0.2216933944915781</v>
      </c>
      <c r="E23" s="10">
        <f>IF(SUM('Balance Sheet'!E4:E5)&gt;0,'Profit &amp; Loss'!E12/SUM('Balance Sheet'!E4:E5),"")</f>
        <v>0.21464818870118538</v>
      </c>
      <c r="F23" s="10">
        <f>IF(SUM('Balance Sheet'!F4:F5)&gt;0,'Profit &amp; Loss'!F12/SUM('Balance Sheet'!F4:F5),"")</f>
        <v>0.21292094620860327</v>
      </c>
      <c r="G23" s="10">
        <f>IF(SUM('Balance Sheet'!G4:G5)&gt;0,'Profit &amp; Loss'!G12/SUM('Balance Sheet'!G4:G5),"")</f>
        <v>0.23449464604648212</v>
      </c>
      <c r="H23" s="10">
        <f>IF(SUM('Balance Sheet'!H4:H5)&gt;0,'Profit &amp; Loss'!H12/SUM('Balance Sheet'!H4:H5),"")</f>
        <v>0.21809063995198466</v>
      </c>
      <c r="I23" s="10">
        <f>IF(SUM('Balance Sheet'!I4:I5)&gt;0,'Profit &amp; Loss'!I12/SUM('Balance Sheet'!I4:I5),"")</f>
        <v>0.24405605456807136</v>
      </c>
      <c r="J23" s="10">
        <f>IF(SUM('Balance Sheet'!J4:J5)&gt;0,'Profit &amp; Loss'!J12/SUM('Balance Sheet'!J4:J5),"")</f>
        <v>0.2775155497933201</v>
      </c>
      <c r="K23" s="10">
        <f>IF(SUM('Balance Sheet'!K4:K5)&gt;0,'Profit &amp; Loss'!K12/SUM('Balance Sheet'!K4:K5),"")</f>
        <v>0.27458869636409999</v>
      </c>
    </row>
    <row r="24" spans="1:11" s="2" customFormat="1" x14ac:dyDescent="0.25">
      <c r="A24" s="2" t="s">
        <v>60</v>
      </c>
      <c r="B24" s="10"/>
      <c r="C24" s="10">
        <f>IF((B4+B5+B6+C4+C5+C6)&gt;0,('Profit &amp; Loss'!C10+'Profit &amp; Loss'!C9)*2/(B4+B5+B6+C4+C5+C6),"")</f>
        <v>0.39956350070933139</v>
      </c>
      <c r="D24" s="10">
        <f>IF((C4+C5+C6+D4+D5+D6)&gt;0,('Profit &amp; Loss'!D10+'Profit &amp; Loss'!D9)*2/(C4+C5+C6+D4+D5+D6),"")</f>
        <v>0.36034518411668875</v>
      </c>
      <c r="E24" s="10">
        <f>IF((D4+D5+D6+E4+E5+E6)&gt;0,('Profit &amp; Loss'!E10+'Profit &amp; Loss'!E9)*2/(D4+D5+D6+E4+E5+E6),"")</f>
        <v>0.35400589143866729</v>
      </c>
      <c r="F24" s="10">
        <f>IF((E4+E5+E6+F4+F5+F6)&gt;0,('Profit &amp; Loss'!F10+'Profit &amp; Loss'!F9)*2/(E4+E5+E6+F4+F5+F6),"")</f>
        <v>0.34415687544012852</v>
      </c>
      <c r="G24" s="10">
        <f>IF((F4+F5+F6+G4+G5+G6)&gt;0,('Profit &amp; Loss'!G10+'Profit &amp; Loss'!G9)*2/(F4+F5+F6+G4+G5+G6),"")</f>
        <v>0.32261652337652486</v>
      </c>
      <c r="H24" s="10">
        <f>IF((G4+G5+G6+H4+H5+H6)&gt;0,('Profit &amp; Loss'!H10+'Profit &amp; Loss'!H9)*2/(G4+G5+G6+H4+H5+H6),"")</f>
        <v>0.28527066262298589</v>
      </c>
      <c r="I24" s="10">
        <f>IF((H4+H5+H6+I4+I5+I6)&gt;0,('Profit &amp; Loss'!I10+'Profit &amp; Loss'!I9)*2/(H4+H5+H6+I4+I5+I6),"")</f>
        <v>0.33733252742915004</v>
      </c>
      <c r="J24" s="10">
        <f>IF((I4+I5+I6+J4+J5+J6)&gt;0,('Profit &amp; Loss'!J10+'Profit &amp; Loss'!J9)*2/(I4+I5+I6+J4+J5+J6),"")</f>
        <v>0.39333609298769096</v>
      </c>
      <c r="K24" s="10">
        <f>IF((J4+J5+J6+K4+K5+K6)&gt;0,('Profit &amp; Loss'!K10+'Profit &amp; Loss'!K9)*2/(J4+J5+J6+K4+K5+K6),"")</f>
        <v>0.3773426713604946</v>
      </c>
    </row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scale="74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ITC LTD</v>
      </c>
      <c r="E1" t="str">
        <f>UPDATE</f>
        <v/>
      </c>
      <c r="F1"/>
      <c r="J1" s="2" t="s">
        <v>1</v>
      </c>
    </row>
    <row r="3" spans="1:11" s="2" customFormat="1" x14ac:dyDescent="0.25">
      <c r="A3" s="11" t="s">
        <v>2</v>
      </c>
      <c r="B3" s="12">
        <f>'Data Sheet'!B81</f>
        <v>42094</v>
      </c>
      <c r="C3" s="12">
        <f>'Data Sheet'!C81</f>
        <v>42460</v>
      </c>
      <c r="D3" s="12">
        <f>'Data Sheet'!D81</f>
        <v>42825</v>
      </c>
      <c r="E3" s="12">
        <f>'Data Sheet'!E81</f>
        <v>43190</v>
      </c>
      <c r="F3" s="12">
        <f>'Data Sheet'!F81</f>
        <v>43555</v>
      </c>
      <c r="G3" s="12">
        <f>'Data Sheet'!G81</f>
        <v>43921</v>
      </c>
      <c r="H3" s="12">
        <f>'Data Sheet'!H81</f>
        <v>44286</v>
      </c>
      <c r="I3" s="12">
        <f>'Data Sheet'!I81</f>
        <v>44651</v>
      </c>
      <c r="J3" s="12">
        <f>'Data Sheet'!J81</f>
        <v>45016</v>
      </c>
      <c r="K3" s="12">
        <f>'Data Sheet'!K81</f>
        <v>45382</v>
      </c>
    </row>
    <row r="4" spans="1:11" s="2" customFormat="1" x14ac:dyDescent="0.25">
      <c r="A4" s="2" t="s">
        <v>32</v>
      </c>
      <c r="B4" s="1">
        <f>'Data Sheet'!B82</f>
        <v>9843.2000000000007</v>
      </c>
      <c r="C4" s="1">
        <f>'Data Sheet'!C82</f>
        <v>9799.0400000000009</v>
      </c>
      <c r="D4" s="1">
        <f>'Data Sheet'!D82</f>
        <v>10627.31</v>
      </c>
      <c r="E4" s="1">
        <f>'Data Sheet'!E82</f>
        <v>13169.4</v>
      </c>
      <c r="F4" s="1">
        <f>'Data Sheet'!F82</f>
        <v>12583.41</v>
      </c>
      <c r="G4" s="1">
        <f>'Data Sheet'!G82</f>
        <v>14689.66</v>
      </c>
      <c r="H4" s="1">
        <f>'Data Sheet'!H82</f>
        <v>12526.97</v>
      </c>
      <c r="I4" s="1">
        <f>'Data Sheet'!I82</f>
        <v>15775.51</v>
      </c>
      <c r="J4" s="1">
        <f>'Data Sheet'!J82</f>
        <v>18877.55</v>
      </c>
      <c r="K4" s="1">
        <f>'Data Sheet'!K82</f>
        <v>17178.86</v>
      </c>
    </row>
    <row r="5" spans="1:11" x14ac:dyDescent="0.25">
      <c r="A5" t="s">
        <v>33</v>
      </c>
      <c r="B5" s="6">
        <f>'Data Sheet'!B83</f>
        <v>-5275.43</v>
      </c>
      <c r="C5" s="6">
        <f>'Data Sheet'!C83</f>
        <v>-3920.73</v>
      </c>
      <c r="D5" s="6">
        <f>'Data Sheet'!D83</f>
        <v>-3250.93</v>
      </c>
      <c r="E5" s="6">
        <f>'Data Sheet'!E83</f>
        <v>-7113.89</v>
      </c>
      <c r="F5" s="6">
        <f>'Data Sheet'!F83</f>
        <v>-5545.68</v>
      </c>
      <c r="G5" s="6">
        <f>'Data Sheet'!G83</f>
        <v>-6174.02</v>
      </c>
      <c r="H5" s="6">
        <f>'Data Sheet'!H83</f>
        <v>5739.98</v>
      </c>
      <c r="I5" s="6">
        <f>'Data Sheet'!I83</f>
        <v>-2238.4899999999998</v>
      </c>
      <c r="J5" s="6">
        <f>'Data Sheet'!J83</f>
        <v>-5732.29</v>
      </c>
      <c r="K5" s="6">
        <f>'Data Sheet'!K83</f>
        <v>1562.77</v>
      </c>
    </row>
    <row r="6" spans="1:11" x14ac:dyDescent="0.25">
      <c r="A6" t="s">
        <v>34</v>
      </c>
      <c r="B6" s="6">
        <f>'Data Sheet'!B84</f>
        <v>-4661.03</v>
      </c>
      <c r="C6" s="6">
        <f>'Data Sheet'!C84</f>
        <v>-5612.52</v>
      </c>
      <c r="D6" s="6">
        <f>'Data Sheet'!D84</f>
        <v>-7301.03</v>
      </c>
      <c r="E6" s="6">
        <f>'Data Sheet'!E84</f>
        <v>-6221.13</v>
      </c>
      <c r="F6" s="6">
        <f>'Data Sheet'!F84</f>
        <v>-6868.64</v>
      </c>
      <c r="G6" s="6">
        <f>'Data Sheet'!G84</f>
        <v>-8181.48</v>
      </c>
      <c r="H6" s="6">
        <f>'Data Sheet'!H84</f>
        <v>-18633.830000000002</v>
      </c>
      <c r="I6" s="6">
        <f>'Data Sheet'!I84</f>
        <v>-13580.5</v>
      </c>
      <c r="J6" s="6">
        <f>'Data Sheet'!J84</f>
        <v>-13006.03</v>
      </c>
      <c r="K6" s="6">
        <f>'Data Sheet'!K84</f>
        <v>-18550.96</v>
      </c>
    </row>
    <row r="7" spans="1:11" s="2" customFormat="1" x14ac:dyDescent="0.25">
      <c r="A7" s="2" t="s">
        <v>35</v>
      </c>
      <c r="B7" s="1">
        <f>'Data Sheet'!B85</f>
        <v>-93.26</v>
      </c>
      <c r="C7" s="1">
        <f>'Data Sheet'!C85</f>
        <v>265.79000000000002</v>
      </c>
      <c r="D7" s="1">
        <f>'Data Sheet'!D85</f>
        <v>75.349999999999994</v>
      </c>
      <c r="E7" s="1">
        <f>'Data Sheet'!E85</f>
        <v>-165.62</v>
      </c>
      <c r="F7" s="1">
        <f>'Data Sheet'!F85</f>
        <v>169.09</v>
      </c>
      <c r="G7" s="1">
        <f>'Data Sheet'!G85</f>
        <v>334.16</v>
      </c>
      <c r="H7" s="1">
        <f>'Data Sheet'!H85</f>
        <v>-366.88</v>
      </c>
      <c r="I7" s="1">
        <f>'Data Sheet'!I85</f>
        <v>-43.48</v>
      </c>
      <c r="J7" s="1">
        <f>'Data Sheet'!J85</f>
        <v>139.22999999999999</v>
      </c>
      <c r="K7" s="1">
        <f>'Data Sheet'!K85</f>
        <v>190.67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500-000000000000}"/>
  </hyperlinks>
  <printOptions gridLines="1"/>
  <pageMargins left="0.7" right="0.7" top="0.75" bottom="0.75" header="0.3" footer="0.3"/>
  <pageSetup paperSize="9" scale="81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G16"/>
  <sheetViews>
    <sheetView zoomScale="150" zoomScaleNormal="150" zoomScalePageLayoutView="150" workbookViewId="0">
      <selection activeCell="F17" sqref="F17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56</v>
      </c>
    </row>
    <row r="3" spans="1:7" x14ac:dyDescent="0.25">
      <c r="A3" s="2" t="s">
        <v>48</v>
      </c>
    </row>
    <row r="4" spans="1:7" x14ac:dyDescent="0.25">
      <c r="B4" t="s">
        <v>90</v>
      </c>
    </row>
    <row r="5" spans="1:7" x14ac:dyDescent="0.25">
      <c r="B5" t="s">
        <v>49</v>
      </c>
    </row>
    <row r="7" spans="1:7" x14ac:dyDescent="0.25">
      <c r="A7" s="2" t="s">
        <v>50</v>
      </c>
    </row>
    <row r="8" spans="1:7" x14ac:dyDescent="0.25">
      <c r="B8" t="s">
        <v>51</v>
      </c>
      <c r="C8" s="21" t="s">
        <v>91</v>
      </c>
    </row>
    <row r="10" spans="1:7" x14ac:dyDescent="0.25">
      <c r="A10" s="2" t="s">
        <v>52</v>
      </c>
    </row>
    <row r="11" spans="1:7" x14ac:dyDescent="0.25">
      <c r="B11" t="s">
        <v>53</v>
      </c>
    </row>
    <row r="14" spans="1:7" x14ac:dyDescent="0.25">
      <c r="A14" s="2" t="s">
        <v>54</v>
      </c>
    </row>
    <row r="15" spans="1:7" x14ac:dyDescent="0.25">
      <c r="B15" t="s">
        <v>55</v>
      </c>
    </row>
    <row r="16" spans="1:7" x14ac:dyDescent="0.25">
      <c r="B16" t="s">
        <v>92</v>
      </c>
      <c r="G16" s="22"/>
    </row>
  </sheetData>
  <hyperlinks>
    <hyperlink ref="C8" r:id="rId1" display=" http://www.screener.in/excel" xr:uid="{00000000-0004-0000-06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3"/>
  <sheetViews>
    <sheetView zoomScale="120" zoomScaleNormal="120" zoomScalePageLayoutView="120" workbookViewId="0">
      <pane xSplit="1" ySplit="1" topLeftCell="C53" activePane="bottomRight" state="frozen"/>
      <selection activeCell="C4" sqref="C4"/>
      <selection pane="topRight" activeCell="C4" sqref="C4"/>
      <selection pane="bottomLeft" activeCell="C4" sqref="C4"/>
      <selection pane="bottomRight" activeCell="A72" sqref="A72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0</v>
      </c>
      <c r="B1" s="1" t="s">
        <v>63</v>
      </c>
      <c r="E1" s="86" t="str">
        <f>IF(B2&lt;&gt;B3, "A NEW VERSION OF THE WORKSHEET IS AVAILABLE", "")</f>
        <v/>
      </c>
      <c r="F1" s="86"/>
      <c r="G1" s="86"/>
      <c r="H1" s="86"/>
      <c r="I1" s="86"/>
      <c r="J1" s="86"/>
      <c r="K1" s="86"/>
    </row>
    <row r="2" spans="1:11" x14ac:dyDescent="0.25">
      <c r="A2" s="1" t="s">
        <v>61</v>
      </c>
      <c r="B2" s="4">
        <v>2.1</v>
      </c>
      <c r="E2" s="87" t="s">
        <v>36</v>
      </c>
      <c r="F2" s="87"/>
      <c r="G2" s="87"/>
      <c r="H2" s="87"/>
      <c r="I2" s="87"/>
      <c r="J2" s="87"/>
      <c r="K2" s="87"/>
    </row>
    <row r="3" spans="1:11" x14ac:dyDescent="0.25">
      <c r="A3" s="1" t="s">
        <v>62</v>
      </c>
      <c r="B3" s="4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4" t="s">
        <v>42</v>
      </c>
      <c r="B6" s="4">
        <f>IF(B9&gt;0, B9/B8, 0)</f>
        <v>1251.2479557177003</v>
      </c>
    </row>
    <row r="7" spans="1:11" x14ac:dyDescent="0.25">
      <c r="A7" s="4" t="s">
        <v>31</v>
      </c>
      <c r="B7">
        <v>1</v>
      </c>
    </row>
    <row r="8" spans="1:11" x14ac:dyDescent="0.25">
      <c r="A8" s="4" t="s">
        <v>43</v>
      </c>
      <c r="B8">
        <v>397.45</v>
      </c>
    </row>
    <row r="9" spans="1:11" x14ac:dyDescent="0.25">
      <c r="A9" s="4" t="s">
        <v>79</v>
      </c>
      <c r="B9">
        <v>497308.5</v>
      </c>
    </row>
    <row r="15" spans="1:11" x14ac:dyDescent="0.25">
      <c r="A15" s="1" t="s">
        <v>37</v>
      </c>
    </row>
    <row r="16" spans="1:11" s="18" customFormat="1" x14ac:dyDescent="0.25">
      <c r="A16" s="17" t="s">
        <v>38</v>
      </c>
      <c r="B16" s="12">
        <v>42094</v>
      </c>
      <c r="C16" s="12">
        <v>42460</v>
      </c>
      <c r="D16" s="12">
        <v>42825</v>
      </c>
      <c r="E16" s="12">
        <v>43190</v>
      </c>
      <c r="F16" s="12">
        <v>43555</v>
      </c>
      <c r="G16" s="12">
        <v>43921</v>
      </c>
      <c r="H16" s="12">
        <v>44286</v>
      </c>
      <c r="I16" s="12">
        <v>44651</v>
      </c>
      <c r="J16" s="12">
        <v>45016</v>
      </c>
      <c r="K16" s="12">
        <v>45382</v>
      </c>
    </row>
    <row r="17" spans="1:11" s="6" customFormat="1" x14ac:dyDescent="0.25">
      <c r="A17" s="6" t="s">
        <v>6</v>
      </c>
      <c r="B17">
        <v>38817.15</v>
      </c>
      <c r="C17">
        <v>39192.1</v>
      </c>
      <c r="D17">
        <v>42767.6</v>
      </c>
      <c r="E17">
        <v>43448.94</v>
      </c>
      <c r="F17">
        <v>48339.58</v>
      </c>
      <c r="G17">
        <v>49387.7</v>
      </c>
      <c r="H17">
        <v>49257.45</v>
      </c>
      <c r="I17">
        <v>60644.54</v>
      </c>
      <c r="J17">
        <v>70919.03</v>
      </c>
      <c r="K17">
        <v>70866.22</v>
      </c>
    </row>
    <row r="18" spans="1:11" s="6" customFormat="1" x14ac:dyDescent="0.25">
      <c r="A18" s="4" t="s">
        <v>80</v>
      </c>
      <c r="B18">
        <v>15007.9</v>
      </c>
      <c r="C18">
        <v>13763.88</v>
      </c>
      <c r="D18">
        <v>15456.59</v>
      </c>
      <c r="E18">
        <v>14827.72</v>
      </c>
      <c r="F18">
        <v>17623.52</v>
      </c>
      <c r="G18">
        <v>18048.599999999999</v>
      </c>
      <c r="H18">
        <v>20776.71</v>
      </c>
      <c r="I18">
        <v>27071.07</v>
      </c>
      <c r="J18">
        <v>29364.36</v>
      </c>
      <c r="K18">
        <v>27835.9</v>
      </c>
    </row>
    <row r="19" spans="1:11" s="6" customFormat="1" x14ac:dyDescent="0.25">
      <c r="A19" s="4" t="s">
        <v>81</v>
      </c>
      <c r="B19">
        <v>235.72</v>
      </c>
      <c r="C19">
        <v>195.38</v>
      </c>
      <c r="D19">
        <v>-592.57000000000005</v>
      </c>
      <c r="E19">
        <v>-1027.76</v>
      </c>
      <c r="F19">
        <v>203.19</v>
      </c>
      <c r="G19">
        <v>703.13</v>
      </c>
      <c r="H19">
        <v>645.27</v>
      </c>
      <c r="I19">
        <v>686</v>
      </c>
      <c r="J19">
        <v>358.59</v>
      </c>
      <c r="K19">
        <v>588.69000000000005</v>
      </c>
    </row>
    <row r="20" spans="1:11" s="6" customFormat="1" x14ac:dyDescent="0.25">
      <c r="A20" s="4" t="s">
        <v>82</v>
      </c>
      <c r="B20">
        <v>610.66999999999996</v>
      </c>
      <c r="C20">
        <v>571.88</v>
      </c>
      <c r="D20">
        <v>584.33000000000004</v>
      </c>
      <c r="E20">
        <v>653.5</v>
      </c>
      <c r="F20">
        <v>746.73</v>
      </c>
      <c r="G20">
        <v>780.85</v>
      </c>
      <c r="H20">
        <v>699.56</v>
      </c>
      <c r="I20">
        <v>889.77</v>
      </c>
      <c r="J20">
        <v>1232.3399999999999</v>
      </c>
      <c r="K20">
        <v>1120.25</v>
      </c>
    </row>
    <row r="21" spans="1:11" s="6" customFormat="1" x14ac:dyDescent="0.25">
      <c r="A21" s="4" t="s">
        <v>83</v>
      </c>
      <c r="B21">
        <v>1533.25</v>
      </c>
      <c r="C21">
        <v>1581.59</v>
      </c>
      <c r="D21">
        <v>1683.9</v>
      </c>
      <c r="E21">
        <v>1697.62</v>
      </c>
      <c r="F21">
        <v>1871.01</v>
      </c>
      <c r="G21">
        <v>1908.29</v>
      </c>
      <c r="H21">
        <v>1587.18</v>
      </c>
      <c r="I21">
        <v>1887.67</v>
      </c>
      <c r="J21">
        <v>2327.8000000000002</v>
      </c>
      <c r="K21">
        <v>2513.67</v>
      </c>
    </row>
    <row r="22" spans="1:11" s="6" customFormat="1" x14ac:dyDescent="0.25">
      <c r="A22" s="4" t="s">
        <v>84</v>
      </c>
      <c r="B22">
        <v>2772.28</v>
      </c>
      <c r="C22">
        <v>3440.97</v>
      </c>
      <c r="D22">
        <v>3631.73</v>
      </c>
      <c r="E22">
        <v>3760.9</v>
      </c>
      <c r="F22">
        <v>4177.88</v>
      </c>
      <c r="G22">
        <v>4295.79</v>
      </c>
      <c r="H22">
        <v>4463.33</v>
      </c>
      <c r="I22">
        <v>4890.55</v>
      </c>
      <c r="J22">
        <v>5736.22</v>
      </c>
      <c r="K22">
        <v>6134.35</v>
      </c>
    </row>
    <row r="23" spans="1:11" s="6" customFormat="1" x14ac:dyDescent="0.25">
      <c r="A23" s="4" t="s">
        <v>85</v>
      </c>
      <c r="B23">
        <v>3876.19</v>
      </c>
      <c r="C23">
        <v>4261.78</v>
      </c>
      <c r="D23">
        <v>4179.74</v>
      </c>
      <c r="E23">
        <v>3954.87</v>
      </c>
      <c r="F23">
        <v>4546.3900000000003</v>
      </c>
      <c r="G23">
        <v>4488.63</v>
      </c>
      <c r="H23">
        <v>4236.7700000000004</v>
      </c>
      <c r="I23">
        <v>4858.38</v>
      </c>
      <c r="J23">
        <v>5604.08</v>
      </c>
      <c r="K23">
        <v>6178.63</v>
      </c>
    </row>
    <row r="24" spans="1:11" s="6" customFormat="1" x14ac:dyDescent="0.25">
      <c r="A24" s="4" t="s">
        <v>86</v>
      </c>
      <c r="B24">
        <v>1000.96</v>
      </c>
      <c r="C24">
        <v>1235.8900000000001</v>
      </c>
      <c r="D24">
        <v>1169.23</v>
      </c>
      <c r="E24">
        <v>1005.98</v>
      </c>
      <c r="F24">
        <v>1039.8499999999999</v>
      </c>
      <c r="G24">
        <v>1225.1300000000001</v>
      </c>
      <c r="H24">
        <v>1074.3900000000001</v>
      </c>
      <c r="I24">
        <v>1109.95</v>
      </c>
      <c r="J24">
        <v>1308.56</v>
      </c>
      <c r="K24">
        <v>1439.55</v>
      </c>
    </row>
    <row r="25" spans="1:11" s="6" customFormat="1" x14ac:dyDescent="0.25">
      <c r="A25" s="6" t="s">
        <v>9</v>
      </c>
      <c r="B25">
        <v>1229.3499999999999</v>
      </c>
      <c r="C25">
        <v>1483.11</v>
      </c>
      <c r="D25">
        <v>1758.63</v>
      </c>
      <c r="E25">
        <v>2239.81</v>
      </c>
      <c r="F25">
        <v>2080.44</v>
      </c>
      <c r="G25">
        <v>2417.3200000000002</v>
      </c>
      <c r="H25">
        <v>2576.9499999999998</v>
      </c>
      <c r="I25">
        <v>1909.72</v>
      </c>
      <c r="J25">
        <v>2097.64</v>
      </c>
      <c r="K25">
        <v>2803.77</v>
      </c>
    </row>
    <row r="26" spans="1:11" s="6" customFormat="1" x14ac:dyDescent="0.25">
      <c r="A26" s="6" t="s">
        <v>10</v>
      </c>
      <c r="B26">
        <v>1027.96</v>
      </c>
      <c r="C26">
        <v>1077.4000000000001</v>
      </c>
      <c r="D26">
        <v>1152.79</v>
      </c>
      <c r="E26">
        <v>1236.28</v>
      </c>
      <c r="F26">
        <v>1396.61</v>
      </c>
      <c r="G26">
        <v>1644.91</v>
      </c>
      <c r="H26">
        <v>1645.59</v>
      </c>
      <c r="I26">
        <v>1732.41</v>
      </c>
      <c r="J26">
        <v>1809.01</v>
      </c>
      <c r="K26">
        <v>1816.39</v>
      </c>
    </row>
    <row r="27" spans="1:11" s="6" customFormat="1" x14ac:dyDescent="0.25">
      <c r="A27" s="6" t="s">
        <v>11</v>
      </c>
      <c r="B27">
        <v>90.96</v>
      </c>
      <c r="C27">
        <v>78.13</v>
      </c>
      <c r="D27">
        <v>49.03</v>
      </c>
      <c r="E27">
        <v>115.01</v>
      </c>
      <c r="F27">
        <v>71.400000000000006</v>
      </c>
      <c r="G27">
        <v>81.38</v>
      </c>
      <c r="H27">
        <v>57.97</v>
      </c>
      <c r="I27">
        <v>59.99</v>
      </c>
      <c r="J27">
        <v>77.77</v>
      </c>
      <c r="K27">
        <v>80.06</v>
      </c>
    </row>
    <row r="28" spans="1:11" s="6" customFormat="1" x14ac:dyDescent="0.25">
      <c r="A28" s="6" t="s">
        <v>12</v>
      </c>
      <c r="B28">
        <v>14362.05</v>
      </c>
      <c r="C28">
        <v>14859.07</v>
      </c>
      <c r="D28">
        <v>16026.32</v>
      </c>
      <c r="E28">
        <v>17409.11</v>
      </c>
      <c r="F28">
        <v>19149.82</v>
      </c>
      <c r="G28">
        <v>20034.57</v>
      </c>
      <c r="H28">
        <v>17938.169999999998</v>
      </c>
      <c r="I28">
        <v>20740.47</v>
      </c>
      <c r="J28">
        <v>25915.119999999999</v>
      </c>
      <c r="K28">
        <v>27139.88</v>
      </c>
    </row>
    <row r="29" spans="1:11" s="6" customFormat="1" x14ac:dyDescent="0.25">
      <c r="A29" s="6" t="s">
        <v>13</v>
      </c>
      <c r="B29">
        <v>4596.42</v>
      </c>
      <c r="C29">
        <v>5358.21</v>
      </c>
      <c r="D29">
        <v>5549.09</v>
      </c>
      <c r="E29">
        <v>5916.43</v>
      </c>
      <c r="F29">
        <v>6313.92</v>
      </c>
      <c r="G29">
        <v>4441.79</v>
      </c>
      <c r="H29">
        <v>4555.29</v>
      </c>
      <c r="I29">
        <v>5237.34</v>
      </c>
      <c r="J29">
        <v>6438.4</v>
      </c>
      <c r="K29">
        <v>6388.52</v>
      </c>
    </row>
    <row r="30" spans="1:11" s="6" customFormat="1" x14ac:dyDescent="0.25">
      <c r="A30" s="6" t="s">
        <v>14</v>
      </c>
      <c r="B30">
        <v>9663.17</v>
      </c>
      <c r="C30">
        <v>9344.4500000000007</v>
      </c>
      <c r="D30">
        <v>10289.44</v>
      </c>
      <c r="E30">
        <v>11271.2</v>
      </c>
      <c r="F30">
        <v>12592.33</v>
      </c>
      <c r="G30">
        <v>15306.23</v>
      </c>
      <c r="H30">
        <v>13161.19</v>
      </c>
      <c r="I30">
        <v>15242.66</v>
      </c>
      <c r="J30">
        <v>19191.66</v>
      </c>
      <c r="K30">
        <v>20458.78</v>
      </c>
    </row>
    <row r="31" spans="1:11" s="6" customFormat="1" x14ac:dyDescent="0.25">
      <c r="A31" s="6" t="s">
        <v>70</v>
      </c>
      <c r="B31">
        <v>5009.6899999999996</v>
      </c>
      <c r="C31">
        <v>6840.12</v>
      </c>
      <c r="D31">
        <v>5770.02</v>
      </c>
      <c r="E31">
        <v>6285.21</v>
      </c>
      <c r="F31">
        <v>7048.7</v>
      </c>
      <c r="G31">
        <v>12476.58</v>
      </c>
      <c r="H31">
        <v>13231.96</v>
      </c>
      <c r="I31">
        <v>14171.8</v>
      </c>
      <c r="J31">
        <v>19263.400000000001</v>
      </c>
      <c r="K31">
        <v>17166.46</v>
      </c>
    </row>
    <row r="32" spans="1:11" s="6" customFormat="1" x14ac:dyDescent="0.25"/>
    <row r="33" spans="1:11" x14ac:dyDescent="0.25">
      <c r="A33" s="6"/>
    </row>
    <row r="34" spans="1:11" x14ac:dyDescent="0.25">
      <c r="A34" s="6"/>
    </row>
    <row r="35" spans="1:11" x14ac:dyDescent="0.25">
      <c r="A35" s="6"/>
    </row>
    <row r="36" spans="1:11" x14ac:dyDescent="0.25">
      <c r="A36" s="6"/>
    </row>
    <row r="37" spans="1:11" x14ac:dyDescent="0.25">
      <c r="A37" s="6"/>
    </row>
    <row r="38" spans="1:11" x14ac:dyDescent="0.25">
      <c r="A38" s="6"/>
    </row>
    <row r="39" spans="1:11" x14ac:dyDescent="0.25">
      <c r="A39" s="6"/>
    </row>
    <row r="40" spans="1:11" x14ac:dyDescent="0.25">
      <c r="A40" s="1" t="s">
        <v>39</v>
      </c>
    </row>
    <row r="41" spans="1:11" s="18" customFormat="1" x14ac:dyDescent="0.25">
      <c r="A41" s="17" t="s">
        <v>38</v>
      </c>
      <c r="B41" s="12">
        <v>44834</v>
      </c>
      <c r="C41" s="12">
        <v>44926</v>
      </c>
      <c r="D41" s="12">
        <v>45016</v>
      </c>
      <c r="E41" s="12">
        <v>45107</v>
      </c>
      <c r="F41" s="12">
        <v>45199</v>
      </c>
      <c r="G41" s="12">
        <v>45291</v>
      </c>
      <c r="H41" s="12">
        <v>45382</v>
      </c>
      <c r="I41" s="12">
        <v>45473</v>
      </c>
      <c r="J41" s="12">
        <v>45565</v>
      </c>
      <c r="K41" s="12">
        <v>45657</v>
      </c>
    </row>
    <row r="42" spans="1:11" s="6" customFormat="1" x14ac:dyDescent="0.25">
      <c r="A42" s="6" t="s">
        <v>6</v>
      </c>
      <c r="B42">
        <v>17107.990000000002</v>
      </c>
      <c r="C42">
        <v>17704.52</v>
      </c>
      <c r="D42">
        <v>17634.89</v>
      </c>
      <c r="E42">
        <v>17164.46</v>
      </c>
      <c r="F42">
        <v>17774.47</v>
      </c>
      <c r="G42">
        <v>17195.240000000002</v>
      </c>
      <c r="H42">
        <v>17922.7</v>
      </c>
      <c r="I42">
        <v>18457.330000000002</v>
      </c>
      <c r="J42">
        <v>19990.36</v>
      </c>
      <c r="K42">
        <v>18790.169999999998</v>
      </c>
    </row>
    <row r="43" spans="1:11" s="6" customFormat="1" x14ac:dyDescent="0.25">
      <c r="A43" s="6" t="s">
        <v>7</v>
      </c>
      <c r="B43">
        <v>10848.89</v>
      </c>
      <c r="C43">
        <v>10999.82</v>
      </c>
      <c r="D43">
        <v>11010.89</v>
      </c>
      <c r="E43">
        <v>10494.39</v>
      </c>
      <c r="F43">
        <v>11320.23</v>
      </c>
      <c r="G43">
        <v>10985.01</v>
      </c>
      <c r="H43">
        <v>11296.48</v>
      </c>
      <c r="I43">
        <v>11708.92</v>
      </c>
      <c r="J43">
        <v>13438.28</v>
      </c>
      <c r="K43">
        <v>12428.27</v>
      </c>
    </row>
    <row r="44" spans="1:11" s="6" customFormat="1" x14ac:dyDescent="0.25">
      <c r="A44" s="6" t="s">
        <v>9</v>
      </c>
      <c r="B44">
        <v>454.68</v>
      </c>
      <c r="C44">
        <v>595.42999999999995</v>
      </c>
      <c r="D44">
        <v>682.52</v>
      </c>
      <c r="E44">
        <v>722.3</v>
      </c>
      <c r="F44">
        <v>673.5</v>
      </c>
      <c r="G44">
        <v>820.26</v>
      </c>
      <c r="H44">
        <v>681.78</v>
      </c>
      <c r="I44">
        <v>699.46</v>
      </c>
      <c r="J44">
        <v>690.31</v>
      </c>
      <c r="K44">
        <v>803.4</v>
      </c>
    </row>
    <row r="45" spans="1:11" s="6" customFormat="1" x14ac:dyDescent="0.25">
      <c r="A45" s="6" t="s">
        <v>10</v>
      </c>
      <c r="B45">
        <v>462.38</v>
      </c>
      <c r="C45">
        <v>447.11</v>
      </c>
      <c r="D45">
        <v>461.4</v>
      </c>
      <c r="E45">
        <v>442.46</v>
      </c>
      <c r="F45">
        <v>453.04</v>
      </c>
      <c r="G45">
        <v>384.04</v>
      </c>
      <c r="H45">
        <v>461.44</v>
      </c>
      <c r="I45">
        <v>498.57</v>
      </c>
      <c r="J45">
        <v>416.18</v>
      </c>
      <c r="K45">
        <v>415.98</v>
      </c>
    </row>
    <row r="46" spans="1:11" s="6" customFormat="1" x14ac:dyDescent="0.25">
      <c r="A46" s="6" t="s">
        <v>11</v>
      </c>
      <c r="B46">
        <v>12.59</v>
      </c>
      <c r="C46">
        <v>9.2100000000000009</v>
      </c>
      <c r="D46">
        <v>12.15</v>
      </c>
      <c r="E46">
        <v>9.9</v>
      </c>
      <c r="F46">
        <v>9.8699999999999992</v>
      </c>
      <c r="G46">
        <v>11.94</v>
      </c>
      <c r="H46">
        <v>12.59</v>
      </c>
      <c r="I46">
        <v>11.25</v>
      </c>
      <c r="J46">
        <v>14.73</v>
      </c>
      <c r="K46">
        <v>9.82</v>
      </c>
    </row>
    <row r="47" spans="1:11" s="6" customFormat="1" x14ac:dyDescent="0.25">
      <c r="A47" s="6" t="s">
        <v>12</v>
      </c>
      <c r="B47">
        <v>6238.81</v>
      </c>
      <c r="C47">
        <v>6843.81</v>
      </c>
      <c r="D47">
        <v>6832.97</v>
      </c>
      <c r="E47">
        <v>6940.01</v>
      </c>
      <c r="F47">
        <v>6664.83</v>
      </c>
      <c r="G47">
        <v>6634.51</v>
      </c>
      <c r="H47">
        <v>6833.97</v>
      </c>
      <c r="I47">
        <v>6938.05</v>
      </c>
      <c r="J47">
        <v>6811.48</v>
      </c>
      <c r="K47">
        <v>6739.5</v>
      </c>
    </row>
    <row r="48" spans="1:11" s="6" customFormat="1" x14ac:dyDescent="0.25">
      <c r="A48" s="6" t="s">
        <v>13</v>
      </c>
      <c r="B48">
        <v>1568.49</v>
      </c>
      <c r="C48">
        <v>1773.72</v>
      </c>
      <c r="D48">
        <v>1607.95</v>
      </c>
      <c r="E48">
        <v>1759.89</v>
      </c>
      <c r="F48">
        <v>1700.31</v>
      </c>
      <c r="G48">
        <v>1227.99</v>
      </c>
      <c r="H48">
        <v>1646.75</v>
      </c>
      <c r="I48">
        <v>1761.06</v>
      </c>
      <c r="J48">
        <v>1757.05</v>
      </c>
      <c r="K48">
        <v>1726.32</v>
      </c>
    </row>
    <row r="49" spans="1:11" s="6" customFormat="1" x14ac:dyDescent="0.25">
      <c r="A49" s="6" t="s">
        <v>14</v>
      </c>
      <c r="B49">
        <v>4619.7700000000004</v>
      </c>
      <c r="C49">
        <v>5006.6499999999996</v>
      </c>
      <c r="D49">
        <v>5175.4799999999996</v>
      </c>
      <c r="E49">
        <v>5104.93</v>
      </c>
      <c r="F49">
        <v>4898.07</v>
      </c>
      <c r="G49">
        <v>5335.23</v>
      </c>
      <c r="H49">
        <v>5120.55</v>
      </c>
      <c r="I49">
        <v>5091.59</v>
      </c>
      <c r="J49">
        <v>4992.87</v>
      </c>
      <c r="K49">
        <v>4934.8</v>
      </c>
    </row>
    <row r="50" spans="1:11" x14ac:dyDescent="0.25">
      <c r="A50" s="6" t="s">
        <v>8</v>
      </c>
      <c r="B50">
        <v>6259.1</v>
      </c>
      <c r="C50">
        <v>6704.7</v>
      </c>
      <c r="D50">
        <v>6624</v>
      </c>
      <c r="E50">
        <v>6670.07</v>
      </c>
      <c r="F50">
        <v>6454.24</v>
      </c>
      <c r="G50">
        <v>6210.23</v>
      </c>
      <c r="H50">
        <v>6626.22</v>
      </c>
      <c r="I50">
        <v>6748.41</v>
      </c>
      <c r="J50">
        <v>6552.08</v>
      </c>
      <c r="K50">
        <v>6361.9</v>
      </c>
    </row>
    <row r="51" spans="1:11" x14ac:dyDescent="0.25">
      <c r="A51" s="6"/>
    </row>
    <row r="52" spans="1:11" x14ac:dyDescent="0.25">
      <c r="A52" s="6"/>
    </row>
    <row r="53" spans="1:11" x14ac:dyDescent="0.25">
      <c r="A53" s="6"/>
    </row>
    <row r="54" spans="1:11" x14ac:dyDescent="0.25">
      <c r="A54" s="6"/>
    </row>
    <row r="55" spans="1:11" x14ac:dyDescent="0.25">
      <c r="A55" s="1" t="s">
        <v>40</v>
      </c>
    </row>
    <row r="56" spans="1:11" s="18" customFormat="1" x14ac:dyDescent="0.25">
      <c r="A56" s="17" t="s">
        <v>38</v>
      </c>
      <c r="B56" s="12">
        <v>42094</v>
      </c>
      <c r="C56" s="12">
        <v>42460</v>
      </c>
      <c r="D56" s="12">
        <v>42825</v>
      </c>
      <c r="E56" s="12">
        <v>43190</v>
      </c>
      <c r="F56" s="12">
        <v>43555</v>
      </c>
      <c r="G56" s="12">
        <v>43921</v>
      </c>
      <c r="H56" s="12">
        <v>44286</v>
      </c>
      <c r="I56" s="12">
        <v>44651</v>
      </c>
      <c r="J56" s="12">
        <v>45016</v>
      </c>
      <c r="K56" s="12">
        <v>45382</v>
      </c>
    </row>
    <row r="57" spans="1:11" x14ac:dyDescent="0.25">
      <c r="A57" s="6" t="s">
        <v>24</v>
      </c>
      <c r="B57">
        <v>801.55</v>
      </c>
      <c r="C57">
        <v>804.72</v>
      </c>
      <c r="D57">
        <v>1214.74</v>
      </c>
      <c r="E57">
        <v>1220.43</v>
      </c>
      <c r="F57">
        <v>1225.8599999999999</v>
      </c>
      <c r="G57">
        <v>1229.22</v>
      </c>
      <c r="H57">
        <v>1230.8800000000001</v>
      </c>
      <c r="I57">
        <v>1232.33</v>
      </c>
      <c r="J57">
        <v>1242.8</v>
      </c>
      <c r="K57">
        <v>1248.47</v>
      </c>
    </row>
    <row r="58" spans="1:11" x14ac:dyDescent="0.25">
      <c r="A58" s="6" t="s">
        <v>25</v>
      </c>
      <c r="B58">
        <v>30933.94</v>
      </c>
      <c r="C58">
        <v>41874.800000000003</v>
      </c>
      <c r="D58">
        <v>45198.19</v>
      </c>
      <c r="E58">
        <v>51289.68</v>
      </c>
      <c r="F58">
        <v>57915.01</v>
      </c>
      <c r="G58">
        <v>64044.04</v>
      </c>
      <c r="H58">
        <v>59116.46</v>
      </c>
      <c r="I58">
        <v>61223.24</v>
      </c>
      <c r="J58">
        <v>67912.460000000006</v>
      </c>
      <c r="K58">
        <v>73258.53</v>
      </c>
    </row>
    <row r="59" spans="1:11" x14ac:dyDescent="0.25">
      <c r="A59" s="6" t="s">
        <v>71</v>
      </c>
      <c r="B59">
        <v>268.8</v>
      </c>
      <c r="C59">
        <v>83.78</v>
      </c>
      <c r="D59">
        <v>45.72</v>
      </c>
      <c r="E59">
        <v>35.92</v>
      </c>
      <c r="F59">
        <v>13.44</v>
      </c>
      <c r="G59">
        <v>277.45</v>
      </c>
      <c r="H59">
        <v>270.83</v>
      </c>
      <c r="I59">
        <v>249.44</v>
      </c>
      <c r="J59">
        <v>306.04000000000002</v>
      </c>
      <c r="K59">
        <v>303.43</v>
      </c>
    </row>
    <row r="60" spans="1:11" x14ac:dyDescent="0.25">
      <c r="A60" s="6" t="s">
        <v>72</v>
      </c>
      <c r="B60">
        <v>13947.93</v>
      </c>
      <c r="C60">
        <v>8888.0400000000009</v>
      </c>
      <c r="D60">
        <v>9439.67</v>
      </c>
      <c r="E60">
        <v>11694.85</v>
      </c>
      <c r="F60">
        <v>12584.73</v>
      </c>
      <c r="G60">
        <v>11760.04</v>
      </c>
      <c r="H60">
        <v>13142.59</v>
      </c>
      <c r="I60">
        <v>14491.01</v>
      </c>
      <c r="J60">
        <v>16369.66</v>
      </c>
      <c r="K60">
        <v>16943.54</v>
      </c>
    </row>
    <row r="61" spans="1:11" s="1" customFormat="1" x14ac:dyDescent="0.25">
      <c r="A61" s="1" t="s">
        <v>26</v>
      </c>
      <c r="B61">
        <v>45952.22</v>
      </c>
      <c r="C61">
        <v>51651.34</v>
      </c>
      <c r="D61">
        <v>55898.32</v>
      </c>
      <c r="E61">
        <v>64240.88</v>
      </c>
      <c r="F61">
        <v>71739.039999999994</v>
      </c>
      <c r="G61">
        <v>77310.75</v>
      </c>
      <c r="H61">
        <v>73760.759999999995</v>
      </c>
      <c r="I61">
        <v>77196.02</v>
      </c>
      <c r="J61">
        <v>85830.96</v>
      </c>
      <c r="K61">
        <v>91753.97</v>
      </c>
    </row>
    <row r="62" spans="1:11" x14ac:dyDescent="0.25">
      <c r="A62" s="6" t="s">
        <v>27</v>
      </c>
      <c r="B62">
        <v>15303.28</v>
      </c>
      <c r="C62">
        <v>15106.63</v>
      </c>
      <c r="D62">
        <v>15893.48</v>
      </c>
      <c r="E62">
        <v>16523.96</v>
      </c>
      <c r="F62">
        <v>19374.189999999999</v>
      </c>
      <c r="G62">
        <v>21713.34</v>
      </c>
      <c r="H62">
        <v>23298.48</v>
      </c>
      <c r="I62">
        <v>24231.59</v>
      </c>
      <c r="J62">
        <v>25851.27</v>
      </c>
      <c r="K62">
        <v>27820.22</v>
      </c>
    </row>
    <row r="63" spans="1:11" x14ac:dyDescent="0.25">
      <c r="A63" s="6" t="s">
        <v>28</v>
      </c>
      <c r="B63">
        <v>2700.2</v>
      </c>
      <c r="C63">
        <v>2559.7199999999998</v>
      </c>
      <c r="D63">
        <v>3729.89</v>
      </c>
      <c r="E63">
        <v>5508.33</v>
      </c>
      <c r="F63">
        <v>4136.42</v>
      </c>
      <c r="G63">
        <v>3256.46</v>
      </c>
      <c r="H63">
        <v>4011.29</v>
      </c>
      <c r="I63">
        <v>3225.54</v>
      </c>
      <c r="J63">
        <v>3003.3</v>
      </c>
      <c r="K63">
        <v>2860.78</v>
      </c>
    </row>
    <row r="64" spans="1:11" x14ac:dyDescent="0.25">
      <c r="A64" s="6" t="s">
        <v>29</v>
      </c>
      <c r="B64">
        <v>6942.77</v>
      </c>
      <c r="C64">
        <v>11747.59</v>
      </c>
      <c r="D64">
        <v>17581.38</v>
      </c>
      <c r="E64">
        <v>22052.86</v>
      </c>
      <c r="F64">
        <v>25043.49</v>
      </c>
      <c r="G64">
        <v>28663.35</v>
      </c>
      <c r="H64">
        <v>24870.87</v>
      </c>
      <c r="I64">
        <v>24841.01</v>
      </c>
      <c r="J64">
        <v>29415.02</v>
      </c>
      <c r="K64">
        <v>31114.02</v>
      </c>
    </row>
    <row r="65" spans="1:11" x14ac:dyDescent="0.25">
      <c r="A65" s="6" t="s">
        <v>73</v>
      </c>
      <c r="B65">
        <v>21005.97</v>
      </c>
      <c r="C65">
        <v>22237.4</v>
      </c>
      <c r="D65">
        <v>18693.57</v>
      </c>
      <c r="E65">
        <v>20155.73</v>
      </c>
      <c r="F65">
        <v>23184.94</v>
      </c>
      <c r="G65">
        <v>23677.599999999999</v>
      </c>
      <c r="H65">
        <v>21580.12</v>
      </c>
      <c r="I65">
        <v>24897.88</v>
      </c>
      <c r="J65">
        <v>27561.37</v>
      </c>
      <c r="K65">
        <v>29958.95</v>
      </c>
    </row>
    <row r="66" spans="1:11" s="1" customFormat="1" x14ac:dyDescent="0.25">
      <c r="A66" s="1" t="s">
        <v>26</v>
      </c>
      <c r="B66">
        <v>45952.22</v>
      </c>
      <c r="C66">
        <v>51651.34</v>
      </c>
      <c r="D66">
        <v>55898.32</v>
      </c>
      <c r="E66">
        <v>64240.88</v>
      </c>
      <c r="F66">
        <v>71739.039999999994</v>
      </c>
      <c r="G66">
        <v>77310.75</v>
      </c>
      <c r="H66">
        <v>73760.759999999995</v>
      </c>
      <c r="I66">
        <v>77196.02</v>
      </c>
      <c r="J66">
        <v>85830.96</v>
      </c>
      <c r="K66">
        <v>91753.97</v>
      </c>
    </row>
    <row r="67" spans="1:11" s="6" customFormat="1" x14ac:dyDescent="0.25">
      <c r="A67" s="6" t="s">
        <v>78</v>
      </c>
      <c r="B67">
        <v>1982.07</v>
      </c>
      <c r="C67">
        <v>1917.18</v>
      </c>
      <c r="D67">
        <v>2474.29</v>
      </c>
      <c r="E67">
        <v>2682.29</v>
      </c>
      <c r="F67">
        <v>4035.28</v>
      </c>
      <c r="G67">
        <v>2562.48</v>
      </c>
      <c r="H67">
        <v>2501.6999999999998</v>
      </c>
      <c r="I67">
        <v>2461.9</v>
      </c>
      <c r="J67">
        <v>2956.17</v>
      </c>
      <c r="K67">
        <v>4025.82</v>
      </c>
    </row>
    <row r="68" spans="1:11" x14ac:dyDescent="0.25">
      <c r="A68" s="6" t="s">
        <v>45</v>
      </c>
      <c r="B68">
        <v>8586.8700000000008</v>
      </c>
      <c r="C68">
        <v>9062.1</v>
      </c>
      <c r="D68">
        <v>8116.1</v>
      </c>
      <c r="E68">
        <v>7495.09</v>
      </c>
      <c r="F68">
        <v>7859.56</v>
      </c>
      <c r="G68">
        <v>8879.33</v>
      </c>
      <c r="H68">
        <v>10397.16</v>
      </c>
      <c r="I68">
        <v>10864.15</v>
      </c>
      <c r="J68">
        <v>11771.16</v>
      </c>
      <c r="K68">
        <v>14152.88</v>
      </c>
    </row>
    <row r="69" spans="1:11" x14ac:dyDescent="0.25">
      <c r="A69" s="4" t="s">
        <v>87</v>
      </c>
      <c r="B69">
        <v>7896.22</v>
      </c>
      <c r="C69">
        <v>6063.3</v>
      </c>
      <c r="D69">
        <v>2967.4</v>
      </c>
      <c r="E69">
        <v>2899.6</v>
      </c>
      <c r="F69">
        <v>4152.03</v>
      </c>
      <c r="G69">
        <v>7277.34</v>
      </c>
      <c r="H69">
        <v>4659.0200000000004</v>
      </c>
      <c r="I69">
        <v>4654.42</v>
      </c>
      <c r="J69">
        <v>4880.1899999999996</v>
      </c>
      <c r="K69">
        <v>7217.68</v>
      </c>
    </row>
    <row r="70" spans="1:11" x14ac:dyDescent="0.25">
      <c r="A70" s="4" t="s">
        <v>74</v>
      </c>
      <c r="B70">
        <v>8015519541</v>
      </c>
      <c r="C70">
        <v>8047206991</v>
      </c>
      <c r="D70">
        <v>12147383071</v>
      </c>
      <c r="E70">
        <v>12204294911</v>
      </c>
      <c r="F70">
        <v>12258631601</v>
      </c>
      <c r="G70">
        <v>12292231241</v>
      </c>
      <c r="H70">
        <v>12308844231</v>
      </c>
      <c r="I70">
        <v>12323255931</v>
      </c>
      <c r="J70">
        <v>12428017741</v>
      </c>
      <c r="K70">
        <v>12484700000</v>
      </c>
    </row>
    <row r="71" spans="1:11" x14ac:dyDescent="0.25">
      <c r="A71" s="4" t="s">
        <v>75</v>
      </c>
      <c r="D71">
        <v>4026657100</v>
      </c>
    </row>
    <row r="72" spans="1:11" x14ac:dyDescent="0.2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6"/>
    </row>
    <row r="75" spans="1:11" x14ac:dyDescent="0.25">
      <c r="A75" s="6"/>
    </row>
    <row r="76" spans="1:11" x14ac:dyDescent="0.25">
      <c r="A76" s="6"/>
    </row>
    <row r="77" spans="1:11" x14ac:dyDescent="0.25">
      <c r="A77" s="6"/>
    </row>
    <row r="78" spans="1:11" x14ac:dyDescent="0.25">
      <c r="A78" s="6"/>
    </row>
    <row r="79" spans="1:11" x14ac:dyDescent="0.25">
      <c r="A79" s="6"/>
    </row>
    <row r="80" spans="1:11" x14ac:dyDescent="0.25">
      <c r="A80" s="1" t="s">
        <v>41</v>
      </c>
    </row>
    <row r="81" spans="1:11" s="18" customFormat="1" x14ac:dyDescent="0.25">
      <c r="A81" s="17" t="s">
        <v>38</v>
      </c>
      <c r="B81" s="12">
        <v>42094</v>
      </c>
      <c r="C81" s="12">
        <v>42460</v>
      </c>
      <c r="D81" s="12">
        <v>42825</v>
      </c>
      <c r="E81" s="12">
        <v>43190</v>
      </c>
      <c r="F81" s="12">
        <v>43555</v>
      </c>
      <c r="G81" s="12">
        <v>43921</v>
      </c>
      <c r="H81" s="12">
        <v>44286</v>
      </c>
      <c r="I81" s="12">
        <v>44651</v>
      </c>
      <c r="J81" s="12">
        <v>45016</v>
      </c>
      <c r="K81" s="12">
        <v>45382</v>
      </c>
    </row>
    <row r="82" spans="1:11" s="1" customFormat="1" x14ac:dyDescent="0.25">
      <c r="A82" s="6" t="s">
        <v>32</v>
      </c>
      <c r="B82">
        <v>9843.2000000000007</v>
      </c>
      <c r="C82">
        <v>9799.0400000000009</v>
      </c>
      <c r="D82">
        <v>10627.31</v>
      </c>
      <c r="E82">
        <v>13169.4</v>
      </c>
      <c r="F82">
        <v>12583.41</v>
      </c>
      <c r="G82">
        <v>14689.66</v>
      </c>
      <c r="H82">
        <v>12526.97</v>
      </c>
      <c r="I82">
        <v>15775.51</v>
      </c>
      <c r="J82">
        <v>18877.55</v>
      </c>
      <c r="K82">
        <v>17178.86</v>
      </c>
    </row>
    <row r="83" spans="1:11" s="6" customFormat="1" x14ac:dyDescent="0.25">
      <c r="A83" s="6" t="s">
        <v>33</v>
      </c>
      <c r="B83">
        <v>-5275.43</v>
      </c>
      <c r="C83">
        <v>-3920.73</v>
      </c>
      <c r="D83">
        <v>-3250.93</v>
      </c>
      <c r="E83">
        <v>-7113.89</v>
      </c>
      <c r="F83">
        <v>-5545.68</v>
      </c>
      <c r="G83">
        <v>-6174.02</v>
      </c>
      <c r="H83">
        <v>5739.98</v>
      </c>
      <c r="I83">
        <v>-2238.4899999999998</v>
      </c>
      <c r="J83">
        <v>-5732.29</v>
      </c>
      <c r="K83">
        <v>1562.77</v>
      </c>
    </row>
    <row r="84" spans="1:11" s="6" customFormat="1" x14ac:dyDescent="0.25">
      <c r="A84" s="6" t="s">
        <v>34</v>
      </c>
      <c r="B84">
        <v>-4661.03</v>
      </c>
      <c r="C84">
        <v>-5612.52</v>
      </c>
      <c r="D84">
        <v>-7301.03</v>
      </c>
      <c r="E84">
        <v>-6221.13</v>
      </c>
      <c r="F84">
        <v>-6868.64</v>
      </c>
      <c r="G84">
        <v>-8181.48</v>
      </c>
      <c r="H84">
        <v>-18633.830000000002</v>
      </c>
      <c r="I84">
        <v>-13580.5</v>
      </c>
      <c r="J84">
        <v>-13006.03</v>
      </c>
      <c r="K84">
        <v>-18550.96</v>
      </c>
    </row>
    <row r="85" spans="1:11" s="1" customFormat="1" x14ac:dyDescent="0.25">
      <c r="A85" s="6" t="s">
        <v>35</v>
      </c>
      <c r="B85">
        <v>-93.26</v>
      </c>
      <c r="C85">
        <v>265.79000000000002</v>
      </c>
      <c r="D85">
        <v>75.349999999999994</v>
      </c>
      <c r="E85">
        <v>-165.62</v>
      </c>
      <c r="F85">
        <v>169.09</v>
      </c>
      <c r="G85">
        <v>334.16</v>
      </c>
      <c r="H85">
        <v>-366.88</v>
      </c>
      <c r="I85">
        <v>-43.48</v>
      </c>
      <c r="J85">
        <v>139.22999999999999</v>
      </c>
      <c r="K85">
        <v>190.67</v>
      </c>
    </row>
    <row r="86" spans="1:11" x14ac:dyDescent="0.25">
      <c r="A86" s="6"/>
    </row>
    <row r="87" spans="1:11" x14ac:dyDescent="0.25">
      <c r="A87" s="6"/>
    </row>
    <row r="88" spans="1:11" x14ac:dyDescent="0.25">
      <c r="A88" s="6"/>
    </row>
    <row r="89" spans="1:11" x14ac:dyDescent="0.25">
      <c r="A89" s="6"/>
    </row>
    <row r="90" spans="1:11" s="1" customFormat="1" x14ac:dyDescent="0.25">
      <c r="A90" s="1" t="s">
        <v>77</v>
      </c>
      <c r="B90">
        <v>203.63</v>
      </c>
      <c r="C90">
        <v>205.13</v>
      </c>
      <c r="D90">
        <v>262.75</v>
      </c>
      <c r="E90">
        <v>239.5</v>
      </c>
      <c r="F90">
        <v>278.64</v>
      </c>
      <c r="G90">
        <v>160.94999999999999</v>
      </c>
      <c r="H90">
        <v>204.82</v>
      </c>
      <c r="I90">
        <v>234.96</v>
      </c>
      <c r="J90">
        <v>359.49</v>
      </c>
      <c r="K90">
        <v>401.53</v>
      </c>
    </row>
    <row r="92" spans="1:11" s="1" customFormat="1" x14ac:dyDescent="0.25">
      <c r="A92" s="1" t="s">
        <v>76</v>
      </c>
    </row>
    <row r="93" spans="1:11" x14ac:dyDescent="0.25">
      <c r="A93" s="4" t="s">
        <v>89</v>
      </c>
      <c r="B93" s="24">
        <v>1202.33</v>
      </c>
      <c r="C93" s="24">
        <v>1207.08</v>
      </c>
      <c r="D93" s="24">
        <v>1214.74</v>
      </c>
      <c r="E93" s="24">
        <v>1220.43</v>
      </c>
      <c r="F93" s="24">
        <v>1225.8599999999999</v>
      </c>
      <c r="G93" s="24">
        <v>1229.22</v>
      </c>
      <c r="H93" s="24">
        <v>1230.8800000000001</v>
      </c>
      <c r="I93" s="24">
        <v>1232.33</v>
      </c>
      <c r="J93" s="24">
        <v>1242.8</v>
      </c>
      <c r="K93" s="24">
        <v>1248.47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7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245"/>
  <sheetViews>
    <sheetView showGridLines="0" topLeftCell="A2" workbookViewId="0">
      <selection activeCell="O5" sqref="O5"/>
    </sheetView>
  </sheetViews>
  <sheetFormatPr defaultRowHeight="15" x14ac:dyDescent="0.25"/>
  <cols>
    <col min="1" max="1" width="1.85546875" customWidth="1"/>
    <col min="4" max="4" width="11.7109375" bestFit="1" customWidth="1"/>
    <col min="5" max="5" width="12.140625" bestFit="1" customWidth="1"/>
    <col min="6" max="6" width="11.7109375" bestFit="1" customWidth="1"/>
    <col min="9" max="9" width="10.42578125" bestFit="1" customWidth="1"/>
    <col min="10" max="10" width="12.140625" customWidth="1"/>
    <col min="11" max="13" width="7" customWidth="1"/>
    <col min="14" max="14" width="8.28515625" customWidth="1"/>
    <col min="15" max="15" width="9.5703125" bestFit="1" customWidth="1"/>
    <col min="17" max="17" width="53.85546875" bestFit="1" customWidth="1"/>
    <col min="18" max="18" width="19.28515625" bestFit="1" customWidth="1"/>
    <col min="19" max="19" width="16.28515625" customWidth="1"/>
    <col min="20" max="20" width="13.140625" bestFit="1" customWidth="1"/>
  </cols>
  <sheetData>
    <row r="1" spans="1:20" x14ac:dyDescent="0.25">
      <c r="B1" s="38"/>
    </row>
    <row r="2" spans="1:20" x14ac:dyDescent="0.25">
      <c r="A2" s="34"/>
      <c r="B2" s="73" t="s">
        <v>114</v>
      </c>
      <c r="C2" s="73" t="s">
        <v>1435</v>
      </c>
      <c r="D2" s="73" t="s">
        <v>1436</v>
      </c>
    </row>
    <row r="3" spans="1:20" x14ac:dyDescent="0.25">
      <c r="A3" s="34"/>
      <c r="B3" t="s">
        <v>1437</v>
      </c>
      <c r="C3">
        <v>421.55</v>
      </c>
      <c r="D3" s="94">
        <v>8936353</v>
      </c>
      <c r="S3">
        <v>10000000</v>
      </c>
    </row>
    <row r="4" spans="1:20" x14ac:dyDescent="0.25">
      <c r="A4" s="34"/>
      <c r="B4" t="s">
        <v>1438</v>
      </c>
      <c r="C4">
        <v>416.3</v>
      </c>
      <c r="D4" s="94">
        <v>21785572</v>
      </c>
      <c r="E4" s="73"/>
      <c r="F4" s="74"/>
      <c r="I4" s="34"/>
    </row>
    <row r="5" spans="1:20" x14ac:dyDescent="0.25">
      <c r="A5" s="34"/>
      <c r="B5" t="s">
        <v>1439</v>
      </c>
      <c r="C5">
        <v>412.55</v>
      </c>
      <c r="D5" s="94">
        <v>18600796</v>
      </c>
      <c r="E5" s="73"/>
      <c r="F5" s="74"/>
      <c r="I5" s="34"/>
    </row>
    <row r="6" spans="1:20" x14ac:dyDescent="0.25">
      <c r="A6" s="34"/>
      <c r="B6" t="s">
        <v>1440</v>
      </c>
      <c r="C6">
        <v>406.05</v>
      </c>
      <c r="D6" s="94">
        <v>26762866</v>
      </c>
      <c r="E6" s="73"/>
      <c r="F6" s="74"/>
      <c r="I6" s="34"/>
    </row>
    <row r="7" spans="1:20" x14ac:dyDescent="0.25">
      <c r="A7" s="34"/>
      <c r="B7" t="s">
        <v>1441</v>
      </c>
      <c r="C7">
        <v>409.7</v>
      </c>
      <c r="D7" s="94">
        <v>18627592</v>
      </c>
      <c r="E7" s="73"/>
      <c r="F7" s="74"/>
      <c r="I7" s="34"/>
      <c r="L7" s="40"/>
      <c r="M7" s="88">
        <v>3182762693</v>
      </c>
      <c r="N7" s="90">
        <v>0.25440000000000002</v>
      </c>
      <c r="O7" s="92" t="s">
        <v>135</v>
      </c>
    </row>
    <row r="8" spans="1:20" ht="15.75" thickBot="1" x14ac:dyDescent="0.3">
      <c r="A8" s="34"/>
      <c r="B8" t="s">
        <v>1442</v>
      </c>
      <c r="C8">
        <v>409.4</v>
      </c>
      <c r="D8" s="94">
        <v>7059566</v>
      </c>
      <c r="E8" s="73"/>
      <c r="F8" s="74"/>
      <c r="I8" s="34"/>
      <c r="L8" s="41" t="s">
        <v>134</v>
      </c>
      <c r="M8" s="89"/>
      <c r="N8" s="91"/>
      <c r="O8" s="93"/>
      <c r="Q8" s="2" t="s">
        <v>154</v>
      </c>
      <c r="R8" s="45" t="s">
        <v>157</v>
      </c>
      <c r="S8" s="2" t="s">
        <v>156</v>
      </c>
      <c r="T8" s="2" t="s">
        <v>158</v>
      </c>
    </row>
    <row r="9" spans="1:20" ht="15.75" thickBot="1" x14ac:dyDescent="0.3">
      <c r="A9" s="34"/>
      <c r="B9" t="s">
        <v>1443</v>
      </c>
      <c r="C9">
        <v>409.05</v>
      </c>
      <c r="D9" s="94">
        <v>8001323</v>
      </c>
      <c r="E9" s="73"/>
      <c r="F9" s="74"/>
      <c r="I9" s="34"/>
      <c r="L9" s="41" t="s">
        <v>136</v>
      </c>
      <c r="M9" s="42">
        <v>1896861285</v>
      </c>
      <c r="N9" s="43">
        <v>0.15160000000000001</v>
      </c>
      <c r="O9" s="44" t="s">
        <v>137</v>
      </c>
      <c r="Q9" t="s">
        <v>134</v>
      </c>
      <c r="R9" s="20">
        <v>318.27626930000002</v>
      </c>
      <c r="S9" s="46">
        <v>0.25440000000000002</v>
      </c>
      <c r="T9">
        <f>R9*409.5</f>
        <v>130334.13227835001</v>
      </c>
    </row>
    <row r="10" spans="1:20" ht="15.75" thickBot="1" x14ac:dyDescent="0.3">
      <c r="A10" s="34"/>
      <c r="B10" t="s">
        <v>1444</v>
      </c>
      <c r="C10">
        <v>406.65</v>
      </c>
      <c r="D10" s="94">
        <v>15206240</v>
      </c>
      <c r="E10" s="73"/>
      <c r="F10" s="74"/>
      <c r="I10" s="34"/>
      <c r="L10" s="41" t="s">
        <v>138</v>
      </c>
      <c r="M10" s="42">
        <v>974531427</v>
      </c>
      <c r="N10" s="43">
        <v>7.7890000000000001E-2</v>
      </c>
      <c r="O10" s="44" t="s">
        <v>139</v>
      </c>
      <c r="Q10" t="s">
        <v>136</v>
      </c>
      <c r="R10" s="20">
        <v>189.6861285</v>
      </c>
      <c r="S10" s="46">
        <v>0.15160000000000001</v>
      </c>
      <c r="T10">
        <f t="shared" ref="T10:T18" si="0">R10*409.5</f>
        <v>77676.469620749995</v>
      </c>
    </row>
    <row r="11" spans="1:20" ht="15.75" thickBot="1" x14ac:dyDescent="0.3">
      <c r="A11" s="34"/>
      <c r="B11" t="s">
        <v>202</v>
      </c>
      <c r="C11">
        <v>409.75</v>
      </c>
      <c r="D11" s="94">
        <v>12981873</v>
      </c>
      <c r="E11" s="73"/>
      <c r="F11" s="74"/>
      <c r="I11" s="34"/>
      <c r="L11" s="41" t="s">
        <v>140</v>
      </c>
      <c r="M11" s="42">
        <v>406654150</v>
      </c>
      <c r="N11" s="43">
        <v>3.2500000000000001E-2</v>
      </c>
      <c r="O11" s="44" t="s">
        <v>141</v>
      </c>
      <c r="Q11" t="s">
        <v>138</v>
      </c>
      <c r="R11" s="20">
        <v>97.453142700000001</v>
      </c>
      <c r="S11" s="46">
        <v>7.7890000000000001E-2</v>
      </c>
      <c r="T11">
        <f t="shared" si="0"/>
        <v>39907.061935650003</v>
      </c>
    </row>
    <row r="12" spans="1:20" ht="15.75" thickBot="1" x14ac:dyDescent="0.3">
      <c r="A12" s="34"/>
      <c r="B12" t="s">
        <v>203</v>
      </c>
      <c r="C12">
        <v>409.45</v>
      </c>
      <c r="D12" s="94">
        <v>18642328</v>
      </c>
      <c r="E12" s="73"/>
      <c r="F12" s="74"/>
      <c r="I12" s="34"/>
      <c r="L12" s="41" t="s">
        <v>142</v>
      </c>
      <c r="M12" s="42">
        <v>216995508</v>
      </c>
      <c r="N12" s="43">
        <v>1.7340000000000001E-2</v>
      </c>
      <c r="O12" s="44" t="s">
        <v>143</v>
      </c>
      <c r="Q12" t="s">
        <v>140</v>
      </c>
      <c r="R12" s="20">
        <v>40.665415000000003</v>
      </c>
      <c r="S12" s="46">
        <v>3.2500000000000001E-2</v>
      </c>
      <c r="T12">
        <f t="shared" si="0"/>
        <v>16652.487442500002</v>
      </c>
    </row>
    <row r="13" spans="1:20" ht="15.75" thickBot="1" x14ac:dyDescent="0.3">
      <c r="A13" s="34"/>
      <c r="B13" t="s">
        <v>204</v>
      </c>
      <c r="C13">
        <v>407.35</v>
      </c>
      <c r="D13" s="94">
        <v>13891436</v>
      </c>
      <c r="E13" s="73"/>
      <c r="F13" s="74"/>
      <c r="I13" s="34"/>
      <c r="L13" s="41" t="s">
        <v>144</v>
      </c>
      <c r="M13" s="42">
        <v>184447450</v>
      </c>
      <c r="N13" s="43">
        <v>1.474E-2</v>
      </c>
      <c r="O13" s="44" t="s">
        <v>145</v>
      </c>
      <c r="Q13" t="s">
        <v>142</v>
      </c>
      <c r="R13" s="20">
        <v>21.699550800000001</v>
      </c>
      <c r="S13" s="46">
        <v>1.7340000000000001E-2</v>
      </c>
      <c r="T13">
        <f t="shared" si="0"/>
        <v>8885.9660526000007</v>
      </c>
    </row>
    <row r="14" spans="1:20" ht="15.75" thickBot="1" x14ac:dyDescent="0.3">
      <c r="A14" s="34"/>
      <c r="B14" t="s">
        <v>205</v>
      </c>
      <c r="C14">
        <v>409.8</v>
      </c>
      <c r="D14" s="94">
        <v>20338110</v>
      </c>
      <c r="E14" s="73"/>
      <c r="F14" s="74"/>
      <c r="I14" s="34"/>
      <c r="L14" s="41" t="s">
        <v>146</v>
      </c>
      <c r="M14" s="42">
        <v>180057232</v>
      </c>
      <c r="N14" s="43">
        <v>1.439E-2</v>
      </c>
      <c r="O14" s="44" t="s">
        <v>147</v>
      </c>
      <c r="Q14" t="s">
        <v>144</v>
      </c>
      <c r="R14" s="20">
        <v>18.444745000000001</v>
      </c>
      <c r="S14" s="46">
        <v>1.474E-2</v>
      </c>
      <c r="T14">
        <f t="shared" si="0"/>
        <v>7553.1230775000004</v>
      </c>
    </row>
    <row r="15" spans="1:20" ht="15.75" thickBot="1" x14ac:dyDescent="0.3">
      <c r="A15" s="34"/>
      <c r="B15" t="s">
        <v>206</v>
      </c>
      <c r="C15">
        <v>410.9</v>
      </c>
      <c r="D15" s="94">
        <v>14362572</v>
      </c>
      <c r="E15" s="73"/>
      <c r="F15" s="74"/>
      <c r="I15" s="34"/>
      <c r="L15" s="41" t="s">
        <v>148</v>
      </c>
      <c r="M15" s="42">
        <v>146878894</v>
      </c>
      <c r="N15" s="43">
        <v>1.174E-2</v>
      </c>
      <c r="O15" s="44" t="s">
        <v>149</v>
      </c>
      <c r="Q15" t="s">
        <v>146</v>
      </c>
      <c r="R15" s="20">
        <v>18.005723199999998</v>
      </c>
      <c r="S15" s="46">
        <v>1.439E-2</v>
      </c>
      <c r="T15">
        <f t="shared" si="0"/>
        <v>7373.3436503999992</v>
      </c>
    </row>
    <row r="16" spans="1:20" ht="15.75" thickBot="1" x14ac:dyDescent="0.3">
      <c r="A16" s="34"/>
      <c r="B16" t="s">
        <v>207</v>
      </c>
      <c r="C16">
        <v>405.55</v>
      </c>
      <c r="D16" s="94">
        <v>25302035</v>
      </c>
      <c r="E16" s="73"/>
      <c r="F16" s="74"/>
      <c r="I16" s="34"/>
      <c r="L16" s="41" t="s">
        <v>150</v>
      </c>
      <c r="M16" s="42">
        <v>141084481</v>
      </c>
      <c r="N16" s="43">
        <v>1.128E-2</v>
      </c>
      <c r="O16" s="44" t="s">
        <v>151</v>
      </c>
      <c r="Q16" t="s">
        <v>148</v>
      </c>
      <c r="R16" s="20">
        <v>14.6878894</v>
      </c>
      <c r="S16" s="46">
        <v>1.174E-2</v>
      </c>
      <c r="T16">
        <f t="shared" si="0"/>
        <v>6014.6907093</v>
      </c>
    </row>
    <row r="17" spans="1:20" ht="15.75" thickBot="1" x14ac:dyDescent="0.3">
      <c r="A17" s="34"/>
      <c r="B17" t="s">
        <v>208</v>
      </c>
      <c r="C17">
        <v>403.95</v>
      </c>
      <c r="D17" s="94">
        <v>16994037</v>
      </c>
      <c r="E17" s="73"/>
      <c r="F17" s="74"/>
      <c r="I17" s="34"/>
      <c r="L17" s="41" t="s">
        <v>152</v>
      </c>
      <c r="M17" s="42">
        <v>106368320</v>
      </c>
      <c r="N17" s="43">
        <v>8.5019999999999991E-3</v>
      </c>
      <c r="O17" s="44" t="s">
        <v>153</v>
      </c>
      <c r="Q17" t="s">
        <v>150</v>
      </c>
      <c r="R17" s="20">
        <v>14.1084481</v>
      </c>
      <c r="S17" s="46">
        <v>1.128E-2</v>
      </c>
      <c r="T17">
        <f t="shared" si="0"/>
        <v>5777.4094969500002</v>
      </c>
    </row>
    <row r="18" spans="1:20" x14ac:dyDescent="0.25">
      <c r="A18" s="34"/>
      <c r="B18" t="s">
        <v>209</v>
      </c>
      <c r="C18">
        <v>403.05</v>
      </c>
      <c r="D18" s="94">
        <v>12830387</v>
      </c>
      <c r="E18" s="73"/>
      <c r="F18" s="74"/>
      <c r="I18" s="34"/>
      <c r="Q18" t="s">
        <v>152</v>
      </c>
      <c r="R18" s="20">
        <v>10.636832</v>
      </c>
      <c r="S18" s="46">
        <v>8.5019999999999991E-3</v>
      </c>
      <c r="T18">
        <f t="shared" si="0"/>
        <v>4355.7827040000002</v>
      </c>
    </row>
    <row r="19" spans="1:20" x14ac:dyDescent="0.25">
      <c r="A19" s="34"/>
      <c r="B19" t="s">
        <v>1445</v>
      </c>
      <c r="C19">
        <v>407.95</v>
      </c>
      <c r="D19" t="s">
        <v>1446</v>
      </c>
      <c r="E19" s="73"/>
      <c r="F19" s="74"/>
      <c r="I19" s="34"/>
    </row>
    <row r="20" spans="1:20" x14ac:dyDescent="0.25">
      <c r="A20" s="34"/>
      <c r="B20" t="s">
        <v>210</v>
      </c>
      <c r="C20">
        <v>407.95</v>
      </c>
      <c r="D20" s="94">
        <v>5257805</v>
      </c>
      <c r="E20" s="73"/>
      <c r="F20" s="74"/>
      <c r="I20" s="34"/>
    </row>
    <row r="21" spans="1:20" x14ac:dyDescent="0.25">
      <c r="A21" s="34"/>
      <c r="B21" t="s">
        <v>211</v>
      </c>
      <c r="C21">
        <v>412.05</v>
      </c>
      <c r="D21" s="94">
        <v>8196569</v>
      </c>
      <c r="E21" s="73"/>
      <c r="F21" s="74"/>
      <c r="I21" s="34"/>
      <c r="R21" t="s">
        <v>160</v>
      </c>
      <c r="S21" s="47">
        <f>44.91%</f>
        <v>0.44909999999999994</v>
      </c>
    </row>
    <row r="22" spans="1:20" x14ac:dyDescent="0.25">
      <c r="A22" s="34"/>
      <c r="B22" t="s">
        <v>212</v>
      </c>
      <c r="C22">
        <v>412.4</v>
      </c>
      <c r="D22" s="94">
        <v>13844306</v>
      </c>
      <c r="E22" s="73"/>
      <c r="F22" s="74"/>
      <c r="I22" s="34"/>
      <c r="R22" t="s">
        <v>161</v>
      </c>
      <c r="S22" s="47">
        <f>40.17%</f>
        <v>0.4017</v>
      </c>
    </row>
    <row r="23" spans="1:20" ht="15" customHeight="1" x14ac:dyDescent="0.25">
      <c r="A23" s="34"/>
      <c r="B23" t="s">
        <v>213</v>
      </c>
      <c r="C23">
        <v>406.2</v>
      </c>
      <c r="D23" s="94">
        <v>11099475</v>
      </c>
      <c r="E23" s="73"/>
      <c r="F23" s="74"/>
      <c r="I23" s="34"/>
      <c r="R23" s="48" t="s">
        <v>162</v>
      </c>
      <c r="S23" s="47">
        <f>14.88%+0.04%</f>
        <v>0.14920000000000003</v>
      </c>
    </row>
    <row r="24" spans="1:20" x14ac:dyDescent="0.25">
      <c r="A24" s="34"/>
      <c r="B24" t="s">
        <v>214</v>
      </c>
      <c r="C24">
        <v>405</v>
      </c>
      <c r="D24" s="94">
        <v>9785018</v>
      </c>
      <c r="E24" s="73"/>
      <c r="F24" s="74"/>
      <c r="I24" s="34"/>
    </row>
    <row r="25" spans="1:20" x14ac:dyDescent="0.25">
      <c r="A25" s="34"/>
      <c r="B25" t="s">
        <v>215</v>
      </c>
      <c r="C25">
        <v>403.9</v>
      </c>
      <c r="D25" s="94">
        <v>11180761</v>
      </c>
      <c r="E25" s="73"/>
      <c r="F25" s="74"/>
      <c r="I25" s="34"/>
    </row>
    <row r="26" spans="1:20" x14ac:dyDescent="0.25">
      <c r="A26" s="34"/>
      <c r="B26" t="s">
        <v>216</v>
      </c>
      <c r="C26">
        <v>405.7</v>
      </c>
      <c r="D26" s="94">
        <v>17869996</v>
      </c>
      <c r="E26" s="73"/>
      <c r="F26" s="74"/>
      <c r="I26" s="34"/>
      <c r="R26" t="s">
        <v>170</v>
      </c>
    </row>
    <row r="27" spans="1:20" x14ac:dyDescent="0.25">
      <c r="A27" s="34"/>
      <c r="B27" t="s">
        <v>217</v>
      </c>
      <c r="C27">
        <v>405.05</v>
      </c>
      <c r="D27" s="94">
        <v>15665018</v>
      </c>
      <c r="E27" s="73"/>
      <c r="F27" s="74"/>
      <c r="I27" s="34"/>
      <c r="R27" t="s">
        <v>171</v>
      </c>
    </row>
    <row r="28" spans="1:20" x14ac:dyDescent="0.25">
      <c r="A28" s="34"/>
      <c r="B28" t="s">
        <v>218</v>
      </c>
      <c r="C28">
        <v>394.85</v>
      </c>
      <c r="D28" s="94">
        <v>13404774</v>
      </c>
      <c r="E28" s="73"/>
      <c r="F28" s="74"/>
      <c r="I28" s="34"/>
      <c r="R28" t="s">
        <v>172</v>
      </c>
    </row>
    <row r="29" spans="1:20" x14ac:dyDescent="0.25">
      <c r="A29" s="34"/>
      <c r="B29" t="s">
        <v>219</v>
      </c>
      <c r="C29">
        <v>397.45</v>
      </c>
      <c r="D29" s="94">
        <v>10702826</v>
      </c>
      <c r="E29" s="73"/>
      <c r="F29" s="74"/>
      <c r="I29" s="34"/>
      <c r="R29" t="s">
        <v>173</v>
      </c>
    </row>
    <row r="30" spans="1:20" x14ac:dyDescent="0.25">
      <c r="A30" s="34"/>
      <c r="B30" t="s">
        <v>220</v>
      </c>
      <c r="C30">
        <v>395</v>
      </c>
      <c r="D30" s="94">
        <v>31954776</v>
      </c>
      <c r="E30" s="73"/>
      <c r="F30" s="74"/>
      <c r="I30" s="34"/>
    </row>
    <row r="31" spans="1:20" x14ac:dyDescent="0.25">
      <c r="A31" s="34"/>
      <c r="B31" t="s">
        <v>221</v>
      </c>
      <c r="C31">
        <v>401.6</v>
      </c>
      <c r="D31" s="94">
        <v>19051003</v>
      </c>
      <c r="E31" s="73"/>
      <c r="F31" s="74"/>
      <c r="I31" s="34"/>
    </row>
    <row r="32" spans="1:20" x14ac:dyDescent="0.25">
      <c r="A32" s="34"/>
      <c r="B32" t="s">
        <v>222</v>
      </c>
      <c r="C32">
        <v>404.85</v>
      </c>
      <c r="D32" s="94">
        <v>15760891</v>
      </c>
      <c r="E32" s="73"/>
      <c r="F32" s="74"/>
      <c r="I32" s="34"/>
    </row>
    <row r="33" spans="1:9" x14ac:dyDescent="0.25">
      <c r="A33" s="34"/>
      <c r="B33" t="s">
        <v>223</v>
      </c>
      <c r="C33">
        <v>401.9</v>
      </c>
      <c r="D33" s="94">
        <v>7037625</v>
      </c>
      <c r="E33" s="73"/>
      <c r="F33" s="74"/>
      <c r="I33" s="34"/>
    </row>
    <row r="34" spans="1:9" x14ac:dyDescent="0.25">
      <c r="A34" s="34"/>
      <c r="B34" t="s">
        <v>224</v>
      </c>
      <c r="C34">
        <v>400.9</v>
      </c>
      <c r="D34" s="94">
        <v>8240986</v>
      </c>
      <c r="E34" s="73"/>
      <c r="F34" s="74"/>
      <c r="I34" s="34"/>
    </row>
    <row r="35" spans="1:9" x14ac:dyDescent="0.25">
      <c r="A35" s="34"/>
      <c r="B35" t="s">
        <v>225</v>
      </c>
      <c r="C35">
        <v>402.05</v>
      </c>
      <c r="D35" s="94">
        <v>15355585</v>
      </c>
      <c r="E35" s="73"/>
      <c r="F35" s="74"/>
      <c r="I35" s="34"/>
    </row>
    <row r="36" spans="1:9" x14ac:dyDescent="0.25">
      <c r="A36" s="34"/>
      <c r="B36" t="s">
        <v>226</v>
      </c>
      <c r="C36">
        <v>406.4</v>
      </c>
      <c r="D36" s="94">
        <v>7079032</v>
      </c>
      <c r="E36" s="73"/>
      <c r="F36" s="74"/>
      <c r="I36" s="34"/>
    </row>
    <row r="37" spans="1:9" x14ac:dyDescent="0.25">
      <c r="A37" s="34"/>
      <c r="B37" t="s">
        <v>227</v>
      </c>
      <c r="C37">
        <v>405.25</v>
      </c>
      <c r="D37" s="94">
        <v>12998403</v>
      </c>
      <c r="E37" s="73"/>
      <c r="F37" s="74"/>
      <c r="I37" s="34"/>
    </row>
    <row r="38" spans="1:9" x14ac:dyDescent="0.25">
      <c r="A38" s="34"/>
      <c r="B38" t="s">
        <v>228</v>
      </c>
      <c r="C38">
        <v>408.6</v>
      </c>
      <c r="D38" s="94">
        <v>11975265</v>
      </c>
      <c r="E38" s="73"/>
      <c r="F38" s="74"/>
      <c r="I38" s="34"/>
    </row>
    <row r="39" spans="1:9" x14ac:dyDescent="0.25">
      <c r="A39" s="34"/>
      <c r="B39" t="s">
        <v>229</v>
      </c>
      <c r="C39">
        <v>410.25</v>
      </c>
      <c r="D39" s="94">
        <v>14124236</v>
      </c>
      <c r="E39" s="73"/>
      <c r="F39" s="74"/>
      <c r="I39" s="34"/>
    </row>
    <row r="40" spans="1:9" x14ac:dyDescent="0.25">
      <c r="A40" s="34"/>
      <c r="B40" t="s">
        <v>230</v>
      </c>
      <c r="C40">
        <v>409.7</v>
      </c>
      <c r="D40" s="94">
        <v>12989029</v>
      </c>
      <c r="E40" s="73"/>
      <c r="F40" s="74"/>
      <c r="I40" s="34"/>
    </row>
    <row r="41" spans="1:9" x14ac:dyDescent="0.25">
      <c r="A41" s="34"/>
      <c r="B41" t="s">
        <v>231</v>
      </c>
      <c r="C41">
        <v>409.9</v>
      </c>
      <c r="D41" s="94">
        <v>13884574</v>
      </c>
      <c r="E41" s="73"/>
      <c r="F41" s="74"/>
      <c r="I41" s="34"/>
    </row>
    <row r="42" spans="1:9" x14ac:dyDescent="0.25">
      <c r="A42" s="34"/>
      <c r="B42" t="s">
        <v>232</v>
      </c>
      <c r="C42">
        <v>411.8</v>
      </c>
      <c r="D42" s="94">
        <v>14288751</v>
      </c>
      <c r="E42" s="73"/>
      <c r="F42" s="74"/>
      <c r="I42" s="34"/>
    </row>
    <row r="43" spans="1:9" x14ac:dyDescent="0.25">
      <c r="A43" s="34"/>
      <c r="B43" t="s">
        <v>233</v>
      </c>
      <c r="C43">
        <v>420.56</v>
      </c>
      <c r="D43" s="94">
        <v>12227140</v>
      </c>
      <c r="E43" s="73"/>
      <c r="F43" s="74"/>
      <c r="I43" s="34"/>
    </row>
    <row r="44" spans="1:9" x14ac:dyDescent="0.25">
      <c r="A44" s="34"/>
      <c r="B44" t="s">
        <v>234</v>
      </c>
      <c r="C44">
        <v>424.15</v>
      </c>
      <c r="D44" s="94">
        <v>18875982</v>
      </c>
      <c r="E44" s="73"/>
      <c r="F44" s="74"/>
      <c r="I44" s="34"/>
    </row>
    <row r="45" spans="1:9" x14ac:dyDescent="0.25">
      <c r="A45" s="34"/>
      <c r="B45" t="s">
        <v>235</v>
      </c>
      <c r="C45">
        <v>434.25</v>
      </c>
      <c r="D45" s="94">
        <v>17469129</v>
      </c>
      <c r="E45" s="73"/>
      <c r="F45" s="74"/>
      <c r="I45" s="34"/>
    </row>
    <row r="46" spans="1:9" x14ac:dyDescent="0.25">
      <c r="A46" s="34"/>
      <c r="B46" t="s">
        <v>236</v>
      </c>
      <c r="C46">
        <v>441.19</v>
      </c>
      <c r="D46" s="94">
        <v>12836283</v>
      </c>
      <c r="E46" s="73"/>
      <c r="F46" s="74"/>
      <c r="I46" s="34"/>
    </row>
    <row r="47" spans="1:9" x14ac:dyDescent="0.25">
      <c r="A47" s="34"/>
      <c r="B47" t="s">
        <v>237</v>
      </c>
      <c r="C47">
        <v>448.08</v>
      </c>
      <c r="D47" s="94">
        <v>18923681</v>
      </c>
      <c r="E47" s="73"/>
      <c r="F47" s="74"/>
      <c r="I47" s="34"/>
    </row>
    <row r="48" spans="1:9" x14ac:dyDescent="0.25">
      <c r="A48" s="34"/>
      <c r="B48" t="s">
        <v>238</v>
      </c>
      <c r="C48">
        <v>447.29</v>
      </c>
      <c r="D48" s="94">
        <v>16991730</v>
      </c>
      <c r="E48" s="73"/>
      <c r="F48" s="74"/>
      <c r="I48" s="34"/>
    </row>
    <row r="49" spans="1:9" x14ac:dyDescent="0.25">
      <c r="A49" s="34"/>
      <c r="B49" t="s">
        <v>239</v>
      </c>
      <c r="C49">
        <v>455.36</v>
      </c>
      <c r="D49" s="94">
        <v>30393007</v>
      </c>
      <c r="E49" s="73"/>
      <c r="F49" s="74"/>
      <c r="I49" s="34"/>
    </row>
    <row r="50" spans="1:9" x14ac:dyDescent="0.25">
      <c r="A50" s="34"/>
      <c r="B50" t="s">
        <v>240</v>
      </c>
      <c r="C50">
        <v>440.55</v>
      </c>
      <c r="D50" s="94">
        <v>13546181</v>
      </c>
      <c r="E50" s="73"/>
      <c r="F50" s="74"/>
      <c r="I50" s="34"/>
    </row>
    <row r="51" spans="1:9" x14ac:dyDescent="0.25">
      <c r="A51" s="34"/>
      <c r="B51" t="s">
        <v>241</v>
      </c>
      <c r="C51">
        <v>429.42</v>
      </c>
      <c r="D51" s="94">
        <v>22496695</v>
      </c>
      <c r="E51" s="73"/>
      <c r="F51" s="74"/>
      <c r="I51" s="34"/>
    </row>
    <row r="52" spans="1:9" x14ac:dyDescent="0.25">
      <c r="A52" s="34"/>
      <c r="B52" t="s">
        <v>242</v>
      </c>
      <c r="C52">
        <v>426.62</v>
      </c>
      <c r="D52" s="94">
        <v>15158510</v>
      </c>
      <c r="E52" s="73"/>
      <c r="F52" s="74"/>
      <c r="I52" s="34"/>
    </row>
    <row r="53" spans="1:9" x14ac:dyDescent="0.25">
      <c r="A53" s="34"/>
      <c r="B53" t="s">
        <v>243</v>
      </c>
      <c r="C53">
        <v>428.68</v>
      </c>
      <c r="D53" s="94">
        <v>20813072</v>
      </c>
      <c r="E53" s="73"/>
      <c r="F53" s="74"/>
      <c r="I53" s="34"/>
    </row>
    <row r="54" spans="1:9" x14ac:dyDescent="0.25">
      <c r="A54" s="34"/>
      <c r="B54" t="s">
        <v>244</v>
      </c>
      <c r="C54">
        <v>433.26</v>
      </c>
      <c r="D54" s="94">
        <v>10480203</v>
      </c>
      <c r="E54" s="73"/>
      <c r="F54" s="74"/>
      <c r="I54" s="34"/>
    </row>
    <row r="55" spans="1:9" x14ac:dyDescent="0.25">
      <c r="A55" s="34"/>
      <c r="B55" t="s">
        <v>245</v>
      </c>
      <c r="C55">
        <v>434.74</v>
      </c>
      <c r="D55" s="94">
        <v>9665384</v>
      </c>
      <c r="E55" s="73"/>
      <c r="F55" s="74"/>
      <c r="I55" s="34"/>
    </row>
    <row r="56" spans="1:9" x14ac:dyDescent="0.25">
      <c r="A56" s="34"/>
      <c r="B56" t="s">
        <v>246</v>
      </c>
      <c r="C56">
        <v>433.36</v>
      </c>
      <c r="D56" s="94">
        <v>8888248</v>
      </c>
      <c r="E56" s="73"/>
      <c r="F56" s="74"/>
      <c r="I56" s="34"/>
    </row>
    <row r="57" spans="1:9" x14ac:dyDescent="0.25">
      <c r="A57" s="34"/>
      <c r="B57" t="s">
        <v>247</v>
      </c>
      <c r="C57">
        <v>430.21</v>
      </c>
      <c r="D57" s="94">
        <v>9619648</v>
      </c>
      <c r="E57" s="73"/>
      <c r="F57" s="74"/>
      <c r="I57" s="34"/>
    </row>
    <row r="58" spans="1:9" x14ac:dyDescent="0.25">
      <c r="A58" s="34"/>
      <c r="B58" t="s">
        <v>248</v>
      </c>
      <c r="C58">
        <v>430.75</v>
      </c>
      <c r="D58" s="94">
        <v>15686500</v>
      </c>
      <c r="E58" s="73"/>
      <c r="F58" s="74"/>
      <c r="I58" s="34"/>
    </row>
    <row r="59" spans="1:9" x14ac:dyDescent="0.25">
      <c r="A59" s="34"/>
      <c r="B59" t="s">
        <v>249</v>
      </c>
      <c r="C59">
        <v>430.9</v>
      </c>
      <c r="D59" s="94">
        <v>8742771</v>
      </c>
      <c r="E59" s="73"/>
      <c r="F59" s="74"/>
      <c r="I59" s="34"/>
    </row>
    <row r="60" spans="1:9" x14ac:dyDescent="0.25">
      <c r="A60" s="34"/>
      <c r="B60" t="s">
        <v>250</v>
      </c>
      <c r="C60">
        <v>433.36</v>
      </c>
      <c r="D60" s="94">
        <v>11270061</v>
      </c>
      <c r="E60" s="73"/>
      <c r="F60" s="74"/>
      <c r="I60" s="34"/>
    </row>
    <row r="61" spans="1:9" x14ac:dyDescent="0.25">
      <c r="A61" s="34"/>
      <c r="B61" t="s">
        <v>251</v>
      </c>
      <c r="C61">
        <v>426.12</v>
      </c>
      <c r="D61" s="94">
        <v>15774070</v>
      </c>
      <c r="E61" s="73"/>
      <c r="F61" s="74"/>
      <c r="I61" s="34"/>
    </row>
    <row r="62" spans="1:9" x14ac:dyDescent="0.25">
      <c r="A62" s="34"/>
      <c r="B62" t="s">
        <v>252</v>
      </c>
      <c r="C62">
        <v>430.55</v>
      </c>
      <c r="D62" s="94">
        <v>9786805</v>
      </c>
      <c r="E62" s="73"/>
      <c r="F62" s="74"/>
      <c r="I62" s="34"/>
    </row>
    <row r="63" spans="1:9" x14ac:dyDescent="0.25">
      <c r="A63" s="34"/>
      <c r="B63" t="s">
        <v>253</v>
      </c>
      <c r="C63">
        <v>429.82</v>
      </c>
      <c r="D63" s="94">
        <v>18048459</v>
      </c>
      <c r="E63" s="73"/>
      <c r="F63" s="74"/>
      <c r="I63" s="34"/>
    </row>
    <row r="64" spans="1:9" x14ac:dyDescent="0.25">
      <c r="A64" s="34"/>
      <c r="B64" t="s">
        <v>254</v>
      </c>
      <c r="C64">
        <v>432.23</v>
      </c>
      <c r="D64" s="94">
        <v>17799607</v>
      </c>
      <c r="E64" s="73"/>
      <c r="F64" s="74"/>
      <c r="I64" s="34"/>
    </row>
    <row r="65" spans="1:9" x14ac:dyDescent="0.25">
      <c r="A65" s="34"/>
      <c r="B65" t="s">
        <v>255</v>
      </c>
      <c r="C65">
        <v>437.99</v>
      </c>
      <c r="D65" s="94">
        <v>9145729</v>
      </c>
      <c r="E65" s="73"/>
      <c r="F65" s="74"/>
      <c r="I65" s="34"/>
    </row>
    <row r="66" spans="1:9" x14ac:dyDescent="0.25">
      <c r="A66" s="34"/>
      <c r="B66" t="s">
        <v>256</v>
      </c>
      <c r="C66">
        <v>443.11</v>
      </c>
      <c r="D66" s="94">
        <v>19732649</v>
      </c>
      <c r="E66" s="73"/>
      <c r="F66" s="74"/>
      <c r="I66" s="34"/>
    </row>
    <row r="67" spans="1:9" x14ac:dyDescent="0.25">
      <c r="A67" s="34"/>
      <c r="B67" t="s">
        <v>257</v>
      </c>
      <c r="C67">
        <v>442.56</v>
      </c>
      <c r="D67" s="94">
        <v>13482926</v>
      </c>
      <c r="E67" s="73"/>
      <c r="F67" s="74"/>
      <c r="I67" s="34"/>
    </row>
    <row r="68" spans="1:9" x14ac:dyDescent="0.25">
      <c r="A68" s="34"/>
      <c r="B68" t="s">
        <v>258</v>
      </c>
      <c r="C68">
        <v>434.25</v>
      </c>
      <c r="D68" s="94">
        <v>14294780</v>
      </c>
      <c r="E68" s="73"/>
      <c r="F68" s="74"/>
      <c r="I68" s="34"/>
    </row>
    <row r="69" spans="1:9" x14ac:dyDescent="0.25">
      <c r="A69" s="34"/>
      <c r="B69" t="s">
        <v>259</v>
      </c>
      <c r="C69">
        <v>435.77</v>
      </c>
      <c r="D69" s="94">
        <v>22009958</v>
      </c>
      <c r="E69" s="73"/>
      <c r="F69" s="74"/>
      <c r="I69" s="34"/>
    </row>
    <row r="70" spans="1:9" x14ac:dyDescent="0.25">
      <c r="A70" s="34"/>
      <c r="B70" t="s">
        <v>260</v>
      </c>
      <c r="C70">
        <v>474.12</v>
      </c>
      <c r="D70" s="94">
        <v>37072992</v>
      </c>
      <c r="E70" s="73"/>
      <c r="F70" s="74"/>
      <c r="I70" s="34"/>
    </row>
    <row r="71" spans="1:9" x14ac:dyDescent="0.25">
      <c r="A71" s="34"/>
      <c r="B71" t="s">
        <v>261</v>
      </c>
      <c r="C71">
        <v>481.45</v>
      </c>
      <c r="D71" s="94">
        <v>26124980</v>
      </c>
      <c r="E71" s="73"/>
      <c r="F71" s="74"/>
      <c r="I71" s="34"/>
    </row>
    <row r="72" spans="1:9" x14ac:dyDescent="0.25">
      <c r="A72" s="34"/>
      <c r="B72" t="s">
        <v>262</v>
      </c>
      <c r="C72">
        <v>476.43</v>
      </c>
      <c r="D72" s="94">
        <v>18229128</v>
      </c>
      <c r="E72" s="73"/>
      <c r="F72" s="74"/>
      <c r="I72" s="34"/>
    </row>
    <row r="73" spans="1:9" x14ac:dyDescent="0.25">
      <c r="A73" s="34"/>
      <c r="B73" t="s">
        <v>263</v>
      </c>
      <c r="C73">
        <v>476.13</v>
      </c>
      <c r="D73" s="94">
        <v>13276195</v>
      </c>
      <c r="E73" s="73"/>
      <c r="F73" s="74"/>
      <c r="I73" s="34"/>
    </row>
    <row r="74" spans="1:9" x14ac:dyDescent="0.25">
      <c r="A74" s="34"/>
      <c r="B74" t="s">
        <v>264</v>
      </c>
      <c r="C74">
        <v>469.59</v>
      </c>
      <c r="D74" s="94">
        <v>13074810</v>
      </c>
      <c r="E74" s="73"/>
      <c r="F74" s="74"/>
      <c r="I74" s="34"/>
    </row>
    <row r="75" spans="1:9" x14ac:dyDescent="0.25">
      <c r="A75" s="34"/>
      <c r="B75" t="s">
        <v>265</v>
      </c>
      <c r="C75">
        <v>471.16</v>
      </c>
      <c r="D75" s="94">
        <v>16279450</v>
      </c>
      <c r="E75" s="73"/>
      <c r="F75" s="74"/>
      <c r="I75" s="34"/>
    </row>
    <row r="76" spans="1:9" x14ac:dyDescent="0.25">
      <c r="A76" s="34"/>
      <c r="B76" t="s">
        <v>266</v>
      </c>
      <c r="C76">
        <v>469.54</v>
      </c>
      <c r="D76" s="94">
        <v>8848065</v>
      </c>
      <c r="E76" s="73"/>
      <c r="F76" s="74"/>
      <c r="I76" s="34"/>
    </row>
    <row r="77" spans="1:9" x14ac:dyDescent="0.25">
      <c r="A77" s="34"/>
      <c r="B77" t="s">
        <v>267</v>
      </c>
      <c r="C77">
        <v>471.02</v>
      </c>
      <c r="D77" s="94">
        <v>11564497</v>
      </c>
      <c r="E77" s="73"/>
      <c r="F77" s="74"/>
      <c r="I77" s="34"/>
    </row>
    <row r="78" spans="1:9" x14ac:dyDescent="0.25">
      <c r="A78" s="34"/>
      <c r="B78" t="s">
        <v>268</v>
      </c>
      <c r="C78">
        <v>466.88</v>
      </c>
      <c r="D78" s="94">
        <v>18837469</v>
      </c>
      <c r="E78" s="73"/>
      <c r="F78" s="74"/>
      <c r="I78" s="34"/>
    </row>
    <row r="79" spans="1:9" x14ac:dyDescent="0.25">
      <c r="A79" s="34"/>
      <c r="B79" t="s">
        <v>269</v>
      </c>
      <c r="C79">
        <v>457.43</v>
      </c>
      <c r="D79" s="94">
        <v>19481288</v>
      </c>
      <c r="E79" s="73"/>
      <c r="F79" s="74"/>
      <c r="I79" s="34"/>
    </row>
    <row r="80" spans="1:9" x14ac:dyDescent="0.25">
      <c r="A80" s="34"/>
      <c r="B80" t="s">
        <v>270</v>
      </c>
      <c r="C80">
        <v>459.3</v>
      </c>
      <c r="D80" s="94">
        <v>14599270</v>
      </c>
      <c r="E80" s="73"/>
      <c r="F80" s="74"/>
      <c r="I80" s="34"/>
    </row>
    <row r="81" spans="1:9" x14ac:dyDescent="0.25">
      <c r="A81" s="34"/>
      <c r="B81" t="s">
        <v>271</v>
      </c>
      <c r="C81">
        <v>463.19</v>
      </c>
      <c r="D81" s="94">
        <v>12365167</v>
      </c>
      <c r="E81" s="73"/>
      <c r="F81" s="74"/>
      <c r="I81" s="34"/>
    </row>
    <row r="82" spans="1:9" x14ac:dyDescent="0.25">
      <c r="A82" s="34"/>
      <c r="B82" t="s">
        <v>272</v>
      </c>
      <c r="C82">
        <v>462.25</v>
      </c>
      <c r="D82" s="94">
        <v>19844152</v>
      </c>
      <c r="E82" s="73"/>
      <c r="F82" s="74"/>
      <c r="I82" s="34"/>
    </row>
    <row r="83" spans="1:9" x14ac:dyDescent="0.25">
      <c r="A83" s="34"/>
      <c r="B83" t="s">
        <v>273</v>
      </c>
      <c r="C83">
        <v>462.8</v>
      </c>
      <c r="D83" s="94">
        <v>9007264</v>
      </c>
      <c r="E83" s="73"/>
      <c r="F83" s="74"/>
      <c r="I83" s="34"/>
    </row>
    <row r="84" spans="1:9" x14ac:dyDescent="0.25">
      <c r="A84" s="34"/>
      <c r="B84" t="s">
        <v>274</v>
      </c>
      <c r="C84">
        <v>462.7</v>
      </c>
      <c r="D84" s="94">
        <v>31753858</v>
      </c>
      <c r="E84" s="73"/>
      <c r="F84" s="74"/>
      <c r="I84" s="34"/>
    </row>
    <row r="85" spans="1:9" x14ac:dyDescent="0.25">
      <c r="A85" s="34"/>
      <c r="B85" t="s">
        <v>275</v>
      </c>
      <c r="C85">
        <v>453.44</v>
      </c>
      <c r="D85" s="94">
        <v>12884401</v>
      </c>
      <c r="E85" s="73"/>
      <c r="F85" s="74"/>
      <c r="I85" s="34"/>
    </row>
    <row r="86" spans="1:9" x14ac:dyDescent="0.25">
      <c r="A86" s="34"/>
      <c r="B86" t="s">
        <v>276</v>
      </c>
      <c r="C86">
        <v>458.02</v>
      </c>
      <c r="D86" s="94">
        <v>6745816</v>
      </c>
      <c r="E86" s="73"/>
      <c r="F86" s="74"/>
      <c r="I86" s="34"/>
    </row>
    <row r="87" spans="1:9" x14ac:dyDescent="0.25">
      <c r="A87" s="34"/>
      <c r="B87" t="s">
        <v>277</v>
      </c>
      <c r="C87">
        <v>458.22</v>
      </c>
      <c r="D87" s="94">
        <v>8823805</v>
      </c>
      <c r="E87" s="73"/>
      <c r="F87" s="74"/>
      <c r="I87" s="34"/>
    </row>
    <row r="88" spans="1:9" x14ac:dyDescent="0.25">
      <c r="A88" s="34"/>
      <c r="B88" t="s">
        <v>278</v>
      </c>
      <c r="C88">
        <v>457.73</v>
      </c>
      <c r="D88" s="94">
        <v>11703384</v>
      </c>
      <c r="E88" s="73"/>
      <c r="F88" s="74"/>
      <c r="I88" s="34"/>
    </row>
    <row r="89" spans="1:9" x14ac:dyDescent="0.25">
      <c r="A89" s="34"/>
      <c r="B89" t="s">
        <v>279</v>
      </c>
      <c r="C89">
        <v>463.83</v>
      </c>
      <c r="D89" s="94">
        <v>7551407</v>
      </c>
      <c r="E89" s="73"/>
      <c r="F89" s="74"/>
      <c r="I89" s="34"/>
    </row>
    <row r="90" spans="1:9" x14ac:dyDescent="0.25">
      <c r="A90" s="34"/>
      <c r="B90" t="s">
        <v>280</v>
      </c>
      <c r="C90">
        <v>460.24</v>
      </c>
      <c r="D90" s="94">
        <v>26415053</v>
      </c>
      <c r="E90" s="73"/>
      <c r="F90" s="74"/>
      <c r="I90" s="34"/>
    </row>
    <row r="91" spans="1:9" x14ac:dyDescent="0.25">
      <c r="A91" s="34"/>
      <c r="B91" t="s">
        <v>281</v>
      </c>
      <c r="C91">
        <v>459.84</v>
      </c>
      <c r="D91" s="94">
        <v>13439484</v>
      </c>
      <c r="E91" s="73"/>
      <c r="F91" s="74"/>
      <c r="I91" s="34"/>
    </row>
    <row r="92" spans="1:9" x14ac:dyDescent="0.25">
      <c r="A92" s="34"/>
      <c r="B92" t="s">
        <v>282</v>
      </c>
      <c r="C92">
        <v>465.21</v>
      </c>
      <c r="D92" s="94">
        <v>22218251</v>
      </c>
      <c r="E92" s="73"/>
      <c r="F92" s="74"/>
      <c r="I92" s="34"/>
    </row>
    <row r="93" spans="1:9" x14ac:dyDescent="0.25">
      <c r="A93" s="34"/>
      <c r="B93" t="s">
        <v>283</v>
      </c>
      <c r="C93">
        <v>469.78</v>
      </c>
      <c r="D93" s="94">
        <v>5478598</v>
      </c>
      <c r="E93" s="73"/>
      <c r="F93" s="74"/>
      <c r="I93" s="34"/>
    </row>
    <row r="94" spans="1:9" x14ac:dyDescent="0.25">
      <c r="A94" s="34"/>
      <c r="B94" t="s">
        <v>284</v>
      </c>
      <c r="C94">
        <v>469.34</v>
      </c>
      <c r="D94" s="94">
        <v>8346687</v>
      </c>
      <c r="E94" s="73"/>
      <c r="F94" s="74"/>
      <c r="I94" s="34"/>
    </row>
    <row r="95" spans="1:9" x14ac:dyDescent="0.25">
      <c r="A95" s="34"/>
      <c r="B95" t="s">
        <v>285</v>
      </c>
      <c r="C95">
        <v>467.52</v>
      </c>
      <c r="D95" s="94">
        <v>14412539</v>
      </c>
      <c r="E95" s="73"/>
      <c r="F95" s="74"/>
      <c r="I95" s="34"/>
    </row>
    <row r="96" spans="1:9" x14ac:dyDescent="0.25">
      <c r="A96" s="34"/>
      <c r="B96" t="s">
        <v>286</v>
      </c>
      <c r="C96">
        <v>469.54</v>
      </c>
      <c r="D96" s="94">
        <v>7067013</v>
      </c>
      <c r="E96" s="73"/>
      <c r="F96" s="74"/>
      <c r="I96" s="34"/>
    </row>
    <row r="97" spans="1:9" x14ac:dyDescent="0.25">
      <c r="A97" s="34"/>
      <c r="B97" t="s">
        <v>287</v>
      </c>
      <c r="C97">
        <v>469.59</v>
      </c>
      <c r="D97" s="94">
        <v>6539846</v>
      </c>
      <c r="E97" s="73"/>
      <c r="F97" s="74"/>
      <c r="I97" s="34"/>
    </row>
    <row r="98" spans="1:9" x14ac:dyDescent="0.25">
      <c r="A98" s="34"/>
      <c r="B98" t="s">
        <v>288</v>
      </c>
      <c r="C98">
        <v>469.39</v>
      </c>
      <c r="D98" s="94">
        <v>13891991</v>
      </c>
      <c r="E98" s="73"/>
      <c r="F98" s="74"/>
      <c r="I98" s="34"/>
    </row>
    <row r="99" spans="1:9" x14ac:dyDescent="0.25">
      <c r="A99" s="34"/>
      <c r="B99" t="s">
        <v>289</v>
      </c>
      <c r="C99">
        <v>467.27</v>
      </c>
      <c r="D99" s="94">
        <v>19464568</v>
      </c>
      <c r="E99" s="73"/>
      <c r="F99" s="74"/>
      <c r="I99" s="34"/>
    </row>
    <row r="100" spans="1:9" x14ac:dyDescent="0.25">
      <c r="A100" s="34"/>
      <c r="B100" t="s">
        <v>290</v>
      </c>
      <c r="C100">
        <v>450.05</v>
      </c>
      <c r="D100" s="94">
        <v>19559847</v>
      </c>
      <c r="E100" s="73"/>
      <c r="F100" s="74"/>
      <c r="I100" s="34"/>
    </row>
    <row r="101" spans="1:9" x14ac:dyDescent="0.25">
      <c r="A101" s="34"/>
      <c r="B101" t="s">
        <v>291</v>
      </c>
      <c r="C101">
        <v>460.09</v>
      </c>
      <c r="D101" s="94">
        <v>6857374</v>
      </c>
      <c r="E101" s="73"/>
      <c r="F101" s="74"/>
      <c r="I101" s="34"/>
    </row>
    <row r="102" spans="1:9" x14ac:dyDescent="0.25">
      <c r="A102" s="34"/>
      <c r="B102" t="s">
        <v>292</v>
      </c>
      <c r="C102">
        <v>459.3</v>
      </c>
      <c r="D102" s="94">
        <v>8135260</v>
      </c>
      <c r="E102" s="73"/>
      <c r="F102" s="74"/>
      <c r="I102" s="34"/>
    </row>
    <row r="103" spans="1:9" x14ac:dyDescent="0.25">
      <c r="A103" s="34"/>
      <c r="B103" t="s">
        <v>293</v>
      </c>
      <c r="C103">
        <v>458.71</v>
      </c>
      <c r="D103" s="94">
        <v>11639562</v>
      </c>
      <c r="E103" s="73"/>
      <c r="F103" s="74"/>
      <c r="I103" s="34"/>
    </row>
    <row r="104" spans="1:9" x14ac:dyDescent="0.25">
      <c r="A104" s="34"/>
      <c r="B104" t="s">
        <v>294</v>
      </c>
      <c r="C104">
        <v>464.86</v>
      </c>
      <c r="D104" s="94">
        <v>11120381</v>
      </c>
      <c r="E104" s="73"/>
      <c r="F104" s="74"/>
      <c r="I104" s="34"/>
    </row>
    <row r="105" spans="1:9" x14ac:dyDescent="0.25">
      <c r="A105" s="34"/>
      <c r="B105" t="s">
        <v>295</v>
      </c>
      <c r="C105">
        <v>465.5</v>
      </c>
      <c r="D105" s="94">
        <v>5041916</v>
      </c>
      <c r="E105" s="73"/>
      <c r="F105" s="74"/>
      <c r="I105" s="34"/>
    </row>
    <row r="106" spans="1:9" x14ac:dyDescent="0.25">
      <c r="A106" s="34"/>
      <c r="B106" t="s">
        <v>296</v>
      </c>
      <c r="C106">
        <v>469.54</v>
      </c>
      <c r="D106" s="94">
        <v>5488948</v>
      </c>
      <c r="E106" s="73"/>
      <c r="F106" s="74"/>
      <c r="I106" s="34"/>
    </row>
    <row r="107" spans="1:9" x14ac:dyDescent="0.25">
      <c r="A107" s="34"/>
      <c r="B107" t="s">
        <v>297</v>
      </c>
      <c r="C107">
        <v>470.62</v>
      </c>
      <c r="D107" s="94">
        <v>6090462</v>
      </c>
      <c r="E107" s="73"/>
      <c r="F107" s="74"/>
      <c r="I107" s="34"/>
    </row>
    <row r="108" spans="1:9" x14ac:dyDescent="0.25">
      <c r="A108" s="34"/>
      <c r="B108" t="s">
        <v>298</v>
      </c>
      <c r="C108">
        <v>470.47</v>
      </c>
      <c r="D108" s="94">
        <v>8924280</v>
      </c>
      <c r="E108" s="73"/>
      <c r="F108" s="74"/>
      <c r="I108" s="34"/>
    </row>
    <row r="109" spans="1:9" x14ac:dyDescent="0.25">
      <c r="A109" s="34"/>
      <c r="B109" t="s">
        <v>299</v>
      </c>
      <c r="C109">
        <v>473.62</v>
      </c>
      <c r="D109" s="94">
        <v>11313985</v>
      </c>
      <c r="E109" s="73"/>
      <c r="F109" s="74"/>
      <c r="I109" s="34"/>
    </row>
    <row r="110" spans="1:9" x14ac:dyDescent="0.25">
      <c r="A110" s="34"/>
      <c r="B110" t="s">
        <v>300</v>
      </c>
      <c r="C110">
        <v>472.74</v>
      </c>
      <c r="D110" s="94">
        <v>7327830</v>
      </c>
      <c r="E110" s="73"/>
      <c r="F110" s="74"/>
      <c r="I110" s="34"/>
    </row>
    <row r="111" spans="1:9" x14ac:dyDescent="0.25">
      <c r="A111" s="34"/>
      <c r="B111" t="s">
        <v>301</v>
      </c>
      <c r="C111">
        <v>477.07</v>
      </c>
      <c r="D111" s="94">
        <v>8429731</v>
      </c>
      <c r="E111" s="73"/>
      <c r="F111" s="74"/>
      <c r="I111" s="34"/>
    </row>
    <row r="112" spans="1:9" x14ac:dyDescent="0.25">
      <c r="A112" s="34"/>
      <c r="B112" t="s">
        <v>302</v>
      </c>
      <c r="C112">
        <v>482.68</v>
      </c>
      <c r="D112" s="94">
        <v>1461602</v>
      </c>
      <c r="E112" s="73"/>
      <c r="F112" s="74"/>
      <c r="I112" s="34"/>
    </row>
    <row r="113" spans="1:9" x14ac:dyDescent="0.25">
      <c r="A113" s="34"/>
      <c r="B113" t="s">
        <v>303</v>
      </c>
      <c r="C113">
        <v>481.2</v>
      </c>
      <c r="D113" s="94">
        <v>7810874</v>
      </c>
      <c r="E113" s="73"/>
      <c r="F113" s="74"/>
      <c r="I113" s="34"/>
    </row>
    <row r="114" spans="1:9" x14ac:dyDescent="0.25">
      <c r="A114" s="34"/>
      <c r="B114" t="s">
        <v>304</v>
      </c>
      <c r="C114">
        <v>483.91</v>
      </c>
      <c r="D114" s="94">
        <v>6393835</v>
      </c>
      <c r="E114" s="73"/>
      <c r="F114" s="74"/>
      <c r="I114" s="34"/>
    </row>
    <row r="115" spans="1:9" x14ac:dyDescent="0.25">
      <c r="A115" s="34"/>
      <c r="B115" t="s">
        <v>305</v>
      </c>
      <c r="C115">
        <v>480.37</v>
      </c>
      <c r="D115" s="94">
        <v>6866704</v>
      </c>
      <c r="E115" s="73"/>
      <c r="F115" s="74"/>
      <c r="I115" s="34"/>
    </row>
    <row r="116" spans="1:9" x14ac:dyDescent="0.25">
      <c r="A116" s="34"/>
      <c r="B116" t="s">
        <v>306</v>
      </c>
      <c r="C116">
        <v>476.63</v>
      </c>
      <c r="D116" s="94">
        <v>8614446</v>
      </c>
      <c r="E116" s="73"/>
      <c r="F116" s="74"/>
      <c r="I116" s="34"/>
    </row>
    <row r="117" spans="1:9" x14ac:dyDescent="0.25">
      <c r="A117" s="34"/>
      <c r="B117" t="s">
        <v>307</v>
      </c>
      <c r="C117">
        <v>474.81</v>
      </c>
      <c r="D117" s="94">
        <v>30961625</v>
      </c>
      <c r="E117" s="73"/>
      <c r="F117" s="74"/>
      <c r="I117" s="34"/>
    </row>
    <row r="118" spans="1:9" x14ac:dyDescent="0.25">
      <c r="A118" s="34"/>
      <c r="B118" t="s">
        <v>308</v>
      </c>
      <c r="C118">
        <v>464.37</v>
      </c>
      <c r="D118" s="94">
        <v>13092399</v>
      </c>
      <c r="E118" s="73"/>
      <c r="F118" s="74"/>
      <c r="I118" s="34"/>
    </row>
    <row r="119" spans="1:9" x14ac:dyDescent="0.25">
      <c r="A119" s="34"/>
      <c r="B119" t="s">
        <v>309</v>
      </c>
      <c r="C119">
        <v>472.89</v>
      </c>
      <c r="D119" s="94">
        <v>10162570</v>
      </c>
      <c r="E119" s="73"/>
      <c r="F119" s="74"/>
      <c r="I119" s="34"/>
    </row>
    <row r="120" spans="1:9" x14ac:dyDescent="0.25">
      <c r="A120" s="34"/>
      <c r="B120" t="s">
        <v>310</v>
      </c>
      <c r="C120">
        <v>474.31</v>
      </c>
      <c r="D120" s="94">
        <v>12299288</v>
      </c>
      <c r="E120" s="73"/>
      <c r="F120" s="74"/>
      <c r="I120" s="34"/>
    </row>
    <row r="121" spans="1:9" x14ac:dyDescent="0.25">
      <c r="A121" s="34"/>
      <c r="B121" t="s">
        <v>311</v>
      </c>
      <c r="C121">
        <v>476.13</v>
      </c>
      <c r="D121" s="94">
        <v>7395274</v>
      </c>
      <c r="E121" s="73"/>
      <c r="F121" s="74"/>
      <c r="I121" s="34"/>
    </row>
    <row r="122" spans="1:9" x14ac:dyDescent="0.25">
      <c r="A122" s="34"/>
      <c r="B122" t="s">
        <v>312</v>
      </c>
      <c r="C122">
        <v>479.14</v>
      </c>
      <c r="D122" s="94">
        <v>21778099</v>
      </c>
      <c r="E122" s="73"/>
      <c r="F122" s="74"/>
      <c r="I122" s="34"/>
    </row>
    <row r="123" spans="1:9" x14ac:dyDescent="0.25">
      <c r="A123" s="34"/>
      <c r="B123" t="s">
        <v>313</v>
      </c>
      <c r="C123">
        <v>481.3</v>
      </c>
      <c r="D123" s="94">
        <v>7385299</v>
      </c>
      <c r="E123" s="73"/>
      <c r="F123" s="74"/>
      <c r="I123" s="34"/>
    </row>
    <row r="124" spans="1:9" x14ac:dyDescent="0.25">
      <c r="A124" s="34"/>
      <c r="B124" t="s">
        <v>314</v>
      </c>
      <c r="C124">
        <v>485.54</v>
      </c>
      <c r="D124" s="94">
        <v>6682083</v>
      </c>
      <c r="E124" s="73"/>
      <c r="F124" s="74"/>
      <c r="I124" s="34"/>
    </row>
    <row r="125" spans="1:9" x14ac:dyDescent="0.25">
      <c r="A125" s="34"/>
      <c r="B125" t="s">
        <v>315</v>
      </c>
      <c r="C125">
        <v>490.8</v>
      </c>
      <c r="D125" s="94">
        <v>8037662</v>
      </c>
      <c r="E125" s="73"/>
      <c r="F125" s="74"/>
      <c r="I125" s="34"/>
    </row>
    <row r="126" spans="1:9" x14ac:dyDescent="0.25">
      <c r="A126" s="34"/>
      <c r="B126" t="s">
        <v>316</v>
      </c>
      <c r="C126">
        <v>489.23</v>
      </c>
      <c r="D126" s="94">
        <v>6712103</v>
      </c>
      <c r="E126" s="73"/>
      <c r="F126" s="74"/>
      <c r="I126" s="34"/>
    </row>
    <row r="127" spans="1:9" x14ac:dyDescent="0.25">
      <c r="A127" s="34"/>
      <c r="B127" t="s">
        <v>317</v>
      </c>
      <c r="C127">
        <v>480.61</v>
      </c>
      <c r="D127" s="94">
        <v>14394986</v>
      </c>
      <c r="E127" s="73"/>
      <c r="F127" s="74"/>
      <c r="I127" s="34"/>
    </row>
    <row r="128" spans="1:9" x14ac:dyDescent="0.25">
      <c r="A128" s="34"/>
      <c r="B128" t="s">
        <v>318</v>
      </c>
      <c r="C128">
        <v>484.4</v>
      </c>
      <c r="D128" s="94">
        <v>12799333</v>
      </c>
      <c r="E128" s="73"/>
      <c r="F128" s="74"/>
      <c r="I128" s="34"/>
    </row>
    <row r="129" spans="1:9" x14ac:dyDescent="0.25">
      <c r="A129" s="34"/>
      <c r="B129" t="s">
        <v>319</v>
      </c>
      <c r="C129">
        <v>484.06</v>
      </c>
      <c r="D129" s="94">
        <v>23952459</v>
      </c>
      <c r="E129" s="73"/>
      <c r="F129" s="74"/>
      <c r="I129" s="34"/>
    </row>
    <row r="130" spans="1:9" x14ac:dyDescent="0.25">
      <c r="A130" s="34"/>
      <c r="B130" t="s">
        <v>320</v>
      </c>
      <c r="C130">
        <v>500.06</v>
      </c>
      <c r="D130" s="94">
        <v>9502367</v>
      </c>
      <c r="E130" s="73"/>
      <c r="F130" s="74"/>
      <c r="I130" s="34"/>
    </row>
    <row r="131" spans="1:9" x14ac:dyDescent="0.25">
      <c r="A131" s="34"/>
      <c r="B131" t="s">
        <v>321</v>
      </c>
      <c r="C131">
        <v>502.27</v>
      </c>
      <c r="D131" s="94">
        <v>16479772</v>
      </c>
      <c r="E131" s="73"/>
      <c r="F131" s="74"/>
      <c r="I131" s="34"/>
    </row>
    <row r="132" spans="1:9" x14ac:dyDescent="0.25">
      <c r="A132" s="34"/>
      <c r="B132" t="s">
        <v>322</v>
      </c>
      <c r="C132">
        <v>495.73</v>
      </c>
      <c r="D132" s="94">
        <v>18228912</v>
      </c>
      <c r="E132" s="73"/>
      <c r="F132" s="74"/>
      <c r="I132" s="34"/>
    </row>
    <row r="133" spans="1:9" x14ac:dyDescent="0.25">
      <c r="A133" s="34"/>
      <c r="B133" t="s">
        <v>323</v>
      </c>
      <c r="C133">
        <v>504.78</v>
      </c>
      <c r="D133" s="94">
        <v>15870147</v>
      </c>
      <c r="E133" s="73"/>
      <c r="F133" s="74"/>
      <c r="I133" s="34"/>
    </row>
    <row r="134" spans="1:9" x14ac:dyDescent="0.25">
      <c r="A134" s="34"/>
      <c r="B134" t="s">
        <v>324</v>
      </c>
      <c r="C134">
        <v>508.18</v>
      </c>
      <c r="D134" s="94">
        <v>5089315</v>
      </c>
      <c r="E134" s="73"/>
      <c r="F134" s="74"/>
      <c r="I134" s="34"/>
    </row>
    <row r="135" spans="1:9" x14ac:dyDescent="0.25">
      <c r="A135" s="34"/>
      <c r="B135" t="s">
        <v>325</v>
      </c>
      <c r="C135">
        <v>510.1</v>
      </c>
      <c r="D135" s="94">
        <v>10531347</v>
      </c>
      <c r="E135" s="73"/>
      <c r="F135" s="74"/>
      <c r="I135" s="34"/>
    </row>
    <row r="136" spans="1:9" x14ac:dyDescent="0.25">
      <c r="A136" s="34"/>
      <c r="B136" t="s">
        <v>326</v>
      </c>
      <c r="C136">
        <v>514.58000000000004</v>
      </c>
      <c r="D136" s="94">
        <v>17251962</v>
      </c>
      <c r="E136" s="73"/>
      <c r="F136" s="74"/>
      <c r="I136" s="34"/>
    </row>
    <row r="137" spans="1:9" x14ac:dyDescent="0.25">
      <c r="A137" s="34"/>
      <c r="B137" t="s">
        <v>327</v>
      </c>
      <c r="C137">
        <v>514.63</v>
      </c>
      <c r="D137" s="94">
        <v>15489991</v>
      </c>
      <c r="E137" s="73"/>
      <c r="F137" s="74"/>
      <c r="I137" s="34"/>
    </row>
    <row r="138" spans="1:9" x14ac:dyDescent="0.25">
      <c r="A138" s="34"/>
      <c r="B138" t="s">
        <v>328</v>
      </c>
      <c r="C138">
        <v>509.51</v>
      </c>
      <c r="D138" s="94">
        <v>8476223</v>
      </c>
      <c r="E138" s="73"/>
      <c r="F138" s="74"/>
      <c r="I138" s="34"/>
    </row>
    <row r="139" spans="1:9" x14ac:dyDescent="0.25">
      <c r="A139" s="34"/>
      <c r="B139" t="s">
        <v>329</v>
      </c>
      <c r="C139">
        <v>507.24</v>
      </c>
      <c r="D139" s="94">
        <v>6755320</v>
      </c>
      <c r="E139" s="73"/>
      <c r="F139" s="74"/>
      <c r="I139" s="34"/>
    </row>
    <row r="140" spans="1:9" x14ac:dyDescent="0.25">
      <c r="A140" s="34"/>
      <c r="B140" t="s">
        <v>330</v>
      </c>
      <c r="C140">
        <v>508.92</v>
      </c>
      <c r="D140" s="94">
        <v>7804918</v>
      </c>
      <c r="E140" s="73"/>
      <c r="F140" s="74"/>
      <c r="I140" s="34"/>
    </row>
    <row r="141" spans="1:9" x14ac:dyDescent="0.25">
      <c r="A141" s="34"/>
      <c r="B141" t="s">
        <v>331</v>
      </c>
      <c r="C141">
        <v>506.41</v>
      </c>
      <c r="D141" s="94">
        <v>23808194</v>
      </c>
      <c r="E141" s="73"/>
      <c r="F141" s="74"/>
      <c r="I141" s="34"/>
    </row>
    <row r="142" spans="1:9" x14ac:dyDescent="0.25">
      <c r="A142" s="34"/>
      <c r="B142" t="s">
        <v>332</v>
      </c>
      <c r="C142">
        <v>500.35</v>
      </c>
      <c r="D142" s="94">
        <v>13925311</v>
      </c>
      <c r="E142" s="73"/>
      <c r="F142" s="74"/>
      <c r="I142" s="34"/>
    </row>
    <row r="143" spans="1:9" x14ac:dyDescent="0.25">
      <c r="A143" s="34"/>
      <c r="B143" t="s">
        <v>333</v>
      </c>
      <c r="C143">
        <v>499.47</v>
      </c>
      <c r="D143" s="94">
        <v>5429619</v>
      </c>
      <c r="E143" s="73"/>
      <c r="F143" s="74"/>
      <c r="I143" s="34"/>
    </row>
    <row r="144" spans="1:9" x14ac:dyDescent="0.25">
      <c r="A144" s="34"/>
      <c r="B144" t="s">
        <v>334</v>
      </c>
      <c r="C144">
        <v>499.86</v>
      </c>
      <c r="D144" s="94">
        <v>10486015</v>
      </c>
      <c r="E144" s="73"/>
      <c r="F144" s="74"/>
      <c r="I144" s="34"/>
    </row>
    <row r="145" spans="1:9" x14ac:dyDescent="0.25">
      <c r="A145" s="34"/>
      <c r="B145" t="s">
        <v>335</v>
      </c>
      <c r="C145">
        <v>503.16</v>
      </c>
      <c r="D145" s="94">
        <v>7531604</v>
      </c>
      <c r="E145" s="73"/>
      <c r="F145" s="74"/>
      <c r="I145" s="34"/>
    </row>
    <row r="146" spans="1:9" x14ac:dyDescent="0.25">
      <c r="A146" s="34"/>
      <c r="B146" t="s">
        <v>336</v>
      </c>
      <c r="C146">
        <v>505.87</v>
      </c>
      <c r="D146" s="94">
        <v>8825193</v>
      </c>
      <c r="E146" s="73"/>
      <c r="F146" s="74"/>
      <c r="I146" s="34"/>
    </row>
    <row r="147" spans="1:9" x14ac:dyDescent="0.25">
      <c r="A147" s="34"/>
      <c r="B147" t="s">
        <v>337</v>
      </c>
      <c r="C147">
        <v>511.43</v>
      </c>
      <c r="D147" s="94">
        <v>18377550</v>
      </c>
      <c r="E147" s="73"/>
      <c r="F147" s="74"/>
      <c r="I147" s="34"/>
    </row>
    <row r="148" spans="1:9" x14ac:dyDescent="0.25">
      <c r="A148" s="34"/>
      <c r="B148" t="s">
        <v>338</v>
      </c>
      <c r="C148">
        <v>506.36</v>
      </c>
      <c r="D148" s="94">
        <v>14922832</v>
      </c>
      <c r="E148" s="73"/>
      <c r="F148" s="74"/>
      <c r="I148" s="34"/>
    </row>
    <row r="149" spans="1:9" x14ac:dyDescent="0.25">
      <c r="A149" s="34"/>
      <c r="B149" t="s">
        <v>339</v>
      </c>
      <c r="C149">
        <v>505.62</v>
      </c>
      <c r="D149" s="94">
        <v>10911995</v>
      </c>
      <c r="E149" s="73"/>
      <c r="F149" s="74"/>
      <c r="I149" s="34"/>
    </row>
    <row r="150" spans="1:9" x14ac:dyDescent="0.25">
      <c r="A150" s="34"/>
      <c r="B150" t="s">
        <v>340</v>
      </c>
      <c r="C150">
        <v>503.8</v>
      </c>
      <c r="D150" s="94">
        <v>13736044</v>
      </c>
      <c r="E150" s="73"/>
      <c r="F150" s="74"/>
      <c r="I150" s="34"/>
    </row>
    <row r="151" spans="1:9" x14ac:dyDescent="0.25">
      <c r="A151" s="34"/>
      <c r="B151" t="s">
        <v>341</v>
      </c>
      <c r="C151">
        <v>493.9</v>
      </c>
      <c r="D151" s="94">
        <v>13716752</v>
      </c>
      <c r="E151" s="73"/>
      <c r="F151" s="74"/>
      <c r="I151" s="34"/>
    </row>
    <row r="152" spans="1:9" x14ac:dyDescent="0.25">
      <c r="A152" s="34"/>
      <c r="B152" t="s">
        <v>342</v>
      </c>
      <c r="C152">
        <v>503.26</v>
      </c>
      <c r="D152" s="94">
        <v>10898888</v>
      </c>
      <c r="E152" s="73"/>
      <c r="F152" s="74"/>
      <c r="I152" s="34"/>
    </row>
    <row r="153" spans="1:9" x14ac:dyDescent="0.25">
      <c r="A153" s="34"/>
      <c r="B153" t="s">
        <v>343</v>
      </c>
      <c r="C153">
        <v>498.48</v>
      </c>
      <c r="D153" s="94">
        <v>8414967</v>
      </c>
      <c r="E153" s="73"/>
      <c r="F153" s="74"/>
      <c r="I153" s="34"/>
    </row>
    <row r="154" spans="1:9" x14ac:dyDescent="0.25">
      <c r="A154" s="34"/>
      <c r="B154" t="s">
        <v>344</v>
      </c>
      <c r="C154">
        <v>501.48</v>
      </c>
      <c r="D154" s="94">
        <v>12018677</v>
      </c>
      <c r="E154" s="73"/>
      <c r="F154" s="74"/>
      <c r="I154" s="34"/>
    </row>
    <row r="155" spans="1:9" x14ac:dyDescent="0.25">
      <c r="A155" s="34"/>
      <c r="B155" t="s">
        <v>345</v>
      </c>
      <c r="C155">
        <v>502.12</v>
      </c>
      <c r="D155" s="94">
        <v>15885469</v>
      </c>
      <c r="E155" s="73"/>
      <c r="F155" s="74"/>
      <c r="I155" s="34"/>
    </row>
    <row r="156" spans="1:9" x14ac:dyDescent="0.25">
      <c r="A156" s="34"/>
      <c r="B156" t="s">
        <v>346</v>
      </c>
      <c r="C156">
        <v>494.1</v>
      </c>
      <c r="D156" s="94">
        <v>14947670</v>
      </c>
      <c r="E156" s="73"/>
      <c r="F156" s="74"/>
      <c r="I156" s="34"/>
    </row>
    <row r="157" spans="1:9" x14ac:dyDescent="0.25">
      <c r="A157" s="34"/>
      <c r="B157" t="s">
        <v>347</v>
      </c>
      <c r="C157">
        <v>497.25</v>
      </c>
      <c r="D157" s="94">
        <v>18670632</v>
      </c>
      <c r="E157" s="73"/>
      <c r="F157" s="74"/>
      <c r="I157" s="34"/>
    </row>
    <row r="158" spans="1:9" x14ac:dyDescent="0.25">
      <c r="A158" s="34"/>
      <c r="B158" t="s">
        <v>348</v>
      </c>
      <c r="C158">
        <v>489.57</v>
      </c>
      <c r="D158" s="94">
        <v>7782216</v>
      </c>
      <c r="E158" s="73"/>
      <c r="F158" s="74"/>
      <c r="I158" s="34"/>
    </row>
    <row r="159" spans="1:9" x14ac:dyDescent="0.25">
      <c r="A159" s="34"/>
      <c r="B159" t="s">
        <v>349</v>
      </c>
      <c r="C159">
        <v>492.82</v>
      </c>
      <c r="D159" s="94">
        <v>7954114</v>
      </c>
      <c r="E159" s="73"/>
      <c r="F159" s="74"/>
      <c r="I159" s="34"/>
    </row>
    <row r="160" spans="1:9" x14ac:dyDescent="0.25">
      <c r="A160" s="34"/>
      <c r="B160" t="s">
        <v>350</v>
      </c>
      <c r="C160">
        <v>497.84</v>
      </c>
      <c r="D160" s="94">
        <v>7825037</v>
      </c>
      <c r="E160" s="73"/>
      <c r="F160" s="74"/>
      <c r="I160" s="34"/>
    </row>
    <row r="161" spans="1:9" x14ac:dyDescent="0.25">
      <c r="A161" s="34"/>
      <c r="B161" t="s">
        <v>351</v>
      </c>
      <c r="C161">
        <v>497.94</v>
      </c>
      <c r="D161" s="94">
        <v>7891446</v>
      </c>
      <c r="E161" s="73"/>
      <c r="F161" s="74"/>
      <c r="I161" s="34"/>
    </row>
    <row r="162" spans="1:9" x14ac:dyDescent="0.25">
      <c r="A162" s="34"/>
      <c r="B162" t="s">
        <v>352</v>
      </c>
      <c r="C162">
        <v>496.71</v>
      </c>
      <c r="D162" s="94">
        <v>8364290</v>
      </c>
      <c r="E162" s="73"/>
      <c r="F162" s="74"/>
      <c r="I162" s="34"/>
    </row>
    <row r="163" spans="1:9" x14ac:dyDescent="0.25">
      <c r="A163" s="34"/>
      <c r="B163" t="s">
        <v>353</v>
      </c>
      <c r="C163">
        <v>497.55</v>
      </c>
      <c r="D163" s="94">
        <v>8474830</v>
      </c>
      <c r="E163" s="73"/>
      <c r="F163" s="74"/>
      <c r="I163" s="34"/>
    </row>
    <row r="164" spans="1:9" x14ac:dyDescent="0.25">
      <c r="A164" s="34"/>
      <c r="B164" t="s">
        <v>354</v>
      </c>
      <c r="C164">
        <v>491.05</v>
      </c>
      <c r="D164" s="94">
        <v>6633171</v>
      </c>
      <c r="E164" s="73"/>
      <c r="F164" s="74"/>
      <c r="I164" s="34"/>
    </row>
    <row r="165" spans="1:9" x14ac:dyDescent="0.25">
      <c r="A165" s="34"/>
      <c r="B165" t="s">
        <v>355</v>
      </c>
      <c r="C165">
        <v>493.66</v>
      </c>
      <c r="D165" s="94">
        <v>10198725</v>
      </c>
      <c r="E165" s="73"/>
      <c r="F165" s="74"/>
      <c r="I165" s="34"/>
    </row>
    <row r="166" spans="1:9" x14ac:dyDescent="0.25">
      <c r="A166" s="34"/>
      <c r="B166" t="s">
        <v>356</v>
      </c>
      <c r="C166">
        <v>494.84</v>
      </c>
      <c r="D166" s="94">
        <v>13137392</v>
      </c>
      <c r="E166" s="73"/>
      <c r="F166" s="74"/>
      <c r="I166" s="34"/>
    </row>
    <row r="167" spans="1:9" x14ac:dyDescent="0.25">
      <c r="A167" s="34"/>
      <c r="B167" t="s">
        <v>357</v>
      </c>
      <c r="C167">
        <v>484.55</v>
      </c>
      <c r="D167" s="94">
        <v>9253598</v>
      </c>
      <c r="E167" s="73"/>
      <c r="F167" s="74"/>
      <c r="I167" s="34"/>
    </row>
    <row r="168" spans="1:9" x14ac:dyDescent="0.25">
      <c r="A168" s="34"/>
      <c r="B168" t="s">
        <v>358</v>
      </c>
      <c r="C168">
        <v>482.39</v>
      </c>
      <c r="D168" s="94">
        <v>7757706</v>
      </c>
      <c r="E168" s="73"/>
      <c r="F168" s="74"/>
      <c r="I168" s="34"/>
    </row>
    <row r="169" spans="1:9" x14ac:dyDescent="0.25">
      <c r="A169" s="34"/>
      <c r="B169" t="s">
        <v>359</v>
      </c>
      <c r="C169">
        <v>486.91</v>
      </c>
      <c r="D169" s="94">
        <v>9076097</v>
      </c>
      <c r="E169" s="73"/>
      <c r="F169" s="74"/>
      <c r="I169" s="34"/>
    </row>
    <row r="170" spans="1:9" x14ac:dyDescent="0.25">
      <c r="A170" s="34"/>
      <c r="B170" t="s">
        <v>360</v>
      </c>
      <c r="C170">
        <v>488.19</v>
      </c>
      <c r="D170" s="94">
        <v>9201793</v>
      </c>
      <c r="E170" s="73"/>
      <c r="F170" s="74"/>
      <c r="I170" s="34"/>
    </row>
    <row r="171" spans="1:9" x14ac:dyDescent="0.25">
      <c r="A171" s="34"/>
      <c r="B171" t="s">
        <v>361</v>
      </c>
      <c r="C171">
        <v>487.06</v>
      </c>
      <c r="D171" s="94">
        <v>20558134</v>
      </c>
      <c r="E171" s="73"/>
      <c r="F171" s="74"/>
      <c r="I171" s="34"/>
    </row>
    <row r="172" spans="1:9" x14ac:dyDescent="0.25">
      <c r="A172" s="34"/>
      <c r="B172" t="s">
        <v>362</v>
      </c>
      <c r="C172">
        <v>484.99</v>
      </c>
      <c r="D172" s="94">
        <v>10900585</v>
      </c>
      <c r="E172" s="73"/>
      <c r="F172" s="74"/>
      <c r="I172" s="34"/>
    </row>
    <row r="173" spans="1:9" x14ac:dyDescent="0.25">
      <c r="A173" s="34"/>
      <c r="B173" t="s">
        <v>363</v>
      </c>
      <c r="C173">
        <v>478.74</v>
      </c>
      <c r="D173" s="94">
        <v>13722855</v>
      </c>
      <c r="E173" s="73"/>
      <c r="F173" s="74"/>
      <c r="I173" s="34"/>
    </row>
    <row r="174" spans="1:9" x14ac:dyDescent="0.25">
      <c r="A174" s="34"/>
      <c r="B174" t="s">
        <v>364</v>
      </c>
      <c r="C174">
        <v>478.45</v>
      </c>
      <c r="D174" s="94">
        <v>24094139</v>
      </c>
      <c r="E174" s="73"/>
      <c r="F174" s="74"/>
      <c r="I174" s="34"/>
    </row>
    <row r="175" spans="1:9" x14ac:dyDescent="0.25">
      <c r="A175" s="34"/>
      <c r="B175" t="s">
        <v>365</v>
      </c>
      <c r="C175">
        <v>481.5</v>
      </c>
      <c r="D175" s="94">
        <v>21320064</v>
      </c>
      <c r="E175" s="73"/>
      <c r="F175" s="74"/>
      <c r="I175" s="34"/>
    </row>
    <row r="176" spans="1:9" x14ac:dyDescent="0.25">
      <c r="A176" s="34"/>
      <c r="B176" t="s">
        <v>366</v>
      </c>
      <c r="C176">
        <v>486.03</v>
      </c>
      <c r="D176" s="94">
        <v>11665529</v>
      </c>
      <c r="E176" s="73"/>
      <c r="F176" s="74"/>
      <c r="I176" s="34"/>
    </row>
    <row r="177" spans="1:9" x14ac:dyDescent="0.25">
      <c r="A177" s="34"/>
      <c r="B177" t="s">
        <v>367</v>
      </c>
      <c r="C177">
        <v>487.65</v>
      </c>
      <c r="D177" s="94">
        <v>11538215</v>
      </c>
      <c r="E177" s="73"/>
      <c r="F177" s="74"/>
      <c r="I177" s="34"/>
    </row>
    <row r="178" spans="1:9" x14ac:dyDescent="0.25">
      <c r="A178" s="34"/>
      <c r="B178" t="s">
        <v>368</v>
      </c>
      <c r="C178">
        <v>482.29</v>
      </c>
      <c r="D178" s="94">
        <v>13375906</v>
      </c>
      <c r="E178" s="73"/>
      <c r="F178" s="74"/>
      <c r="I178" s="34"/>
    </row>
    <row r="179" spans="1:9" x14ac:dyDescent="0.25">
      <c r="A179" s="34"/>
      <c r="B179" t="s">
        <v>369</v>
      </c>
      <c r="C179">
        <v>488.34</v>
      </c>
      <c r="D179" s="94">
        <v>12496895</v>
      </c>
      <c r="E179" s="73"/>
      <c r="F179" s="74"/>
      <c r="I179" s="34"/>
    </row>
    <row r="180" spans="1:9" x14ac:dyDescent="0.25">
      <c r="A180" s="34"/>
      <c r="B180" t="s">
        <v>370</v>
      </c>
      <c r="C180">
        <v>494.4</v>
      </c>
      <c r="D180" s="94">
        <v>20736094</v>
      </c>
      <c r="E180" s="73"/>
      <c r="F180" s="74"/>
      <c r="I180" s="34"/>
    </row>
    <row r="181" spans="1:9" x14ac:dyDescent="0.25">
      <c r="A181" s="34"/>
      <c r="B181" t="s">
        <v>371</v>
      </c>
      <c r="C181">
        <v>482.34</v>
      </c>
      <c r="D181" s="94">
        <v>17878994</v>
      </c>
      <c r="E181" s="73"/>
      <c r="F181" s="74"/>
      <c r="I181" s="34"/>
    </row>
    <row r="182" spans="1:9" x14ac:dyDescent="0.25">
      <c r="A182" s="34"/>
      <c r="B182" t="s">
        <v>372</v>
      </c>
      <c r="C182">
        <v>486.37</v>
      </c>
      <c r="D182" s="94">
        <v>42073323</v>
      </c>
      <c r="E182" s="73"/>
      <c r="F182" s="74"/>
      <c r="I182" s="34"/>
    </row>
    <row r="183" spans="1:9" x14ac:dyDescent="0.25">
      <c r="A183" s="34"/>
      <c r="B183" t="s">
        <v>373</v>
      </c>
      <c r="C183">
        <v>484.55</v>
      </c>
      <c r="D183" s="94">
        <v>54044423</v>
      </c>
      <c r="E183" s="73"/>
      <c r="F183" s="74"/>
      <c r="I183" s="34"/>
    </row>
    <row r="184" spans="1:9" x14ac:dyDescent="0.25">
      <c r="A184" s="34"/>
      <c r="B184" t="s">
        <v>374</v>
      </c>
      <c r="C184">
        <v>459.3</v>
      </c>
      <c r="D184" s="94">
        <v>18066586</v>
      </c>
      <c r="E184" s="73"/>
      <c r="F184" s="74"/>
      <c r="I184" s="34"/>
    </row>
    <row r="185" spans="1:9" x14ac:dyDescent="0.25">
      <c r="A185" s="34"/>
      <c r="B185" t="s">
        <v>375</v>
      </c>
      <c r="C185">
        <v>467.18</v>
      </c>
      <c r="D185" s="94">
        <v>24977373</v>
      </c>
      <c r="E185" s="73"/>
      <c r="F185" s="74"/>
      <c r="I185" s="34"/>
    </row>
    <row r="186" spans="1:9" x14ac:dyDescent="0.25">
      <c r="A186" s="34"/>
      <c r="B186" t="s">
        <v>376</v>
      </c>
      <c r="C186">
        <v>462.94</v>
      </c>
      <c r="D186" s="94">
        <v>21094737</v>
      </c>
      <c r="E186" s="73"/>
      <c r="F186" s="74"/>
      <c r="I186" s="34"/>
    </row>
    <row r="187" spans="1:9" x14ac:dyDescent="0.25">
      <c r="A187" s="34"/>
      <c r="B187" t="s">
        <v>377</v>
      </c>
      <c r="C187">
        <v>458.32</v>
      </c>
      <c r="D187" s="94">
        <v>12996711</v>
      </c>
      <c r="E187" s="73"/>
      <c r="F187" s="74"/>
      <c r="I187" s="34"/>
    </row>
    <row r="188" spans="1:9" x14ac:dyDescent="0.25">
      <c r="A188" s="34"/>
      <c r="B188" t="s">
        <v>378</v>
      </c>
      <c r="C188">
        <v>456.2</v>
      </c>
      <c r="D188" s="94">
        <v>16251032</v>
      </c>
      <c r="E188" s="73"/>
      <c r="F188" s="74"/>
      <c r="I188" s="34"/>
    </row>
    <row r="189" spans="1:9" x14ac:dyDescent="0.25">
      <c r="A189" s="34"/>
      <c r="B189" t="s">
        <v>379</v>
      </c>
      <c r="C189">
        <v>451.92</v>
      </c>
      <c r="D189" s="94">
        <v>18962800</v>
      </c>
      <c r="E189" s="73"/>
      <c r="F189" s="74"/>
      <c r="I189" s="34"/>
    </row>
    <row r="190" spans="1:9" x14ac:dyDescent="0.25">
      <c r="A190" s="34"/>
      <c r="B190" t="s">
        <v>380</v>
      </c>
      <c r="C190">
        <v>451.52</v>
      </c>
      <c r="D190" s="94">
        <v>18831345</v>
      </c>
      <c r="E190" s="73"/>
      <c r="F190" s="74"/>
      <c r="I190" s="34"/>
    </row>
    <row r="191" spans="1:9" x14ac:dyDescent="0.25">
      <c r="A191" s="34"/>
      <c r="B191" t="s">
        <v>381</v>
      </c>
      <c r="C191">
        <v>444.43</v>
      </c>
      <c r="D191" s="94">
        <v>11618210</v>
      </c>
      <c r="E191" s="73"/>
      <c r="F191" s="74"/>
      <c r="I191" s="34"/>
    </row>
    <row r="192" spans="1:9" x14ac:dyDescent="0.25">
      <c r="A192" s="34"/>
      <c r="B192" t="s">
        <v>382</v>
      </c>
      <c r="C192">
        <v>445.57</v>
      </c>
      <c r="D192" s="94">
        <v>26470260</v>
      </c>
      <c r="E192" s="73"/>
      <c r="F192" s="74"/>
      <c r="I192" s="34"/>
    </row>
    <row r="193" spans="1:9" x14ac:dyDescent="0.25">
      <c r="A193" s="34"/>
      <c r="B193" t="s">
        <v>383</v>
      </c>
      <c r="C193">
        <v>436.71</v>
      </c>
      <c r="D193" s="94">
        <v>20521107</v>
      </c>
      <c r="E193" s="73"/>
      <c r="F193" s="74"/>
      <c r="I193" s="34"/>
    </row>
    <row r="194" spans="1:9" x14ac:dyDescent="0.25">
      <c r="A194" s="34"/>
      <c r="B194" t="s">
        <v>384</v>
      </c>
      <c r="C194">
        <v>426.91</v>
      </c>
      <c r="D194" s="94">
        <v>12929586</v>
      </c>
      <c r="E194" s="73"/>
      <c r="F194" s="74"/>
      <c r="I194" s="34"/>
    </row>
    <row r="195" spans="1:9" x14ac:dyDescent="0.25">
      <c r="A195" s="34"/>
      <c r="B195" t="s">
        <v>385</v>
      </c>
      <c r="C195">
        <v>422.38</v>
      </c>
      <c r="D195" s="94">
        <v>9127340</v>
      </c>
      <c r="E195" s="73"/>
      <c r="F195" s="74"/>
      <c r="I195" s="34"/>
    </row>
    <row r="196" spans="1:9" x14ac:dyDescent="0.25">
      <c r="A196" s="34"/>
      <c r="B196" t="s">
        <v>386</v>
      </c>
      <c r="C196">
        <v>421.64</v>
      </c>
      <c r="D196" s="94">
        <v>7159756</v>
      </c>
      <c r="E196" s="73"/>
      <c r="F196" s="74"/>
      <c r="I196" s="34"/>
    </row>
    <row r="197" spans="1:9" x14ac:dyDescent="0.25">
      <c r="A197" s="34"/>
      <c r="B197" t="s">
        <v>387</v>
      </c>
      <c r="C197">
        <v>418.89</v>
      </c>
      <c r="D197" s="94">
        <v>10763335</v>
      </c>
      <c r="E197" s="73"/>
      <c r="F197" s="74"/>
      <c r="I197" s="34"/>
    </row>
    <row r="198" spans="1:9" x14ac:dyDescent="0.25">
      <c r="A198" s="34"/>
      <c r="B198" t="s">
        <v>388</v>
      </c>
      <c r="C198">
        <v>422.38</v>
      </c>
      <c r="D198" s="94">
        <v>12894747</v>
      </c>
      <c r="E198" s="73"/>
      <c r="F198" s="74"/>
      <c r="I198" s="34"/>
    </row>
    <row r="199" spans="1:9" x14ac:dyDescent="0.25">
      <c r="A199" s="34"/>
      <c r="B199" t="s">
        <v>389</v>
      </c>
      <c r="C199">
        <v>418.3</v>
      </c>
      <c r="D199" s="94">
        <v>17866326</v>
      </c>
      <c r="E199" s="73"/>
      <c r="F199" s="74"/>
      <c r="I199" s="34"/>
    </row>
    <row r="200" spans="1:9" x14ac:dyDescent="0.25">
      <c r="A200" s="34"/>
      <c r="B200" t="s">
        <v>390</v>
      </c>
      <c r="C200">
        <v>418.99</v>
      </c>
      <c r="D200" s="94">
        <v>37012589</v>
      </c>
      <c r="E200" s="73"/>
      <c r="F200" s="74"/>
      <c r="I200" s="34"/>
    </row>
    <row r="201" spans="1:9" x14ac:dyDescent="0.25">
      <c r="A201" s="34"/>
      <c r="B201" t="s">
        <v>391</v>
      </c>
      <c r="C201">
        <v>417.36</v>
      </c>
      <c r="D201" s="94">
        <v>11084805</v>
      </c>
      <c r="E201" s="73"/>
      <c r="F201" s="74"/>
      <c r="I201" s="34"/>
    </row>
    <row r="202" spans="1:9" x14ac:dyDescent="0.25">
      <c r="A202" s="34"/>
      <c r="B202" t="s">
        <v>392</v>
      </c>
      <c r="C202">
        <v>416.72</v>
      </c>
      <c r="D202" s="94">
        <v>10260449</v>
      </c>
      <c r="E202" s="73"/>
      <c r="F202" s="74"/>
      <c r="I202" s="34"/>
    </row>
    <row r="203" spans="1:9" x14ac:dyDescent="0.25">
      <c r="A203" s="34"/>
      <c r="B203" t="s">
        <v>393</v>
      </c>
      <c r="C203">
        <v>416.72</v>
      </c>
      <c r="D203" s="94">
        <v>9362433</v>
      </c>
      <c r="E203" s="73"/>
      <c r="F203" s="74"/>
      <c r="I203" s="34"/>
    </row>
    <row r="204" spans="1:9" x14ac:dyDescent="0.25">
      <c r="A204" s="34"/>
      <c r="B204" t="s">
        <v>394</v>
      </c>
      <c r="C204">
        <v>413.08</v>
      </c>
      <c r="D204" s="94">
        <v>25205627</v>
      </c>
      <c r="E204" s="73"/>
      <c r="F204" s="74"/>
      <c r="I204" s="34"/>
    </row>
    <row r="205" spans="1:9" x14ac:dyDescent="0.25">
      <c r="A205" s="34"/>
      <c r="B205" t="s">
        <v>395</v>
      </c>
      <c r="C205">
        <v>416.72</v>
      </c>
      <c r="D205" s="94">
        <v>14585806</v>
      </c>
      <c r="E205" s="73"/>
      <c r="F205" s="74"/>
      <c r="I205" s="34"/>
    </row>
    <row r="206" spans="1:9" x14ac:dyDescent="0.25">
      <c r="A206" s="34"/>
      <c r="B206" t="s">
        <v>396</v>
      </c>
      <c r="C206">
        <v>417.07</v>
      </c>
      <c r="D206" s="94">
        <v>10909803</v>
      </c>
      <c r="E206" s="73"/>
      <c r="F206" s="74"/>
      <c r="I206" s="34"/>
    </row>
    <row r="207" spans="1:9" x14ac:dyDescent="0.25">
      <c r="A207" s="34"/>
      <c r="B207" t="s">
        <v>397</v>
      </c>
      <c r="C207">
        <v>422.09</v>
      </c>
      <c r="D207" s="94">
        <v>14098178</v>
      </c>
      <c r="E207" s="73"/>
      <c r="F207" s="74"/>
      <c r="I207" s="34"/>
    </row>
    <row r="208" spans="1:9" x14ac:dyDescent="0.25">
      <c r="A208" s="34"/>
      <c r="B208" t="s">
        <v>398</v>
      </c>
      <c r="C208">
        <v>424.45</v>
      </c>
      <c r="D208" s="94">
        <v>9217804</v>
      </c>
      <c r="E208" s="73"/>
      <c r="F208" s="74"/>
      <c r="I208" s="34"/>
    </row>
    <row r="209" spans="1:9" x14ac:dyDescent="0.25">
      <c r="A209" s="34"/>
      <c r="B209" t="s">
        <v>399</v>
      </c>
      <c r="C209">
        <v>423.61</v>
      </c>
      <c r="D209" s="94">
        <v>9283802</v>
      </c>
      <c r="E209" s="73"/>
      <c r="F209" s="74"/>
      <c r="I209" s="34"/>
    </row>
    <row r="210" spans="1:9" x14ac:dyDescent="0.25">
      <c r="A210" s="34"/>
      <c r="B210" t="s">
        <v>400</v>
      </c>
      <c r="C210">
        <v>425.58</v>
      </c>
      <c r="D210" s="94">
        <v>10352936</v>
      </c>
      <c r="E210" s="73"/>
      <c r="F210" s="74"/>
      <c r="I210" s="34"/>
    </row>
    <row r="211" spans="1:9" x14ac:dyDescent="0.25">
      <c r="A211" s="34"/>
      <c r="B211" t="s">
        <v>401</v>
      </c>
      <c r="C211">
        <v>426.27</v>
      </c>
      <c r="D211" s="94">
        <v>12670589</v>
      </c>
      <c r="E211" s="73"/>
      <c r="F211" s="74"/>
      <c r="I211" s="34"/>
    </row>
    <row r="212" spans="1:9" x14ac:dyDescent="0.25">
      <c r="A212" s="34"/>
      <c r="B212" t="s">
        <v>402</v>
      </c>
      <c r="C212">
        <v>430.11</v>
      </c>
      <c r="D212" s="94">
        <v>11432393</v>
      </c>
      <c r="E212" s="73"/>
      <c r="F212" s="74"/>
      <c r="I212" s="34"/>
    </row>
    <row r="213" spans="1:9" x14ac:dyDescent="0.25">
      <c r="A213" s="34"/>
      <c r="B213" t="s">
        <v>403</v>
      </c>
      <c r="C213">
        <v>432.33</v>
      </c>
      <c r="D213" s="94">
        <v>28448041</v>
      </c>
      <c r="E213" s="73"/>
      <c r="F213" s="74"/>
      <c r="I213" s="34"/>
    </row>
    <row r="214" spans="1:9" x14ac:dyDescent="0.25">
      <c r="A214" s="34"/>
      <c r="B214" t="s">
        <v>404</v>
      </c>
      <c r="C214">
        <v>428.63</v>
      </c>
      <c r="D214" s="94">
        <v>31119999</v>
      </c>
      <c r="E214" s="73"/>
      <c r="F214" s="74"/>
      <c r="I214" s="34"/>
    </row>
    <row r="215" spans="1:9" x14ac:dyDescent="0.25">
      <c r="A215" s="34"/>
      <c r="B215" t="s">
        <v>405</v>
      </c>
      <c r="C215">
        <v>423.61</v>
      </c>
      <c r="D215" s="94">
        <v>27151351</v>
      </c>
      <c r="E215" s="73"/>
      <c r="F215" s="74"/>
      <c r="I215" s="34"/>
    </row>
    <row r="216" spans="1:9" x14ac:dyDescent="0.25">
      <c r="A216" s="34"/>
      <c r="B216" t="s">
        <v>406</v>
      </c>
      <c r="C216">
        <v>408.75</v>
      </c>
      <c r="D216" s="94">
        <v>46019632</v>
      </c>
      <c r="E216" s="73"/>
      <c r="F216" s="74"/>
      <c r="I216" s="34"/>
    </row>
    <row r="217" spans="1:9" x14ac:dyDescent="0.25">
      <c r="A217" s="34"/>
      <c r="B217" t="s">
        <v>407</v>
      </c>
      <c r="C217">
        <v>416.28</v>
      </c>
      <c r="D217" s="94">
        <v>15519148</v>
      </c>
      <c r="E217" s="73"/>
      <c r="F217" s="74"/>
      <c r="I217" s="34"/>
    </row>
    <row r="218" spans="1:9" x14ac:dyDescent="0.25">
      <c r="A218" s="34"/>
      <c r="B218" t="s">
        <v>408</v>
      </c>
      <c r="C218">
        <v>412.51</v>
      </c>
      <c r="D218" s="94">
        <v>28214102</v>
      </c>
      <c r="E218" s="73"/>
      <c r="F218" s="74"/>
      <c r="I218" s="34"/>
    </row>
    <row r="219" spans="1:9" x14ac:dyDescent="0.25">
      <c r="A219" s="34"/>
      <c r="B219" t="s">
        <v>409</v>
      </c>
      <c r="C219">
        <v>409.99</v>
      </c>
      <c r="D219" s="94">
        <v>20524428</v>
      </c>
      <c r="E219" s="73"/>
      <c r="F219" s="74"/>
      <c r="I219" s="34"/>
    </row>
    <row r="220" spans="1:9" x14ac:dyDescent="0.25">
      <c r="A220" s="34"/>
      <c r="B220" t="s">
        <v>410</v>
      </c>
      <c r="C220">
        <v>416.86</v>
      </c>
      <c r="D220" s="94">
        <v>10430363</v>
      </c>
      <c r="E220" s="73"/>
      <c r="F220" s="74"/>
      <c r="I220" s="34"/>
    </row>
    <row r="221" spans="1:9" x14ac:dyDescent="0.25">
      <c r="A221" s="34"/>
      <c r="B221" t="s">
        <v>411</v>
      </c>
      <c r="C221">
        <v>414.97</v>
      </c>
      <c r="D221" s="94">
        <v>9310198</v>
      </c>
      <c r="E221" s="73"/>
      <c r="F221" s="74"/>
      <c r="I221" s="34"/>
    </row>
    <row r="222" spans="1:9" x14ac:dyDescent="0.25">
      <c r="A222" s="34"/>
      <c r="B222" t="s">
        <v>412</v>
      </c>
      <c r="C222">
        <v>417.39</v>
      </c>
      <c r="D222" s="94">
        <v>11827050</v>
      </c>
      <c r="E222" s="73"/>
      <c r="F222" s="74"/>
      <c r="I222" s="34"/>
    </row>
    <row r="223" spans="1:9" x14ac:dyDescent="0.25">
      <c r="A223" s="34"/>
      <c r="B223" t="s">
        <v>413</v>
      </c>
      <c r="C223">
        <v>421.94</v>
      </c>
      <c r="D223" s="94">
        <v>12761457</v>
      </c>
      <c r="E223" s="73"/>
      <c r="F223" s="74"/>
      <c r="I223" s="34"/>
    </row>
    <row r="224" spans="1:9" x14ac:dyDescent="0.25">
      <c r="A224" s="34"/>
      <c r="B224" t="s">
        <v>414</v>
      </c>
      <c r="C224">
        <v>426.92</v>
      </c>
      <c r="D224" s="94">
        <v>26234369</v>
      </c>
      <c r="E224" s="73"/>
      <c r="F224" s="74"/>
      <c r="I224" s="34"/>
    </row>
    <row r="225" spans="1:9" x14ac:dyDescent="0.25">
      <c r="A225" s="34"/>
      <c r="B225" t="s">
        <v>415</v>
      </c>
      <c r="C225">
        <v>425.52</v>
      </c>
      <c r="D225" s="94">
        <v>10627595</v>
      </c>
      <c r="E225" s="73"/>
      <c r="F225" s="74"/>
      <c r="I225" s="34"/>
    </row>
    <row r="226" spans="1:9" x14ac:dyDescent="0.25">
      <c r="A226" s="34"/>
      <c r="B226" t="s">
        <v>416</v>
      </c>
      <c r="C226">
        <v>420.58</v>
      </c>
      <c r="D226" s="94">
        <v>10760726</v>
      </c>
      <c r="E226" s="73"/>
      <c r="F226" s="74"/>
      <c r="I226" s="34"/>
    </row>
    <row r="227" spans="1:9" x14ac:dyDescent="0.25">
      <c r="A227" s="34"/>
      <c r="B227" t="s">
        <v>417</v>
      </c>
      <c r="C227">
        <v>422.03</v>
      </c>
      <c r="D227" s="94">
        <v>11453714</v>
      </c>
      <c r="E227" s="73"/>
      <c r="F227" s="74"/>
      <c r="I227" s="34"/>
    </row>
    <row r="228" spans="1:9" x14ac:dyDescent="0.25">
      <c r="A228" s="34"/>
      <c r="B228" t="s">
        <v>418</v>
      </c>
      <c r="C228">
        <v>417.34</v>
      </c>
      <c r="D228" s="94">
        <v>23025186</v>
      </c>
      <c r="E228" s="73"/>
      <c r="F228" s="74"/>
      <c r="I228" s="34"/>
    </row>
    <row r="229" spans="1:9" x14ac:dyDescent="0.25">
      <c r="A229" s="34"/>
      <c r="B229" t="s">
        <v>419</v>
      </c>
      <c r="C229">
        <v>413.81</v>
      </c>
      <c r="D229" s="94">
        <v>7565080</v>
      </c>
      <c r="E229" s="73"/>
      <c r="F229" s="74"/>
      <c r="I229" s="34"/>
    </row>
    <row r="230" spans="1:9" x14ac:dyDescent="0.25">
      <c r="A230" s="34"/>
      <c r="B230" t="s">
        <v>420</v>
      </c>
      <c r="C230">
        <v>415.65</v>
      </c>
      <c r="D230" s="94">
        <v>11000103</v>
      </c>
      <c r="E230" s="73"/>
      <c r="F230" s="74"/>
      <c r="I230" s="34"/>
    </row>
    <row r="231" spans="1:9" x14ac:dyDescent="0.25">
      <c r="A231" s="34"/>
      <c r="B231" t="s">
        <v>421</v>
      </c>
      <c r="C231">
        <v>417.73</v>
      </c>
      <c r="D231" s="94">
        <v>7302959</v>
      </c>
      <c r="E231" s="73"/>
      <c r="F231" s="74"/>
      <c r="I231" s="34"/>
    </row>
    <row r="232" spans="1:9" x14ac:dyDescent="0.25">
      <c r="A232" s="34"/>
      <c r="B232" t="s">
        <v>422</v>
      </c>
      <c r="C232">
        <v>419.18</v>
      </c>
      <c r="D232" s="94">
        <v>13985963</v>
      </c>
      <c r="E232" s="73"/>
      <c r="F232" s="74"/>
      <c r="I232" s="34"/>
    </row>
    <row r="233" spans="1:9" x14ac:dyDescent="0.25">
      <c r="A233" s="34"/>
      <c r="B233" t="s">
        <v>423</v>
      </c>
      <c r="C233">
        <v>411.2</v>
      </c>
      <c r="D233" s="94">
        <v>23412609</v>
      </c>
      <c r="E233" s="73"/>
      <c r="F233" s="74"/>
      <c r="I233" s="34"/>
    </row>
    <row r="234" spans="1:9" x14ac:dyDescent="0.25">
      <c r="A234" s="34"/>
      <c r="B234" t="s">
        <v>424</v>
      </c>
      <c r="C234">
        <v>426.58</v>
      </c>
      <c r="D234" s="94">
        <v>10511646</v>
      </c>
      <c r="E234" s="73"/>
      <c r="F234" s="74"/>
      <c r="I234" s="34"/>
    </row>
    <row r="235" spans="1:9" x14ac:dyDescent="0.25">
      <c r="A235" s="34"/>
      <c r="B235" t="s">
        <v>425</v>
      </c>
      <c r="C235">
        <v>425.95</v>
      </c>
      <c r="D235" s="94">
        <v>25968921</v>
      </c>
      <c r="E235" s="73"/>
      <c r="F235" s="74"/>
      <c r="I235" s="34"/>
    </row>
    <row r="236" spans="1:9" x14ac:dyDescent="0.25">
      <c r="A236" s="34"/>
      <c r="B236" t="s">
        <v>426</v>
      </c>
      <c r="C236">
        <v>420.54</v>
      </c>
      <c r="D236" s="94">
        <v>10355056</v>
      </c>
      <c r="E236" s="73"/>
      <c r="F236" s="74"/>
      <c r="I236" s="34"/>
    </row>
    <row r="237" spans="1:9" x14ac:dyDescent="0.25">
      <c r="A237" s="34"/>
      <c r="B237" t="s">
        <v>427</v>
      </c>
      <c r="C237">
        <v>422.18</v>
      </c>
      <c r="D237" s="94">
        <v>22904276</v>
      </c>
      <c r="E237" s="73"/>
      <c r="F237" s="74"/>
      <c r="I237" s="34"/>
    </row>
    <row r="238" spans="1:9" x14ac:dyDescent="0.25">
      <c r="A238" s="34"/>
      <c r="B238" t="s">
        <v>428</v>
      </c>
      <c r="C238">
        <v>424.65</v>
      </c>
      <c r="D238" s="94">
        <v>23228909</v>
      </c>
      <c r="E238" s="73"/>
      <c r="F238" s="74"/>
      <c r="I238" s="34"/>
    </row>
    <row r="239" spans="1:9" x14ac:dyDescent="0.25">
      <c r="A239" s="34"/>
      <c r="B239" t="s">
        <v>429</v>
      </c>
      <c r="C239">
        <v>421.41</v>
      </c>
      <c r="D239" s="94">
        <v>12064043</v>
      </c>
      <c r="E239" s="73"/>
      <c r="F239" s="74"/>
      <c r="I239" s="34"/>
    </row>
    <row r="240" spans="1:9" x14ac:dyDescent="0.25">
      <c r="A240" s="34"/>
      <c r="B240" t="s">
        <v>430</v>
      </c>
      <c r="C240">
        <v>423.87</v>
      </c>
      <c r="D240" s="94">
        <v>11627882</v>
      </c>
      <c r="E240" s="73"/>
      <c r="F240" s="74"/>
      <c r="I240" s="34"/>
    </row>
    <row r="241" spans="1:9" x14ac:dyDescent="0.25">
      <c r="A241" s="34"/>
      <c r="B241" t="s">
        <v>431</v>
      </c>
      <c r="C241">
        <v>425.61</v>
      </c>
      <c r="D241" s="94">
        <v>14773975</v>
      </c>
      <c r="E241" s="73"/>
      <c r="F241" s="74"/>
      <c r="I241" s="34"/>
    </row>
    <row r="242" spans="1:9" x14ac:dyDescent="0.25">
      <c r="A242" s="34"/>
      <c r="B242" t="s">
        <v>432</v>
      </c>
      <c r="C242">
        <v>423.24</v>
      </c>
      <c r="D242" s="94">
        <v>29211997</v>
      </c>
      <c r="E242" s="73"/>
      <c r="F242" s="74"/>
      <c r="I242" s="34"/>
    </row>
    <row r="243" spans="1:9" x14ac:dyDescent="0.25">
      <c r="A243" s="34"/>
      <c r="B243" t="s">
        <v>433</v>
      </c>
      <c r="C243">
        <v>414.88</v>
      </c>
      <c r="D243" s="94">
        <v>5845170</v>
      </c>
      <c r="E243" s="73"/>
      <c r="F243" s="74"/>
      <c r="I243" s="34"/>
    </row>
    <row r="244" spans="1:9" x14ac:dyDescent="0.25">
      <c r="A244" s="34"/>
      <c r="B244" t="s">
        <v>434</v>
      </c>
      <c r="C244">
        <v>415.17</v>
      </c>
      <c r="D244" s="94">
        <v>12021404</v>
      </c>
      <c r="E244" s="73"/>
      <c r="F244" s="74"/>
      <c r="I244" s="34"/>
    </row>
    <row r="245" spans="1:9" x14ac:dyDescent="0.25">
      <c r="A245" s="34"/>
      <c r="B245" t="s">
        <v>435</v>
      </c>
      <c r="C245">
        <v>411.39</v>
      </c>
      <c r="D245" s="94">
        <v>7112139</v>
      </c>
      <c r="E245" s="73"/>
      <c r="F245" s="74"/>
      <c r="I245" s="34"/>
    </row>
    <row r="246" spans="1:9" x14ac:dyDescent="0.25">
      <c r="A246" s="34"/>
      <c r="B246" t="s">
        <v>436</v>
      </c>
      <c r="C246">
        <v>410.86</v>
      </c>
      <c r="D246" s="94">
        <v>16582634</v>
      </c>
      <c r="E246" s="73"/>
      <c r="F246" s="74"/>
      <c r="I246" s="34"/>
    </row>
    <row r="247" spans="1:9" x14ac:dyDescent="0.25">
      <c r="A247" s="34"/>
      <c r="B247" t="s">
        <v>437</v>
      </c>
      <c r="C247">
        <v>405.16</v>
      </c>
      <c r="D247" s="94">
        <v>21312388</v>
      </c>
      <c r="E247" s="73"/>
      <c r="F247" s="74"/>
      <c r="I247" s="34"/>
    </row>
    <row r="248" spans="1:9" x14ac:dyDescent="0.25">
      <c r="A248" s="34"/>
      <c r="B248" t="s">
        <v>438</v>
      </c>
      <c r="C248">
        <v>411.97</v>
      </c>
      <c r="D248" s="94">
        <v>9973638</v>
      </c>
      <c r="E248" s="73"/>
      <c r="F248" s="74"/>
      <c r="I248" s="34"/>
    </row>
    <row r="249" spans="1:9" x14ac:dyDescent="0.25">
      <c r="A249" s="34"/>
      <c r="B249" t="s">
        <v>439</v>
      </c>
      <c r="C249">
        <v>411.97</v>
      </c>
      <c r="D249" s="94">
        <v>8746243</v>
      </c>
      <c r="E249" s="73"/>
      <c r="F249" s="74"/>
      <c r="I249" s="34"/>
    </row>
    <row r="250" spans="1:9" x14ac:dyDescent="0.25">
      <c r="A250" s="34"/>
      <c r="B250" t="s">
        <v>440</v>
      </c>
      <c r="C250">
        <v>416.04</v>
      </c>
      <c r="D250" s="94">
        <v>18088372</v>
      </c>
      <c r="E250" s="73"/>
      <c r="F250" s="74"/>
      <c r="I250" s="34"/>
    </row>
    <row r="251" spans="1:9" x14ac:dyDescent="0.25">
      <c r="A251" s="34"/>
      <c r="B251" t="s">
        <v>441</v>
      </c>
      <c r="C251">
        <v>422.66</v>
      </c>
      <c r="D251" s="94">
        <v>14008124</v>
      </c>
      <c r="E251" s="73"/>
      <c r="F251" s="74"/>
      <c r="I251" s="34"/>
    </row>
    <row r="252" spans="1:9" x14ac:dyDescent="0.25">
      <c r="A252" s="34"/>
      <c r="B252" t="s">
        <v>442</v>
      </c>
      <c r="C252">
        <v>412.41</v>
      </c>
      <c r="D252" s="94">
        <v>6708894</v>
      </c>
      <c r="E252" s="73"/>
      <c r="F252" s="74"/>
      <c r="I252" s="34"/>
    </row>
    <row r="253" spans="1:9" x14ac:dyDescent="0.25">
      <c r="A253" s="34"/>
      <c r="B253" t="s">
        <v>443</v>
      </c>
      <c r="C253">
        <v>415.07</v>
      </c>
      <c r="D253" s="94">
        <v>8516632</v>
      </c>
      <c r="E253" s="73"/>
      <c r="F253" s="74"/>
      <c r="I253" s="34"/>
    </row>
    <row r="254" spans="1:9" x14ac:dyDescent="0.25">
      <c r="A254" s="34"/>
      <c r="B254" t="s">
        <v>444</v>
      </c>
      <c r="C254">
        <v>413.57</v>
      </c>
      <c r="D254" s="94">
        <v>16147032</v>
      </c>
      <c r="E254" s="73"/>
      <c r="F254" s="74"/>
      <c r="I254" s="34"/>
    </row>
    <row r="255" spans="1:9" x14ac:dyDescent="0.25">
      <c r="A255" s="34"/>
      <c r="B255" t="s">
        <v>445</v>
      </c>
      <c r="C255">
        <v>408.93</v>
      </c>
      <c r="D255" s="94">
        <v>18358410</v>
      </c>
      <c r="E255" s="73"/>
      <c r="F255" s="74"/>
      <c r="I255" s="34"/>
    </row>
    <row r="256" spans="1:9" x14ac:dyDescent="0.25">
      <c r="A256" s="34"/>
      <c r="B256" t="s">
        <v>446</v>
      </c>
      <c r="C256">
        <v>411.3</v>
      </c>
      <c r="D256" s="94">
        <v>12664520</v>
      </c>
      <c r="E256" s="73"/>
      <c r="F256" s="74"/>
      <c r="I256" s="34"/>
    </row>
    <row r="257" spans="1:9" x14ac:dyDescent="0.25">
      <c r="A257" s="34"/>
      <c r="B257" t="s">
        <v>447</v>
      </c>
      <c r="C257">
        <v>411.93</v>
      </c>
      <c r="D257" s="94">
        <v>8853678</v>
      </c>
      <c r="E257" s="73"/>
      <c r="F257" s="74"/>
      <c r="I257" s="34"/>
    </row>
    <row r="258" spans="1:9" x14ac:dyDescent="0.25">
      <c r="A258" s="34"/>
      <c r="B258" t="s">
        <v>448</v>
      </c>
      <c r="C258">
        <v>412.75</v>
      </c>
      <c r="D258" s="94">
        <v>9382308</v>
      </c>
      <c r="E258" s="73"/>
      <c r="F258" s="74"/>
      <c r="I258" s="34"/>
    </row>
    <row r="259" spans="1:9" x14ac:dyDescent="0.25">
      <c r="A259" s="34"/>
      <c r="B259" t="s">
        <v>449</v>
      </c>
      <c r="C259">
        <v>414.34</v>
      </c>
      <c r="D259" s="94">
        <v>27933211</v>
      </c>
      <c r="E259" s="73"/>
      <c r="F259" s="74"/>
      <c r="I259" s="34"/>
    </row>
    <row r="260" spans="1:9" x14ac:dyDescent="0.25">
      <c r="A260" s="34"/>
      <c r="B260" t="s">
        <v>450</v>
      </c>
      <c r="C260">
        <v>414.01</v>
      </c>
      <c r="D260" s="94">
        <v>12227545</v>
      </c>
      <c r="E260" s="73"/>
      <c r="F260" s="74"/>
      <c r="I260" s="34"/>
    </row>
    <row r="261" spans="1:9" x14ac:dyDescent="0.25">
      <c r="A261" s="34"/>
      <c r="B261" t="s">
        <v>451</v>
      </c>
      <c r="C261">
        <v>413.67</v>
      </c>
      <c r="D261" s="94">
        <v>10274145</v>
      </c>
      <c r="E261" s="73"/>
      <c r="F261" s="74"/>
      <c r="I261" s="34"/>
    </row>
    <row r="262" spans="1:9" x14ac:dyDescent="0.25">
      <c r="A262" s="34"/>
      <c r="B262" t="s">
        <v>452</v>
      </c>
      <c r="C262">
        <v>414.59</v>
      </c>
      <c r="D262" s="94">
        <v>38861818</v>
      </c>
      <c r="E262" s="73"/>
      <c r="F262" s="74"/>
      <c r="I262" s="34"/>
    </row>
    <row r="263" spans="1:9" x14ac:dyDescent="0.25">
      <c r="A263" s="34"/>
      <c r="B263" t="s">
        <v>453</v>
      </c>
      <c r="C263">
        <v>407.48</v>
      </c>
      <c r="D263" s="94">
        <v>19227982</v>
      </c>
      <c r="E263" s="73"/>
      <c r="F263" s="74"/>
      <c r="I263" s="34"/>
    </row>
    <row r="264" spans="1:9" x14ac:dyDescent="0.25">
      <c r="A264" s="34"/>
      <c r="B264" t="s">
        <v>454</v>
      </c>
      <c r="C264">
        <v>402.11</v>
      </c>
      <c r="D264" s="94">
        <v>19609321</v>
      </c>
      <c r="E264" s="73"/>
      <c r="F264" s="74"/>
      <c r="I264" s="34"/>
    </row>
    <row r="265" spans="1:9" x14ac:dyDescent="0.25">
      <c r="A265" s="34"/>
      <c r="B265" t="s">
        <v>455</v>
      </c>
      <c r="C265">
        <v>396.16</v>
      </c>
      <c r="D265" s="94">
        <v>20994563</v>
      </c>
      <c r="E265" s="73"/>
      <c r="F265" s="74"/>
      <c r="I265" s="34"/>
    </row>
    <row r="266" spans="1:9" x14ac:dyDescent="0.25">
      <c r="A266" s="34"/>
      <c r="B266" t="s">
        <v>456</v>
      </c>
      <c r="C266">
        <v>403.8</v>
      </c>
      <c r="D266" s="94">
        <v>15933704</v>
      </c>
      <c r="E266" s="73"/>
      <c r="F266" s="74"/>
      <c r="I266" s="34"/>
    </row>
    <row r="267" spans="1:9" x14ac:dyDescent="0.25">
      <c r="A267" s="34"/>
      <c r="B267" t="s">
        <v>457</v>
      </c>
      <c r="C267">
        <v>405.4</v>
      </c>
      <c r="D267" s="94">
        <v>73253754</v>
      </c>
      <c r="E267" s="73"/>
      <c r="F267" s="74"/>
      <c r="I267" s="34"/>
    </row>
    <row r="268" spans="1:9" x14ac:dyDescent="0.25">
      <c r="A268" s="34"/>
      <c r="B268" t="s">
        <v>458</v>
      </c>
      <c r="C268">
        <v>405.93</v>
      </c>
      <c r="D268" s="94">
        <v>30764728</v>
      </c>
      <c r="E268" s="73"/>
      <c r="F268" s="74"/>
      <c r="I268" s="34"/>
    </row>
    <row r="269" spans="1:9" x14ac:dyDescent="0.25">
      <c r="A269" s="34"/>
      <c r="B269" t="s">
        <v>459</v>
      </c>
      <c r="C269">
        <v>408.64</v>
      </c>
      <c r="D269" s="94">
        <v>101612428</v>
      </c>
      <c r="E269" s="73"/>
      <c r="F269" s="74"/>
      <c r="I269" s="34"/>
    </row>
    <row r="270" spans="1:9" x14ac:dyDescent="0.25">
      <c r="A270" s="34"/>
      <c r="B270" t="s">
        <v>460</v>
      </c>
      <c r="C270">
        <v>391.23</v>
      </c>
      <c r="D270" s="94">
        <v>34882639</v>
      </c>
      <c r="E270" s="73"/>
      <c r="F270" s="74"/>
      <c r="I270" s="34"/>
    </row>
    <row r="271" spans="1:9" x14ac:dyDescent="0.25">
      <c r="A271" s="34"/>
      <c r="B271" t="s">
        <v>461</v>
      </c>
      <c r="C271">
        <v>396.01</v>
      </c>
      <c r="D271" s="94">
        <v>17620081</v>
      </c>
      <c r="E271" s="73"/>
      <c r="F271" s="74"/>
      <c r="I271" s="34"/>
    </row>
    <row r="272" spans="1:9" x14ac:dyDescent="0.25">
      <c r="A272" s="34"/>
      <c r="B272" t="s">
        <v>462</v>
      </c>
      <c r="C272">
        <v>400.03</v>
      </c>
      <c r="D272" s="94">
        <v>23020545</v>
      </c>
      <c r="E272" s="73"/>
      <c r="F272" s="74"/>
      <c r="I272" s="34"/>
    </row>
    <row r="273" spans="1:9" x14ac:dyDescent="0.25">
      <c r="A273" s="34"/>
      <c r="B273" t="s">
        <v>463</v>
      </c>
      <c r="C273">
        <v>394.51</v>
      </c>
      <c r="D273" s="94">
        <v>11106855</v>
      </c>
      <c r="E273" s="73"/>
      <c r="F273" s="74"/>
      <c r="I273" s="34"/>
    </row>
    <row r="274" spans="1:9" x14ac:dyDescent="0.25">
      <c r="A274" s="34"/>
      <c r="B274" t="s">
        <v>464</v>
      </c>
      <c r="C274">
        <v>392.87</v>
      </c>
      <c r="D274" s="94">
        <v>9733507</v>
      </c>
      <c r="E274" s="73"/>
      <c r="F274" s="74"/>
      <c r="I274" s="34"/>
    </row>
    <row r="275" spans="1:9" x14ac:dyDescent="0.25">
      <c r="A275" s="34"/>
      <c r="B275" t="s">
        <v>465</v>
      </c>
      <c r="C275">
        <v>395.72</v>
      </c>
      <c r="D275" s="94">
        <v>6840352</v>
      </c>
      <c r="E275" s="73"/>
      <c r="F275" s="74"/>
      <c r="I275" s="34"/>
    </row>
    <row r="276" spans="1:9" x14ac:dyDescent="0.25">
      <c r="A276" s="34"/>
      <c r="B276" t="s">
        <v>466</v>
      </c>
      <c r="C276">
        <v>396.11</v>
      </c>
      <c r="D276" s="94">
        <v>12395632</v>
      </c>
      <c r="E276" s="73"/>
      <c r="F276" s="74"/>
      <c r="I276" s="34"/>
    </row>
    <row r="277" spans="1:9" x14ac:dyDescent="0.25">
      <c r="A277" s="34"/>
      <c r="B277" t="s">
        <v>467</v>
      </c>
      <c r="C277">
        <v>393.02</v>
      </c>
      <c r="D277" s="94">
        <v>14895144</v>
      </c>
      <c r="E277" s="73"/>
      <c r="F277" s="74"/>
      <c r="I277" s="34"/>
    </row>
    <row r="278" spans="1:9" x14ac:dyDescent="0.25">
      <c r="A278" s="34"/>
      <c r="B278" t="s">
        <v>468</v>
      </c>
      <c r="C278">
        <v>394.95</v>
      </c>
      <c r="D278" s="94">
        <v>8617768</v>
      </c>
      <c r="E278" s="73"/>
      <c r="F278" s="74"/>
      <c r="I278" s="34"/>
    </row>
    <row r="279" spans="1:9" x14ac:dyDescent="0.25">
      <c r="A279" s="34"/>
      <c r="B279" t="s">
        <v>469</v>
      </c>
      <c r="C279">
        <v>397.71</v>
      </c>
      <c r="D279" s="94">
        <v>7783743</v>
      </c>
      <c r="E279" s="73"/>
      <c r="F279" s="74"/>
      <c r="I279" s="34"/>
    </row>
    <row r="280" spans="1:9" x14ac:dyDescent="0.25">
      <c r="A280" s="34"/>
      <c r="B280" t="s">
        <v>470</v>
      </c>
      <c r="C280">
        <v>395.82</v>
      </c>
      <c r="D280" s="94">
        <v>7982145</v>
      </c>
      <c r="E280" s="73"/>
      <c r="F280" s="74"/>
      <c r="I280" s="34"/>
    </row>
    <row r="281" spans="1:9" x14ac:dyDescent="0.25">
      <c r="A281" s="34"/>
      <c r="B281" t="s">
        <v>471</v>
      </c>
      <c r="C281">
        <v>397.95</v>
      </c>
      <c r="D281" s="94">
        <v>11147636</v>
      </c>
      <c r="E281" s="73"/>
      <c r="F281" s="74"/>
      <c r="I281" s="34"/>
    </row>
    <row r="282" spans="1:9" x14ac:dyDescent="0.25">
      <c r="A282" s="34"/>
      <c r="B282" t="s">
        <v>472</v>
      </c>
      <c r="C282">
        <v>400.9</v>
      </c>
      <c r="D282" s="94">
        <v>18604659</v>
      </c>
      <c r="E282" s="73"/>
      <c r="F282" s="74"/>
      <c r="I282" s="34"/>
    </row>
    <row r="283" spans="1:9" x14ac:dyDescent="0.25">
      <c r="A283" s="34"/>
      <c r="B283" t="s">
        <v>473</v>
      </c>
      <c r="C283">
        <v>390.16</v>
      </c>
      <c r="D283" s="94">
        <v>19414653</v>
      </c>
      <c r="E283" s="73"/>
      <c r="F283" s="74"/>
      <c r="I283" s="34"/>
    </row>
    <row r="284" spans="1:9" x14ac:dyDescent="0.25">
      <c r="A284" s="34"/>
      <c r="B284" t="s">
        <v>474</v>
      </c>
      <c r="C284">
        <v>392.82</v>
      </c>
      <c r="D284" s="94">
        <v>14084218</v>
      </c>
      <c r="E284" s="73"/>
      <c r="F284" s="74"/>
      <c r="I284" s="34"/>
    </row>
    <row r="285" spans="1:9" x14ac:dyDescent="0.25">
      <c r="A285" s="34"/>
      <c r="B285" t="s">
        <v>475</v>
      </c>
      <c r="C285">
        <v>395.87</v>
      </c>
      <c r="D285" s="94">
        <v>16949793</v>
      </c>
      <c r="E285" s="73"/>
      <c r="F285" s="74"/>
      <c r="I285" s="34"/>
    </row>
    <row r="286" spans="1:9" x14ac:dyDescent="0.25">
      <c r="A286" s="34"/>
      <c r="B286" t="s">
        <v>476</v>
      </c>
      <c r="C286">
        <v>391.37</v>
      </c>
      <c r="D286" s="94">
        <v>37518847</v>
      </c>
      <c r="E286" s="73"/>
      <c r="F286" s="74"/>
      <c r="I286" s="34"/>
    </row>
    <row r="287" spans="1:9" x14ac:dyDescent="0.25">
      <c r="A287" s="34"/>
      <c r="B287" t="s">
        <v>477</v>
      </c>
      <c r="C287">
        <v>390.69</v>
      </c>
      <c r="D287" s="94">
        <v>20383983</v>
      </c>
      <c r="E287" s="73"/>
      <c r="F287" s="74"/>
      <c r="I287" s="34"/>
    </row>
    <row r="288" spans="1:9" x14ac:dyDescent="0.25">
      <c r="A288" s="34"/>
      <c r="B288" t="s">
        <v>478</v>
      </c>
      <c r="C288">
        <v>398.09</v>
      </c>
      <c r="D288" s="94">
        <v>12150077</v>
      </c>
      <c r="E288" s="73"/>
      <c r="F288" s="74"/>
      <c r="I288" s="34"/>
    </row>
    <row r="289" spans="1:9" x14ac:dyDescent="0.25">
      <c r="A289" s="34"/>
      <c r="B289" t="s">
        <v>479</v>
      </c>
      <c r="C289">
        <v>393.45</v>
      </c>
      <c r="D289" s="94">
        <v>15606705</v>
      </c>
      <c r="E289" s="73"/>
      <c r="F289" s="74"/>
      <c r="I289" s="34"/>
    </row>
    <row r="290" spans="1:9" x14ac:dyDescent="0.25">
      <c r="A290" s="34"/>
      <c r="B290" t="s">
        <v>480</v>
      </c>
      <c r="C290">
        <v>393.55</v>
      </c>
      <c r="D290" s="94">
        <v>10906914</v>
      </c>
      <c r="E290" s="73"/>
      <c r="F290" s="74"/>
      <c r="I290" s="34"/>
    </row>
    <row r="291" spans="1:9" x14ac:dyDescent="0.25">
      <c r="A291" s="34"/>
      <c r="B291" t="s">
        <v>481</v>
      </c>
      <c r="C291">
        <v>401.91</v>
      </c>
      <c r="D291" s="94">
        <v>32283965</v>
      </c>
      <c r="E291" s="73"/>
      <c r="F291" s="74"/>
      <c r="I291" s="34"/>
    </row>
    <row r="292" spans="1:9" x14ac:dyDescent="0.25">
      <c r="A292" s="34"/>
      <c r="B292" t="s">
        <v>482</v>
      </c>
      <c r="C292">
        <v>401</v>
      </c>
      <c r="D292" s="94">
        <v>48183882</v>
      </c>
      <c r="E292" s="73"/>
      <c r="F292" s="74"/>
      <c r="I292" s="34"/>
    </row>
    <row r="293" spans="1:9" x14ac:dyDescent="0.25">
      <c r="A293" s="34"/>
      <c r="B293" t="s">
        <v>483</v>
      </c>
      <c r="C293">
        <v>411.64</v>
      </c>
      <c r="D293" s="94">
        <v>12880824</v>
      </c>
      <c r="E293" s="73"/>
      <c r="F293" s="74"/>
      <c r="I293" s="34"/>
    </row>
    <row r="294" spans="1:9" x14ac:dyDescent="0.25">
      <c r="A294" s="34"/>
      <c r="B294" t="s">
        <v>484</v>
      </c>
      <c r="C294">
        <v>411.25</v>
      </c>
      <c r="D294" s="94">
        <v>18764371</v>
      </c>
      <c r="E294" s="73"/>
      <c r="F294" s="74"/>
      <c r="I294" s="34"/>
    </row>
    <row r="295" spans="1:9" x14ac:dyDescent="0.25">
      <c r="A295" s="34"/>
      <c r="B295" t="s">
        <v>485</v>
      </c>
      <c r="C295">
        <v>417.59</v>
      </c>
      <c r="D295" s="94">
        <v>12041897</v>
      </c>
      <c r="E295" s="73"/>
      <c r="F295" s="74"/>
      <c r="I295" s="34"/>
    </row>
    <row r="296" spans="1:9" x14ac:dyDescent="0.25">
      <c r="A296" s="34"/>
      <c r="B296" t="s">
        <v>486</v>
      </c>
      <c r="C296">
        <v>419.55</v>
      </c>
      <c r="D296" s="94">
        <v>17156021</v>
      </c>
      <c r="E296" s="73"/>
      <c r="F296" s="74"/>
      <c r="I296" s="34"/>
    </row>
    <row r="297" spans="1:9" x14ac:dyDescent="0.25">
      <c r="A297" s="34"/>
      <c r="B297" t="s">
        <v>487</v>
      </c>
      <c r="C297">
        <v>422.22</v>
      </c>
      <c r="D297" s="94">
        <v>19165409</v>
      </c>
      <c r="E297" s="73"/>
      <c r="F297" s="74"/>
      <c r="I297" s="34"/>
    </row>
    <row r="298" spans="1:9" x14ac:dyDescent="0.25">
      <c r="A298" s="34"/>
      <c r="B298" t="s">
        <v>488</v>
      </c>
      <c r="C298">
        <v>420.93</v>
      </c>
      <c r="D298" s="94">
        <v>19882944</v>
      </c>
      <c r="E298" s="73"/>
      <c r="F298" s="74"/>
      <c r="I298" s="34"/>
    </row>
    <row r="299" spans="1:9" x14ac:dyDescent="0.25">
      <c r="A299" s="34"/>
      <c r="B299" t="s">
        <v>489</v>
      </c>
      <c r="C299">
        <v>417.59</v>
      </c>
      <c r="D299" s="94">
        <v>43514448</v>
      </c>
      <c r="E299" s="73"/>
      <c r="F299" s="74"/>
      <c r="I299" s="34"/>
    </row>
    <row r="300" spans="1:9" x14ac:dyDescent="0.25">
      <c r="A300" s="34"/>
      <c r="B300" t="s">
        <v>490</v>
      </c>
      <c r="C300">
        <v>428.8</v>
      </c>
      <c r="D300" s="94">
        <v>17869152</v>
      </c>
      <c r="E300" s="73"/>
      <c r="F300" s="74"/>
      <c r="I300" s="34"/>
    </row>
    <row r="301" spans="1:9" x14ac:dyDescent="0.25">
      <c r="A301" s="34"/>
      <c r="B301" t="s">
        <v>491</v>
      </c>
      <c r="C301">
        <v>434.37</v>
      </c>
      <c r="D301" s="94">
        <v>19677700</v>
      </c>
      <c r="E301" s="73"/>
      <c r="F301" s="74"/>
      <c r="I301" s="34"/>
    </row>
    <row r="302" spans="1:9" x14ac:dyDescent="0.25">
      <c r="A302" s="34"/>
      <c r="B302" t="s">
        <v>492</v>
      </c>
      <c r="C302">
        <v>441.95</v>
      </c>
      <c r="D302" s="94">
        <v>21626183</v>
      </c>
      <c r="E302" s="73"/>
      <c r="F302" s="74"/>
      <c r="I302" s="34"/>
    </row>
    <row r="303" spans="1:9" x14ac:dyDescent="0.25">
      <c r="A303" s="34"/>
      <c r="B303" t="s">
        <v>493</v>
      </c>
      <c r="C303">
        <v>437.85</v>
      </c>
      <c r="D303" s="94">
        <v>8404513</v>
      </c>
      <c r="E303" s="73"/>
      <c r="F303" s="74"/>
      <c r="I303" s="34"/>
    </row>
    <row r="304" spans="1:9" x14ac:dyDescent="0.25">
      <c r="A304" s="34"/>
      <c r="B304" t="s">
        <v>494</v>
      </c>
      <c r="C304">
        <v>449.48</v>
      </c>
      <c r="D304" s="94">
        <v>12203322</v>
      </c>
      <c r="E304" s="73"/>
      <c r="F304" s="74"/>
      <c r="I304" s="34"/>
    </row>
    <row r="305" spans="1:9" x14ac:dyDescent="0.25">
      <c r="A305" s="34"/>
      <c r="B305" t="s">
        <v>495</v>
      </c>
      <c r="C305">
        <v>443.76</v>
      </c>
      <c r="D305" s="94">
        <v>9143784</v>
      </c>
      <c r="E305" s="73"/>
      <c r="F305" s="74"/>
      <c r="I305" s="34"/>
    </row>
    <row r="306" spans="1:9" x14ac:dyDescent="0.25">
      <c r="A306" s="34"/>
      <c r="B306" t="s">
        <v>496</v>
      </c>
      <c r="C306">
        <v>444.81</v>
      </c>
      <c r="D306" s="94">
        <v>11108698</v>
      </c>
      <c r="E306" s="73"/>
      <c r="F306" s="74"/>
      <c r="I306" s="34"/>
    </row>
    <row r="307" spans="1:9" x14ac:dyDescent="0.25">
      <c r="A307" s="34"/>
      <c r="B307" t="s">
        <v>497</v>
      </c>
      <c r="C307">
        <v>450.25</v>
      </c>
      <c r="D307" s="94">
        <v>12066347</v>
      </c>
      <c r="E307" s="73"/>
      <c r="F307" s="74"/>
      <c r="I307" s="34"/>
    </row>
    <row r="308" spans="1:9" x14ac:dyDescent="0.25">
      <c r="A308" s="34"/>
      <c r="B308" t="s">
        <v>498</v>
      </c>
      <c r="C308">
        <v>445.76</v>
      </c>
      <c r="D308" s="94">
        <v>6902156</v>
      </c>
      <c r="E308" s="73"/>
      <c r="F308" s="74"/>
      <c r="I308" s="34"/>
    </row>
    <row r="309" spans="1:9" x14ac:dyDescent="0.25">
      <c r="A309" s="34"/>
      <c r="B309" t="s">
        <v>499</v>
      </c>
      <c r="C309">
        <v>444.91</v>
      </c>
      <c r="D309" s="94">
        <v>9354326</v>
      </c>
      <c r="E309" s="73"/>
      <c r="F309" s="74"/>
      <c r="I309" s="34"/>
    </row>
    <row r="310" spans="1:9" x14ac:dyDescent="0.25">
      <c r="A310" s="34"/>
      <c r="B310" t="s">
        <v>500</v>
      </c>
      <c r="C310">
        <v>441.05</v>
      </c>
      <c r="D310" s="94">
        <v>6534775</v>
      </c>
      <c r="E310" s="73"/>
      <c r="F310" s="74"/>
      <c r="I310" s="34"/>
    </row>
    <row r="311" spans="1:9" x14ac:dyDescent="0.25">
      <c r="A311" s="34"/>
      <c r="B311" t="s">
        <v>501</v>
      </c>
      <c r="C311">
        <v>441.67</v>
      </c>
      <c r="D311" s="94">
        <v>5896123</v>
      </c>
      <c r="E311" s="73"/>
      <c r="F311" s="74"/>
      <c r="I311" s="34"/>
    </row>
    <row r="312" spans="1:9" x14ac:dyDescent="0.25">
      <c r="A312" s="34"/>
      <c r="B312" t="s">
        <v>502</v>
      </c>
      <c r="C312">
        <v>442.86</v>
      </c>
      <c r="D312" s="94">
        <v>5696780</v>
      </c>
      <c r="E312" s="73"/>
      <c r="F312" s="74"/>
      <c r="I312" s="34"/>
    </row>
    <row r="313" spans="1:9" x14ac:dyDescent="0.25">
      <c r="A313" s="34"/>
      <c r="B313" t="s">
        <v>503</v>
      </c>
      <c r="C313">
        <v>443.76</v>
      </c>
      <c r="D313" s="94">
        <v>8003177</v>
      </c>
      <c r="E313" s="73"/>
      <c r="F313" s="74"/>
      <c r="I313" s="34"/>
    </row>
    <row r="314" spans="1:9" x14ac:dyDescent="0.25">
      <c r="A314" s="34"/>
      <c r="B314" t="s">
        <v>504</v>
      </c>
      <c r="C314">
        <v>451.82</v>
      </c>
      <c r="D314" s="94">
        <v>9209405</v>
      </c>
      <c r="E314" s="73"/>
      <c r="F314" s="74"/>
      <c r="I314" s="34"/>
    </row>
    <row r="315" spans="1:9" x14ac:dyDescent="0.25">
      <c r="A315" s="34"/>
      <c r="B315" t="s">
        <v>505</v>
      </c>
      <c r="C315">
        <v>454.15</v>
      </c>
      <c r="D315" s="94">
        <v>11786959</v>
      </c>
      <c r="E315" s="73"/>
      <c r="F315" s="74"/>
      <c r="I315" s="34"/>
    </row>
    <row r="316" spans="1:9" x14ac:dyDescent="0.25">
      <c r="A316" s="34"/>
      <c r="B316" t="s">
        <v>506</v>
      </c>
      <c r="C316">
        <v>454.96</v>
      </c>
      <c r="D316" s="94">
        <v>24036012</v>
      </c>
      <c r="E316" s="73"/>
      <c r="F316" s="74"/>
      <c r="I316" s="34"/>
    </row>
    <row r="317" spans="1:9" x14ac:dyDescent="0.25">
      <c r="A317" s="34"/>
      <c r="B317" t="s">
        <v>507</v>
      </c>
      <c r="C317">
        <v>448.39</v>
      </c>
      <c r="D317" s="94">
        <v>10519771</v>
      </c>
      <c r="E317" s="73"/>
      <c r="F317" s="74"/>
      <c r="I317" s="34"/>
    </row>
    <row r="318" spans="1:9" x14ac:dyDescent="0.25">
      <c r="A318" s="34"/>
      <c r="B318" t="s">
        <v>508</v>
      </c>
      <c r="C318">
        <v>446.19</v>
      </c>
      <c r="D318" s="94">
        <v>9346277</v>
      </c>
      <c r="E318" s="73"/>
      <c r="F318" s="74"/>
      <c r="I318" s="34"/>
    </row>
    <row r="319" spans="1:9" x14ac:dyDescent="0.25">
      <c r="A319" s="34"/>
      <c r="B319" t="s">
        <v>509</v>
      </c>
      <c r="C319">
        <v>440.52</v>
      </c>
      <c r="D319" s="94">
        <v>12888266</v>
      </c>
      <c r="E319" s="73"/>
      <c r="F319" s="74"/>
      <c r="I319" s="34"/>
    </row>
    <row r="320" spans="1:9" x14ac:dyDescent="0.25">
      <c r="A320" s="34"/>
      <c r="B320" t="s">
        <v>510</v>
      </c>
      <c r="C320">
        <v>442.43</v>
      </c>
      <c r="D320" s="94">
        <v>20696101</v>
      </c>
      <c r="E320" s="73"/>
      <c r="F320" s="74"/>
      <c r="I320" s="34"/>
    </row>
    <row r="321" spans="1:9" x14ac:dyDescent="0.25">
      <c r="A321" s="34"/>
      <c r="B321" t="s">
        <v>511</v>
      </c>
      <c r="C321">
        <v>435.75</v>
      </c>
      <c r="D321" s="94">
        <v>7543383</v>
      </c>
      <c r="E321" s="73"/>
      <c r="F321" s="74"/>
      <c r="I321" s="34"/>
    </row>
    <row r="322" spans="1:9" x14ac:dyDescent="0.25">
      <c r="A322" s="34"/>
      <c r="B322" t="s">
        <v>512</v>
      </c>
      <c r="C322">
        <v>435.14</v>
      </c>
      <c r="D322" s="94">
        <v>5871301</v>
      </c>
      <c r="E322" s="73"/>
      <c r="F322" s="74"/>
      <c r="I322" s="34"/>
    </row>
    <row r="323" spans="1:9" x14ac:dyDescent="0.25">
      <c r="A323" s="34"/>
      <c r="B323" t="s">
        <v>513</v>
      </c>
      <c r="C323">
        <v>433.94</v>
      </c>
      <c r="D323" s="94">
        <v>11026317</v>
      </c>
      <c r="E323" s="73"/>
      <c r="F323" s="74"/>
      <c r="I323" s="34"/>
    </row>
    <row r="324" spans="1:9" x14ac:dyDescent="0.25">
      <c r="A324" s="34"/>
      <c r="B324" t="s">
        <v>514</v>
      </c>
      <c r="C324">
        <v>430.37</v>
      </c>
      <c r="D324" s="94">
        <v>11154625</v>
      </c>
      <c r="E324" s="73"/>
      <c r="F324" s="74"/>
      <c r="I324" s="34"/>
    </row>
    <row r="325" spans="1:9" x14ac:dyDescent="0.25">
      <c r="A325" s="34"/>
      <c r="B325" t="s">
        <v>515</v>
      </c>
      <c r="C325">
        <v>429.94</v>
      </c>
      <c r="D325" s="94">
        <v>10367665</v>
      </c>
      <c r="E325" s="73"/>
      <c r="F325" s="74"/>
      <c r="I325" s="34"/>
    </row>
    <row r="326" spans="1:9" x14ac:dyDescent="0.25">
      <c r="A326" s="34"/>
      <c r="B326" t="s">
        <v>516</v>
      </c>
      <c r="C326">
        <v>434.8</v>
      </c>
      <c r="D326" s="94">
        <v>10268755</v>
      </c>
      <c r="E326" s="73"/>
      <c r="F326" s="74"/>
      <c r="I326" s="34"/>
    </row>
    <row r="327" spans="1:9" x14ac:dyDescent="0.25">
      <c r="A327" s="34"/>
      <c r="B327" t="s">
        <v>517</v>
      </c>
      <c r="C327">
        <v>430.56</v>
      </c>
      <c r="D327" s="94">
        <v>12027620</v>
      </c>
      <c r="E327" s="73"/>
      <c r="F327" s="74"/>
      <c r="I327" s="34"/>
    </row>
    <row r="328" spans="1:9" x14ac:dyDescent="0.25">
      <c r="A328" s="34"/>
      <c r="B328" t="s">
        <v>518</v>
      </c>
      <c r="C328">
        <v>436.8</v>
      </c>
      <c r="D328" s="94">
        <v>15789845</v>
      </c>
      <c r="E328" s="73"/>
      <c r="F328" s="74"/>
      <c r="I328" s="34"/>
    </row>
    <row r="329" spans="1:9" x14ac:dyDescent="0.25">
      <c r="A329" s="34"/>
      <c r="B329" t="s">
        <v>519</v>
      </c>
      <c r="C329">
        <v>438.61</v>
      </c>
      <c r="D329" s="94">
        <v>14370803</v>
      </c>
      <c r="E329" s="73"/>
      <c r="F329" s="74"/>
      <c r="I329" s="34"/>
    </row>
    <row r="330" spans="1:9" x14ac:dyDescent="0.25">
      <c r="A330" s="34"/>
      <c r="B330" t="s">
        <v>520</v>
      </c>
      <c r="C330">
        <v>434.37</v>
      </c>
      <c r="D330" s="94">
        <v>11283868</v>
      </c>
      <c r="E330" s="73"/>
      <c r="F330" s="74"/>
      <c r="I330" s="34"/>
    </row>
    <row r="331" spans="1:9" x14ac:dyDescent="0.25">
      <c r="A331" s="34"/>
      <c r="B331" t="s">
        <v>521</v>
      </c>
      <c r="C331">
        <v>431.94</v>
      </c>
      <c r="D331" s="94">
        <v>10158101</v>
      </c>
      <c r="E331" s="73"/>
      <c r="F331" s="74"/>
      <c r="I331" s="34"/>
    </row>
    <row r="332" spans="1:9" x14ac:dyDescent="0.25">
      <c r="A332" s="34"/>
      <c r="B332" t="s">
        <v>522</v>
      </c>
      <c r="C332">
        <v>431.32</v>
      </c>
      <c r="D332" s="94">
        <v>6599973</v>
      </c>
      <c r="E332" s="73"/>
      <c r="F332" s="74"/>
      <c r="I332" s="34"/>
    </row>
    <row r="333" spans="1:9" x14ac:dyDescent="0.25">
      <c r="A333" s="34"/>
      <c r="B333" t="s">
        <v>523</v>
      </c>
      <c r="C333">
        <v>428.18</v>
      </c>
      <c r="D333" s="94">
        <v>18667895</v>
      </c>
      <c r="E333" s="73"/>
      <c r="F333" s="74"/>
      <c r="I333" s="34"/>
    </row>
    <row r="334" spans="1:9" x14ac:dyDescent="0.25">
      <c r="A334" s="34"/>
      <c r="B334" t="s">
        <v>524</v>
      </c>
      <c r="C334">
        <v>436.71</v>
      </c>
      <c r="D334" s="94">
        <v>11310918</v>
      </c>
      <c r="E334" s="73"/>
      <c r="F334" s="74"/>
      <c r="I334" s="34"/>
    </row>
    <row r="335" spans="1:9" x14ac:dyDescent="0.25">
      <c r="A335" s="34"/>
      <c r="B335" t="s">
        <v>525</v>
      </c>
      <c r="C335">
        <v>441.62</v>
      </c>
      <c r="D335" s="94">
        <v>20417559</v>
      </c>
      <c r="E335" s="73"/>
      <c r="F335" s="74"/>
      <c r="I335" s="34"/>
    </row>
    <row r="336" spans="1:9" x14ac:dyDescent="0.25">
      <c r="A336" s="34"/>
      <c r="B336" t="s">
        <v>526</v>
      </c>
      <c r="C336">
        <v>430.65</v>
      </c>
      <c r="D336" s="94">
        <v>12136292</v>
      </c>
      <c r="E336" s="73"/>
      <c r="F336" s="74"/>
      <c r="I336" s="34"/>
    </row>
    <row r="337" spans="1:9" x14ac:dyDescent="0.25">
      <c r="A337" s="34"/>
      <c r="B337" t="s">
        <v>527</v>
      </c>
      <c r="C337">
        <v>432.85</v>
      </c>
      <c r="D337" s="94">
        <v>12800220</v>
      </c>
      <c r="E337" s="73"/>
      <c r="F337" s="74"/>
      <c r="I337" s="34"/>
    </row>
    <row r="338" spans="1:9" x14ac:dyDescent="0.25">
      <c r="A338" s="34"/>
      <c r="B338" t="s">
        <v>528</v>
      </c>
      <c r="C338">
        <v>428.8</v>
      </c>
      <c r="D338" s="94">
        <v>19336856</v>
      </c>
      <c r="E338" s="73"/>
      <c r="F338" s="74"/>
      <c r="I338" s="34"/>
    </row>
    <row r="339" spans="1:9" x14ac:dyDescent="0.25">
      <c r="A339" s="34"/>
      <c r="B339" t="s">
        <v>529</v>
      </c>
      <c r="C339">
        <v>415.45</v>
      </c>
      <c r="D339" s="94">
        <v>15127505</v>
      </c>
      <c r="E339" s="73"/>
      <c r="F339" s="74"/>
      <c r="I339" s="34"/>
    </row>
    <row r="340" spans="1:9" x14ac:dyDescent="0.25">
      <c r="A340" s="34"/>
      <c r="B340" t="s">
        <v>530</v>
      </c>
      <c r="C340">
        <v>416.78</v>
      </c>
      <c r="D340" s="94">
        <v>13785216</v>
      </c>
      <c r="E340" s="73"/>
      <c r="F340" s="74"/>
      <c r="I340" s="34"/>
    </row>
    <row r="341" spans="1:9" x14ac:dyDescent="0.25">
      <c r="A341" s="34"/>
      <c r="B341" t="s">
        <v>531</v>
      </c>
      <c r="C341">
        <v>414.93</v>
      </c>
      <c r="D341" s="94">
        <v>8745691</v>
      </c>
      <c r="E341" s="73"/>
      <c r="F341" s="74"/>
      <c r="I341" s="34"/>
    </row>
    <row r="342" spans="1:9" x14ac:dyDescent="0.25">
      <c r="A342" s="34"/>
      <c r="B342" t="s">
        <v>532</v>
      </c>
      <c r="C342">
        <v>417.36</v>
      </c>
      <c r="D342" s="94">
        <v>6821878</v>
      </c>
      <c r="E342" s="73"/>
      <c r="F342" s="74"/>
      <c r="I342" s="34"/>
    </row>
    <row r="343" spans="1:9" x14ac:dyDescent="0.25">
      <c r="A343" s="34"/>
      <c r="B343" t="s">
        <v>533</v>
      </c>
      <c r="C343">
        <v>419.79</v>
      </c>
      <c r="D343" s="94">
        <v>6366606</v>
      </c>
      <c r="E343" s="73"/>
      <c r="F343" s="74"/>
      <c r="I343" s="34"/>
    </row>
    <row r="344" spans="1:9" x14ac:dyDescent="0.25">
      <c r="A344" s="34"/>
      <c r="B344" t="s">
        <v>534</v>
      </c>
      <c r="C344">
        <v>419.17</v>
      </c>
      <c r="D344" s="94">
        <v>4886687</v>
      </c>
      <c r="E344" s="73"/>
      <c r="F344" s="74"/>
      <c r="I344" s="34"/>
    </row>
    <row r="345" spans="1:9" x14ac:dyDescent="0.25">
      <c r="A345" s="34"/>
      <c r="B345" t="s">
        <v>535</v>
      </c>
      <c r="C345">
        <v>415.88</v>
      </c>
      <c r="D345" s="94">
        <v>5997810</v>
      </c>
      <c r="E345" s="73"/>
      <c r="F345" s="74"/>
      <c r="I345" s="34"/>
    </row>
    <row r="346" spans="1:9" x14ac:dyDescent="0.25">
      <c r="A346" s="34"/>
      <c r="B346" t="s">
        <v>536</v>
      </c>
      <c r="C346">
        <v>416.4</v>
      </c>
      <c r="D346" s="94">
        <v>4335388</v>
      </c>
      <c r="E346" s="73"/>
      <c r="F346" s="74"/>
      <c r="I346" s="34"/>
    </row>
    <row r="347" spans="1:9" x14ac:dyDescent="0.25">
      <c r="A347" s="34"/>
      <c r="B347" t="s">
        <v>537</v>
      </c>
      <c r="C347">
        <v>418.74</v>
      </c>
      <c r="D347" s="94">
        <v>6655278</v>
      </c>
      <c r="E347" s="73"/>
      <c r="F347" s="74"/>
      <c r="I347" s="34"/>
    </row>
    <row r="348" spans="1:9" x14ac:dyDescent="0.25">
      <c r="A348" s="34"/>
      <c r="B348" t="s">
        <v>538</v>
      </c>
      <c r="C348">
        <v>418.17</v>
      </c>
      <c r="D348" s="94">
        <v>10857863</v>
      </c>
      <c r="E348" s="73"/>
      <c r="F348" s="74"/>
      <c r="I348" s="34"/>
    </row>
    <row r="349" spans="1:9" x14ac:dyDescent="0.25">
      <c r="A349" s="34"/>
      <c r="B349" t="s">
        <v>539</v>
      </c>
      <c r="C349">
        <v>421.31</v>
      </c>
      <c r="D349" s="94">
        <v>7436428</v>
      </c>
      <c r="E349" s="73"/>
      <c r="F349" s="74"/>
      <c r="I349" s="34"/>
    </row>
    <row r="350" spans="1:9" x14ac:dyDescent="0.25">
      <c r="A350" s="34"/>
      <c r="B350" t="s">
        <v>540</v>
      </c>
      <c r="C350">
        <v>415.64</v>
      </c>
      <c r="D350" s="94">
        <v>3744754</v>
      </c>
      <c r="E350" s="73"/>
      <c r="F350" s="74"/>
      <c r="I350" s="34"/>
    </row>
    <row r="351" spans="1:9" x14ac:dyDescent="0.25">
      <c r="A351" s="34"/>
      <c r="B351" t="s">
        <v>541</v>
      </c>
      <c r="C351">
        <v>416.16</v>
      </c>
      <c r="D351" s="94">
        <v>4079205</v>
      </c>
      <c r="E351" s="73"/>
      <c r="F351" s="74"/>
      <c r="I351" s="34"/>
    </row>
    <row r="352" spans="1:9" x14ac:dyDescent="0.25">
      <c r="A352" s="34"/>
      <c r="B352" t="s">
        <v>542</v>
      </c>
      <c r="C352">
        <v>414.11</v>
      </c>
      <c r="D352" s="94">
        <v>7785767</v>
      </c>
      <c r="E352" s="73"/>
      <c r="F352" s="74"/>
      <c r="I352" s="34"/>
    </row>
    <row r="353" spans="1:9" x14ac:dyDescent="0.25">
      <c r="A353" s="34"/>
      <c r="B353" t="s">
        <v>543</v>
      </c>
      <c r="C353">
        <v>416.55</v>
      </c>
      <c r="D353" s="94">
        <v>6979849</v>
      </c>
      <c r="E353" s="73"/>
      <c r="F353" s="74"/>
      <c r="I353" s="34"/>
    </row>
    <row r="354" spans="1:9" x14ac:dyDescent="0.25">
      <c r="A354" s="34"/>
      <c r="B354" t="s">
        <v>544</v>
      </c>
      <c r="C354">
        <v>412.49</v>
      </c>
      <c r="D354" s="94">
        <v>5124012</v>
      </c>
      <c r="E354" s="73"/>
      <c r="F354" s="74"/>
      <c r="I354" s="34"/>
    </row>
    <row r="355" spans="1:9" x14ac:dyDescent="0.25">
      <c r="A355" s="34"/>
      <c r="B355" t="s">
        <v>545</v>
      </c>
      <c r="C355">
        <v>415.02</v>
      </c>
      <c r="D355" s="94">
        <v>7308229</v>
      </c>
      <c r="E355" s="73"/>
      <c r="F355" s="74"/>
      <c r="I355" s="34"/>
    </row>
    <row r="356" spans="1:9" x14ac:dyDescent="0.25">
      <c r="A356" s="34"/>
      <c r="B356" t="s">
        <v>546</v>
      </c>
      <c r="C356">
        <v>413.02</v>
      </c>
      <c r="D356" s="94">
        <v>13802600</v>
      </c>
      <c r="E356" s="73"/>
      <c r="F356" s="74"/>
      <c r="I356" s="34"/>
    </row>
    <row r="357" spans="1:9" x14ac:dyDescent="0.25">
      <c r="A357" s="34"/>
      <c r="B357" t="s">
        <v>547</v>
      </c>
      <c r="C357">
        <v>411.02</v>
      </c>
      <c r="D357" s="94">
        <v>8152031</v>
      </c>
      <c r="E357" s="73"/>
      <c r="F357" s="74"/>
      <c r="I357" s="34"/>
    </row>
    <row r="358" spans="1:9" x14ac:dyDescent="0.25">
      <c r="A358" s="34"/>
      <c r="B358" t="s">
        <v>548</v>
      </c>
      <c r="C358">
        <v>408.11</v>
      </c>
      <c r="D358" s="94">
        <v>7990245</v>
      </c>
      <c r="E358" s="73"/>
      <c r="F358" s="74"/>
      <c r="I358" s="34"/>
    </row>
    <row r="359" spans="1:9" x14ac:dyDescent="0.25">
      <c r="A359" s="34"/>
      <c r="B359" t="s">
        <v>549</v>
      </c>
      <c r="C359">
        <v>408.39</v>
      </c>
      <c r="D359" s="94">
        <v>8620154</v>
      </c>
      <c r="E359" s="73"/>
      <c r="F359" s="74"/>
      <c r="I359" s="34"/>
    </row>
    <row r="360" spans="1:9" x14ac:dyDescent="0.25">
      <c r="A360" s="34"/>
      <c r="B360" t="s">
        <v>550</v>
      </c>
      <c r="C360">
        <v>410.35</v>
      </c>
      <c r="D360" s="94">
        <v>7618033</v>
      </c>
      <c r="E360" s="73"/>
      <c r="F360" s="74"/>
      <c r="I360" s="34"/>
    </row>
    <row r="361" spans="1:9" x14ac:dyDescent="0.25">
      <c r="A361" s="34"/>
      <c r="B361" t="s">
        <v>551</v>
      </c>
      <c r="C361">
        <v>413.5</v>
      </c>
      <c r="D361" s="94">
        <v>13132487</v>
      </c>
      <c r="E361" s="73"/>
      <c r="F361" s="74"/>
      <c r="I361" s="34"/>
    </row>
    <row r="362" spans="1:9" x14ac:dyDescent="0.25">
      <c r="A362" s="34"/>
      <c r="B362" t="s">
        <v>552</v>
      </c>
      <c r="C362">
        <v>414.07</v>
      </c>
      <c r="D362" s="94">
        <v>18801214</v>
      </c>
      <c r="E362" s="73"/>
      <c r="F362" s="74"/>
      <c r="I362" s="34"/>
    </row>
    <row r="363" spans="1:9" x14ac:dyDescent="0.25">
      <c r="A363" s="34"/>
      <c r="B363" t="s">
        <v>553</v>
      </c>
      <c r="C363">
        <v>412.49</v>
      </c>
      <c r="D363" s="94">
        <v>10889221</v>
      </c>
      <c r="E363" s="73"/>
      <c r="F363" s="74"/>
      <c r="I363" s="34"/>
    </row>
    <row r="364" spans="1:9" x14ac:dyDescent="0.25">
      <c r="A364" s="34"/>
      <c r="B364" t="s">
        <v>554</v>
      </c>
      <c r="C364">
        <v>415.54</v>
      </c>
      <c r="D364" s="94">
        <v>7275471</v>
      </c>
      <c r="E364" s="73"/>
      <c r="F364" s="74"/>
      <c r="I364" s="34"/>
    </row>
    <row r="365" spans="1:9" x14ac:dyDescent="0.25">
      <c r="A365" s="34"/>
      <c r="B365" t="s">
        <v>555</v>
      </c>
      <c r="C365">
        <v>417.83</v>
      </c>
      <c r="D365" s="94">
        <v>13020371</v>
      </c>
      <c r="E365" s="73"/>
      <c r="F365" s="74"/>
      <c r="I365" s="34"/>
    </row>
    <row r="366" spans="1:9" x14ac:dyDescent="0.25">
      <c r="A366" s="34"/>
      <c r="B366" t="s">
        <v>556</v>
      </c>
      <c r="C366">
        <v>429.37</v>
      </c>
      <c r="D366" s="94">
        <v>9465463</v>
      </c>
      <c r="E366" s="73"/>
      <c r="F366" s="74"/>
      <c r="I366" s="34"/>
    </row>
    <row r="367" spans="1:9" x14ac:dyDescent="0.25">
      <c r="A367" s="34"/>
      <c r="B367" t="s">
        <v>557</v>
      </c>
      <c r="C367">
        <v>430.56</v>
      </c>
      <c r="D367" s="94">
        <v>6894947</v>
      </c>
      <c r="E367" s="73"/>
      <c r="F367" s="74"/>
      <c r="I367" s="34"/>
    </row>
    <row r="368" spans="1:9" x14ac:dyDescent="0.25">
      <c r="A368" s="34"/>
      <c r="B368" t="s">
        <v>558</v>
      </c>
      <c r="C368">
        <v>432.28</v>
      </c>
      <c r="D368" s="94">
        <v>6936218</v>
      </c>
      <c r="E368" s="73"/>
      <c r="F368" s="74"/>
      <c r="I368" s="34"/>
    </row>
    <row r="369" spans="1:9" x14ac:dyDescent="0.25">
      <c r="A369" s="34"/>
      <c r="B369" t="s">
        <v>559</v>
      </c>
      <c r="C369">
        <v>427.99</v>
      </c>
      <c r="D369" s="94">
        <v>4214958</v>
      </c>
      <c r="E369" s="73"/>
      <c r="F369" s="74"/>
      <c r="I369" s="34"/>
    </row>
    <row r="370" spans="1:9" x14ac:dyDescent="0.25">
      <c r="A370" s="34"/>
      <c r="B370" t="s">
        <v>560</v>
      </c>
      <c r="C370">
        <v>427.41</v>
      </c>
      <c r="D370" s="94">
        <v>7632483</v>
      </c>
      <c r="E370" s="73"/>
      <c r="F370" s="74"/>
      <c r="I370" s="34"/>
    </row>
    <row r="371" spans="1:9" x14ac:dyDescent="0.25">
      <c r="A371" s="34"/>
      <c r="B371" t="s">
        <v>561</v>
      </c>
      <c r="C371">
        <v>429.65</v>
      </c>
      <c r="D371" s="94">
        <v>11774487</v>
      </c>
      <c r="E371" s="73"/>
      <c r="F371" s="74"/>
      <c r="I371" s="34"/>
    </row>
    <row r="372" spans="1:9" x14ac:dyDescent="0.25">
      <c r="A372" s="34"/>
      <c r="B372" t="s">
        <v>562</v>
      </c>
      <c r="C372">
        <v>427.32</v>
      </c>
      <c r="D372" s="94">
        <v>7651513</v>
      </c>
      <c r="E372" s="73"/>
      <c r="F372" s="74"/>
      <c r="I372" s="34"/>
    </row>
    <row r="373" spans="1:9" x14ac:dyDescent="0.25">
      <c r="A373" s="34"/>
      <c r="B373" t="s">
        <v>563</v>
      </c>
      <c r="C373">
        <v>423.65</v>
      </c>
      <c r="D373" s="94">
        <v>5014758</v>
      </c>
      <c r="E373" s="73"/>
      <c r="F373" s="74"/>
      <c r="I373" s="34"/>
    </row>
    <row r="374" spans="1:9" x14ac:dyDescent="0.25">
      <c r="A374" s="34"/>
      <c r="B374" t="s">
        <v>564</v>
      </c>
      <c r="C374">
        <v>419.88</v>
      </c>
      <c r="D374" s="94">
        <v>5611154</v>
      </c>
      <c r="E374" s="73"/>
      <c r="F374" s="74"/>
      <c r="I374" s="34"/>
    </row>
    <row r="375" spans="1:9" x14ac:dyDescent="0.25">
      <c r="A375" s="34"/>
      <c r="B375" t="s">
        <v>565</v>
      </c>
      <c r="C375">
        <v>421.5</v>
      </c>
      <c r="D375" s="94">
        <v>8418580</v>
      </c>
      <c r="E375" s="73"/>
      <c r="F375" s="74"/>
      <c r="I375" s="34"/>
    </row>
    <row r="376" spans="1:9" x14ac:dyDescent="0.25">
      <c r="A376" s="34"/>
      <c r="B376" t="s">
        <v>566</v>
      </c>
      <c r="C376">
        <v>415.69</v>
      </c>
      <c r="D376" s="94">
        <v>10030257</v>
      </c>
      <c r="E376" s="73"/>
      <c r="F376" s="74"/>
      <c r="I376" s="34"/>
    </row>
    <row r="377" spans="1:9" x14ac:dyDescent="0.25">
      <c r="A377" s="34"/>
      <c r="B377" t="s">
        <v>567</v>
      </c>
      <c r="C377">
        <v>415.74</v>
      </c>
      <c r="D377" s="94">
        <v>13396709</v>
      </c>
      <c r="E377" s="73"/>
      <c r="F377" s="74"/>
      <c r="I377" s="34"/>
    </row>
    <row r="378" spans="1:9" x14ac:dyDescent="0.25">
      <c r="A378" s="34"/>
      <c r="B378" t="s">
        <v>568</v>
      </c>
      <c r="C378">
        <v>419.21</v>
      </c>
      <c r="D378" s="94">
        <v>7481883</v>
      </c>
      <c r="E378" s="73"/>
      <c r="F378" s="74"/>
      <c r="I378" s="34"/>
    </row>
    <row r="379" spans="1:9" x14ac:dyDescent="0.25">
      <c r="A379" s="34"/>
      <c r="B379" t="s">
        <v>569</v>
      </c>
      <c r="C379">
        <v>423.65</v>
      </c>
      <c r="D379" s="94">
        <v>8160058</v>
      </c>
      <c r="E379" s="73"/>
      <c r="F379" s="74"/>
      <c r="I379" s="34"/>
    </row>
    <row r="380" spans="1:9" x14ac:dyDescent="0.25">
      <c r="A380" s="34"/>
      <c r="B380" t="s">
        <v>570</v>
      </c>
      <c r="C380">
        <v>420.17</v>
      </c>
      <c r="D380" s="94">
        <v>10216736</v>
      </c>
      <c r="E380" s="73"/>
      <c r="F380" s="74"/>
      <c r="I380" s="34"/>
    </row>
    <row r="381" spans="1:9" x14ac:dyDescent="0.25">
      <c r="A381" s="34"/>
      <c r="B381" t="s">
        <v>571</v>
      </c>
      <c r="C381">
        <v>428.18</v>
      </c>
      <c r="D381" s="94">
        <v>10490786</v>
      </c>
      <c r="E381" s="73"/>
      <c r="F381" s="74"/>
      <c r="I381" s="34"/>
    </row>
    <row r="382" spans="1:9" x14ac:dyDescent="0.25">
      <c r="A382" s="34"/>
      <c r="B382" t="s">
        <v>572</v>
      </c>
      <c r="C382">
        <v>421.79</v>
      </c>
      <c r="D382" s="94">
        <v>5327833</v>
      </c>
      <c r="E382" s="73"/>
      <c r="F382" s="74"/>
      <c r="I382" s="34"/>
    </row>
    <row r="383" spans="1:9" x14ac:dyDescent="0.25">
      <c r="A383" s="34"/>
      <c r="B383" t="s">
        <v>573</v>
      </c>
      <c r="C383">
        <v>421.93</v>
      </c>
      <c r="D383" s="94">
        <v>5782955</v>
      </c>
      <c r="E383" s="73"/>
      <c r="F383" s="74"/>
      <c r="I383" s="34"/>
    </row>
    <row r="384" spans="1:9" x14ac:dyDescent="0.25">
      <c r="A384" s="34"/>
      <c r="B384" t="s">
        <v>574</v>
      </c>
      <c r="C384">
        <v>422.41</v>
      </c>
      <c r="D384" s="94">
        <v>7506309</v>
      </c>
      <c r="E384" s="73"/>
      <c r="F384" s="74"/>
      <c r="I384" s="34"/>
    </row>
    <row r="385" spans="1:9" x14ac:dyDescent="0.25">
      <c r="A385" s="34"/>
      <c r="B385" t="s">
        <v>575</v>
      </c>
      <c r="C385">
        <v>426.6</v>
      </c>
      <c r="D385" s="94">
        <v>10719470</v>
      </c>
      <c r="E385" s="73"/>
      <c r="F385" s="74"/>
      <c r="I385" s="34"/>
    </row>
    <row r="386" spans="1:9" x14ac:dyDescent="0.25">
      <c r="A386" s="34"/>
      <c r="B386" t="s">
        <v>576</v>
      </c>
      <c r="C386">
        <v>431.8</v>
      </c>
      <c r="D386" s="94">
        <v>9959649</v>
      </c>
      <c r="E386" s="73"/>
      <c r="F386" s="74"/>
      <c r="I386" s="34"/>
    </row>
    <row r="387" spans="1:9" x14ac:dyDescent="0.25">
      <c r="A387" s="34"/>
      <c r="B387" t="s">
        <v>577</v>
      </c>
      <c r="C387">
        <v>430.94</v>
      </c>
      <c r="D387" s="94">
        <v>8197425</v>
      </c>
      <c r="E387" s="73"/>
      <c r="F387" s="74"/>
      <c r="I387" s="34"/>
    </row>
    <row r="388" spans="1:9" x14ac:dyDescent="0.25">
      <c r="A388" s="34"/>
      <c r="B388" t="s">
        <v>578</v>
      </c>
      <c r="C388">
        <v>427.41</v>
      </c>
      <c r="D388" s="94">
        <v>15077136</v>
      </c>
      <c r="E388" s="73"/>
      <c r="F388" s="74"/>
      <c r="I388" s="34"/>
    </row>
    <row r="389" spans="1:9" x14ac:dyDescent="0.25">
      <c r="A389" s="34"/>
      <c r="B389" t="s">
        <v>579</v>
      </c>
      <c r="C389">
        <v>428.94</v>
      </c>
      <c r="D389" s="94">
        <v>14430930</v>
      </c>
      <c r="E389" s="73"/>
      <c r="F389" s="74"/>
      <c r="I389" s="34"/>
    </row>
    <row r="390" spans="1:9" x14ac:dyDescent="0.25">
      <c r="A390" s="34"/>
      <c r="B390" t="s">
        <v>580</v>
      </c>
      <c r="C390">
        <v>432.32</v>
      </c>
      <c r="D390" s="94">
        <v>11813170</v>
      </c>
      <c r="E390" s="73"/>
      <c r="F390" s="74"/>
      <c r="I390" s="34"/>
    </row>
    <row r="391" spans="1:9" x14ac:dyDescent="0.25">
      <c r="A391" s="34"/>
      <c r="B391" t="s">
        <v>581</v>
      </c>
      <c r="C391">
        <v>430.08</v>
      </c>
      <c r="D391" s="94">
        <v>14406441</v>
      </c>
      <c r="E391" s="73"/>
      <c r="F391" s="74"/>
      <c r="I391" s="34"/>
    </row>
    <row r="392" spans="1:9" x14ac:dyDescent="0.25">
      <c r="A392" s="34"/>
      <c r="B392" t="s">
        <v>582</v>
      </c>
      <c r="C392">
        <v>426.32</v>
      </c>
      <c r="D392" s="94">
        <v>9320577</v>
      </c>
      <c r="E392" s="73"/>
      <c r="F392" s="74"/>
      <c r="I392" s="34"/>
    </row>
    <row r="393" spans="1:9" x14ac:dyDescent="0.25">
      <c r="A393" s="34"/>
      <c r="B393" t="s">
        <v>583</v>
      </c>
      <c r="C393">
        <v>421.98</v>
      </c>
      <c r="D393" s="94">
        <v>9939517</v>
      </c>
      <c r="E393" s="73"/>
      <c r="F393" s="74"/>
      <c r="I393" s="34"/>
    </row>
    <row r="394" spans="1:9" x14ac:dyDescent="0.25">
      <c r="A394" s="34"/>
      <c r="B394" t="s">
        <v>584</v>
      </c>
      <c r="C394">
        <v>425.08</v>
      </c>
      <c r="D394" s="94">
        <v>8090369</v>
      </c>
      <c r="E394" s="73"/>
      <c r="F394" s="74"/>
      <c r="I394" s="34"/>
    </row>
    <row r="395" spans="1:9" x14ac:dyDescent="0.25">
      <c r="A395" s="34"/>
      <c r="B395" t="s">
        <v>585</v>
      </c>
      <c r="C395">
        <v>426.56</v>
      </c>
      <c r="D395" s="94">
        <v>12863039</v>
      </c>
      <c r="E395" s="73"/>
      <c r="F395" s="74"/>
      <c r="I395" s="34"/>
    </row>
    <row r="396" spans="1:9" x14ac:dyDescent="0.25">
      <c r="A396" s="34"/>
      <c r="B396" t="s">
        <v>586</v>
      </c>
      <c r="C396">
        <v>422.41</v>
      </c>
      <c r="D396" s="94">
        <v>8378915</v>
      </c>
      <c r="E396" s="73"/>
      <c r="F396" s="74"/>
      <c r="I396" s="34"/>
    </row>
    <row r="397" spans="1:9" x14ac:dyDescent="0.25">
      <c r="A397" s="34"/>
      <c r="B397" t="s">
        <v>587</v>
      </c>
      <c r="C397">
        <v>417.07</v>
      </c>
      <c r="D397" s="94">
        <v>13604608</v>
      </c>
      <c r="E397" s="73"/>
      <c r="F397" s="74"/>
      <c r="I397" s="34"/>
    </row>
    <row r="398" spans="1:9" x14ac:dyDescent="0.25">
      <c r="A398" s="34"/>
      <c r="B398" t="s">
        <v>588</v>
      </c>
      <c r="C398">
        <v>420.45</v>
      </c>
      <c r="D398" s="94">
        <v>11438624</v>
      </c>
      <c r="E398" s="73"/>
      <c r="F398" s="74"/>
      <c r="I398" s="34"/>
    </row>
    <row r="399" spans="1:9" x14ac:dyDescent="0.25">
      <c r="A399" s="34"/>
      <c r="B399" t="s">
        <v>589</v>
      </c>
      <c r="C399">
        <v>419.17</v>
      </c>
      <c r="D399" s="94">
        <v>19900312</v>
      </c>
      <c r="E399" s="73"/>
      <c r="F399" s="74"/>
      <c r="I399" s="34"/>
    </row>
    <row r="400" spans="1:9" x14ac:dyDescent="0.25">
      <c r="A400" s="34"/>
      <c r="B400" t="s">
        <v>590</v>
      </c>
      <c r="C400">
        <v>422.12</v>
      </c>
      <c r="D400" s="94">
        <v>7364924</v>
      </c>
      <c r="E400" s="73"/>
      <c r="F400" s="74"/>
      <c r="I400" s="34"/>
    </row>
    <row r="401" spans="1:9" x14ac:dyDescent="0.25">
      <c r="A401" s="34"/>
      <c r="B401" t="s">
        <v>591</v>
      </c>
      <c r="C401">
        <v>419.55</v>
      </c>
      <c r="D401" s="94">
        <v>9480003</v>
      </c>
      <c r="E401" s="73"/>
      <c r="F401" s="74"/>
      <c r="I401" s="34"/>
    </row>
    <row r="402" spans="1:9" x14ac:dyDescent="0.25">
      <c r="A402" s="34"/>
      <c r="B402" t="s">
        <v>592</v>
      </c>
      <c r="C402">
        <v>420.79</v>
      </c>
      <c r="D402" s="94">
        <v>6910750</v>
      </c>
      <c r="E402" s="73"/>
      <c r="F402" s="74"/>
      <c r="I402" s="34"/>
    </row>
    <row r="403" spans="1:9" x14ac:dyDescent="0.25">
      <c r="A403" s="34"/>
      <c r="B403" t="s">
        <v>593</v>
      </c>
      <c r="C403">
        <v>422.65</v>
      </c>
      <c r="D403" s="94">
        <v>9270988</v>
      </c>
      <c r="E403" s="73"/>
      <c r="F403" s="74"/>
      <c r="I403" s="34"/>
    </row>
    <row r="404" spans="1:9" x14ac:dyDescent="0.25">
      <c r="A404" s="34"/>
      <c r="B404" t="s">
        <v>594</v>
      </c>
      <c r="C404">
        <v>429.84</v>
      </c>
      <c r="D404" s="94">
        <v>6088274</v>
      </c>
      <c r="E404" s="73"/>
      <c r="F404" s="74"/>
      <c r="I404" s="34"/>
    </row>
    <row r="405" spans="1:9" x14ac:dyDescent="0.25">
      <c r="A405" s="34"/>
      <c r="B405" t="s">
        <v>595</v>
      </c>
      <c r="C405">
        <v>429.42</v>
      </c>
      <c r="D405" s="94">
        <v>8445029</v>
      </c>
      <c r="E405" s="73"/>
      <c r="F405" s="74"/>
      <c r="I405" s="34"/>
    </row>
    <row r="406" spans="1:9" x14ac:dyDescent="0.25">
      <c r="A406" s="34"/>
      <c r="B406" t="s">
        <v>596</v>
      </c>
      <c r="C406">
        <v>433.04</v>
      </c>
      <c r="D406" s="94">
        <v>9854945</v>
      </c>
      <c r="E406" s="73"/>
      <c r="F406" s="74"/>
      <c r="I406" s="34"/>
    </row>
    <row r="407" spans="1:9" x14ac:dyDescent="0.25">
      <c r="A407" s="34"/>
      <c r="B407" t="s">
        <v>597</v>
      </c>
      <c r="C407">
        <v>426.89</v>
      </c>
      <c r="D407" s="94">
        <v>9572041</v>
      </c>
      <c r="E407" s="73"/>
      <c r="F407" s="74"/>
      <c r="I407" s="34"/>
    </row>
    <row r="408" spans="1:9" x14ac:dyDescent="0.25">
      <c r="A408" s="34"/>
      <c r="B408" t="s">
        <v>598</v>
      </c>
      <c r="C408">
        <v>421.03</v>
      </c>
      <c r="D408" s="94">
        <v>19324262</v>
      </c>
      <c r="E408" s="73"/>
      <c r="F408" s="74"/>
      <c r="I408" s="34"/>
    </row>
    <row r="409" spans="1:9" x14ac:dyDescent="0.25">
      <c r="A409" s="34"/>
      <c r="B409" t="s">
        <v>599</v>
      </c>
      <c r="C409">
        <v>420.41</v>
      </c>
      <c r="D409" s="94">
        <v>16269569</v>
      </c>
      <c r="E409" s="73"/>
      <c r="F409" s="74"/>
      <c r="I409" s="34"/>
    </row>
    <row r="410" spans="1:9" x14ac:dyDescent="0.25">
      <c r="A410" s="34"/>
      <c r="B410" t="s">
        <v>600</v>
      </c>
      <c r="C410">
        <v>429.22</v>
      </c>
      <c r="D410" s="94">
        <v>14920272</v>
      </c>
      <c r="E410" s="73"/>
      <c r="F410" s="74"/>
      <c r="I410" s="34"/>
    </row>
    <row r="411" spans="1:9" x14ac:dyDescent="0.25">
      <c r="A411" s="34"/>
      <c r="B411" t="s">
        <v>601</v>
      </c>
      <c r="C411">
        <v>428.22</v>
      </c>
      <c r="D411" s="94">
        <v>7562808</v>
      </c>
      <c r="E411" s="73"/>
      <c r="F411" s="74"/>
      <c r="I411" s="34"/>
    </row>
    <row r="412" spans="1:9" x14ac:dyDescent="0.25">
      <c r="A412" s="34"/>
      <c r="B412" t="s">
        <v>602</v>
      </c>
      <c r="C412">
        <v>427.79</v>
      </c>
      <c r="D412" s="94">
        <v>11582326</v>
      </c>
      <c r="E412" s="73"/>
      <c r="F412" s="74"/>
      <c r="I412" s="34"/>
    </row>
    <row r="413" spans="1:9" x14ac:dyDescent="0.25">
      <c r="A413" s="34"/>
      <c r="B413" t="s">
        <v>603</v>
      </c>
      <c r="C413">
        <v>430.65</v>
      </c>
      <c r="D413" s="94">
        <v>13194170</v>
      </c>
      <c r="E413" s="73"/>
      <c r="F413" s="74"/>
      <c r="I413" s="34"/>
    </row>
    <row r="414" spans="1:9" x14ac:dyDescent="0.25">
      <c r="A414" s="34"/>
      <c r="B414" t="s">
        <v>604</v>
      </c>
      <c r="C414">
        <v>437.23</v>
      </c>
      <c r="D414" s="94">
        <v>9758343</v>
      </c>
      <c r="E414" s="73"/>
      <c r="F414" s="74"/>
      <c r="I414" s="34"/>
    </row>
    <row r="415" spans="1:9" x14ac:dyDescent="0.25">
      <c r="A415" s="34"/>
      <c r="B415" t="s">
        <v>605</v>
      </c>
      <c r="C415">
        <v>431.23</v>
      </c>
      <c r="D415" s="94">
        <v>6392488</v>
      </c>
      <c r="E415" s="73"/>
      <c r="F415" s="74"/>
      <c r="I415" s="34"/>
    </row>
    <row r="416" spans="1:9" x14ac:dyDescent="0.25">
      <c r="A416" s="34"/>
      <c r="B416" t="s">
        <v>606</v>
      </c>
      <c r="C416">
        <v>433.66</v>
      </c>
      <c r="D416" s="94">
        <v>9161131</v>
      </c>
      <c r="E416" s="73"/>
      <c r="F416" s="74"/>
      <c r="I416" s="34"/>
    </row>
    <row r="417" spans="1:9" x14ac:dyDescent="0.25">
      <c r="A417" s="34"/>
      <c r="B417" t="s">
        <v>607</v>
      </c>
      <c r="C417">
        <v>433.71</v>
      </c>
      <c r="D417" s="94">
        <v>6834401</v>
      </c>
      <c r="E417" s="73"/>
      <c r="F417" s="74"/>
      <c r="I417" s="34"/>
    </row>
    <row r="418" spans="1:9" x14ac:dyDescent="0.25">
      <c r="A418" s="34"/>
      <c r="B418" t="s">
        <v>608</v>
      </c>
      <c r="C418">
        <v>434.75</v>
      </c>
      <c r="D418" s="94">
        <v>10617897</v>
      </c>
      <c r="E418" s="73"/>
      <c r="F418" s="74"/>
      <c r="I418" s="34"/>
    </row>
    <row r="419" spans="1:9" x14ac:dyDescent="0.25">
      <c r="A419" s="34"/>
      <c r="B419" t="s">
        <v>609</v>
      </c>
      <c r="C419">
        <v>438.61</v>
      </c>
      <c r="D419" s="94">
        <v>10318220</v>
      </c>
      <c r="E419" s="73"/>
      <c r="F419" s="74"/>
      <c r="I419" s="34"/>
    </row>
    <row r="420" spans="1:9" x14ac:dyDescent="0.25">
      <c r="A420" s="34"/>
      <c r="B420" t="s">
        <v>610</v>
      </c>
      <c r="C420">
        <v>443.1</v>
      </c>
      <c r="D420" s="94">
        <v>6438221</v>
      </c>
      <c r="E420" s="73"/>
      <c r="F420" s="74"/>
      <c r="I420" s="34"/>
    </row>
    <row r="421" spans="1:9" x14ac:dyDescent="0.25">
      <c r="A421" s="34"/>
      <c r="B421" t="s">
        <v>611</v>
      </c>
      <c r="C421">
        <v>443.95</v>
      </c>
      <c r="D421" s="94">
        <v>8194797</v>
      </c>
      <c r="E421" s="73"/>
      <c r="F421" s="74"/>
      <c r="I421" s="34"/>
    </row>
    <row r="422" spans="1:9" x14ac:dyDescent="0.25">
      <c r="A422" s="34"/>
      <c r="B422" t="s">
        <v>612</v>
      </c>
      <c r="C422">
        <v>446.57</v>
      </c>
      <c r="D422" s="94">
        <v>9978231</v>
      </c>
      <c r="E422" s="73"/>
      <c r="F422" s="74"/>
      <c r="I422" s="34"/>
    </row>
    <row r="423" spans="1:9" x14ac:dyDescent="0.25">
      <c r="A423" s="34"/>
      <c r="B423" t="s">
        <v>613</v>
      </c>
      <c r="C423">
        <v>443.33</v>
      </c>
      <c r="D423" s="94">
        <v>13989457</v>
      </c>
      <c r="E423" s="73"/>
      <c r="F423" s="74"/>
      <c r="I423" s="34"/>
    </row>
    <row r="424" spans="1:9" x14ac:dyDescent="0.25">
      <c r="A424" s="34"/>
      <c r="B424" t="s">
        <v>614</v>
      </c>
      <c r="C424">
        <v>450.2</v>
      </c>
      <c r="D424" s="94">
        <v>18143422</v>
      </c>
      <c r="E424" s="73"/>
      <c r="F424" s="74"/>
      <c r="I424" s="34"/>
    </row>
    <row r="425" spans="1:9" x14ac:dyDescent="0.25">
      <c r="A425" s="34"/>
      <c r="B425" t="s">
        <v>615</v>
      </c>
      <c r="C425">
        <v>440.71</v>
      </c>
      <c r="D425" s="94">
        <v>43534718</v>
      </c>
      <c r="E425" s="73"/>
      <c r="F425" s="74"/>
      <c r="I425" s="34"/>
    </row>
    <row r="426" spans="1:9" x14ac:dyDescent="0.25">
      <c r="A426" s="34"/>
      <c r="B426" t="s">
        <v>616</v>
      </c>
      <c r="C426">
        <v>449.34</v>
      </c>
      <c r="D426" s="94">
        <v>38976815</v>
      </c>
      <c r="E426" s="73"/>
      <c r="F426" s="74"/>
      <c r="I426" s="34"/>
    </row>
    <row r="427" spans="1:9" x14ac:dyDescent="0.25">
      <c r="A427" s="34"/>
      <c r="B427" t="s">
        <v>617</v>
      </c>
      <c r="C427">
        <v>467.55</v>
      </c>
      <c r="D427" s="94">
        <v>13971982</v>
      </c>
      <c r="E427" s="73"/>
      <c r="F427" s="74"/>
      <c r="I427" s="34"/>
    </row>
    <row r="428" spans="1:9" x14ac:dyDescent="0.25">
      <c r="A428" s="34"/>
      <c r="B428" t="s">
        <v>618</v>
      </c>
      <c r="C428">
        <v>469.17</v>
      </c>
      <c r="D428" s="94">
        <v>20250206</v>
      </c>
      <c r="E428" s="73"/>
      <c r="F428" s="74"/>
      <c r="I428" s="34"/>
    </row>
    <row r="429" spans="1:9" x14ac:dyDescent="0.25">
      <c r="A429" s="34"/>
      <c r="B429" t="s">
        <v>619</v>
      </c>
      <c r="C429">
        <v>456.49</v>
      </c>
      <c r="D429" s="94">
        <v>13867323</v>
      </c>
      <c r="E429" s="73"/>
      <c r="F429" s="74"/>
      <c r="I429" s="34"/>
    </row>
    <row r="430" spans="1:9" x14ac:dyDescent="0.25">
      <c r="A430" s="34"/>
      <c r="B430" t="s">
        <v>620</v>
      </c>
      <c r="C430">
        <v>450.44</v>
      </c>
      <c r="D430" s="94">
        <v>5352283</v>
      </c>
      <c r="E430" s="73"/>
      <c r="F430" s="74"/>
      <c r="I430" s="34"/>
    </row>
    <row r="431" spans="1:9" x14ac:dyDescent="0.25">
      <c r="A431" s="34"/>
      <c r="B431" t="s">
        <v>621</v>
      </c>
      <c r="C431">
        <v>450.29</v>
      </c>
      <c r="D431" s="94">
        <v>6090738</v>
      </c>
      <c r="E431" s="73"/>
      <c r="F431" s="74"/>
      <c r="I431" s="34"/>
    </row>
    <row r="432" spans="1:9" x14ac:dyDescent="0.25">
      <c r="A432" s="34"/>
      <c r="B432" t="s">
        <v>622</v>
      </c>
      <c r="C432">
        <v>450.82</v>
      </c>
      <c r="D432" s="94">
        <v>5081391</v>
      </c>
      <c r="E432" s="73"/>
      <c r="F432" s="74"/>
      <c r="I432" s="34"/>
    </row>
    <row r="433" spans="1:9" x14ac:dyDescent="0.25">
      <c r="A433" s="34"/>
      <c r="B433" t="s">
        <v>623</v>
      </c>
      <c r="C433">
        <v>449.96</v>
      </c>
      <c r="D433" s="94">
        <v>7909757</v>
      </c>
      <c r="E433" s="73"/>
      <c r="F433" s="74"/>
      <c r="I433" s="34"/>
    </row>
    <row r="434" spans="1:9" x14ac:dyDescent="0.25">
      <c r="A434" s="34"/>
      <c r="B434" t="s">
        <v>624</v>
      </c>
      <c r="C434">
        <v>450.25</v>
      </c>
      <c r="D434" s="94">
        <v>12340934</v>
      </c>
      <c r="E434" s="73"/>
      <c r="F434" s="74"/>
      <c r="I434" s="34"/>
    </row>
    <row r="435" spans="1:9" x14ac:dyDescent="0.25">
      <c r="A435" s="34"/>
      <c r="B435" t="s">
        <v>625</v>
      </c>
      <c r="C435">
        <v>451.06</v>
      </c>
      <c r="D435" s="94">
        <v>8457557</v>
      </c>
      <c r="E435" s="73"/>
      <c r="F435" s="74"/>
      <c r="I435" s="34"/>
    </row>
    <row r="436" spans="1:9" x14ac:dyDescent="0.25">
      <c r="A436" s="34"/>
      <c r="B436" t="s">
        <v>626</v>
      </c>
      <c r="C436">
        <v>444.1</v>
      </c>
      <c r="D436" s="94">
        <v>6521300</v>
      </c>
      <c r="E436" s="73"/>
      <c r="F436" s="74"/>
      <c r="I436" s="34"/>
    </row>
    <row r="437" spans="1:9" x14ac:dyDescent="0.25">
      <c r="A437" s="34"/>
      <c r="B437" t="s">
        <v>627</v>
      </c>
      <c r="C437">
        <v>446.53</v>
      </c>
      <c r="D437" s="94">
        <v>7323451</v>
      </c>
      <c r="E437" s="73"/>
      <c r="F437" s="74"/>
      <c r="I437" s="34"/>
    </row>
    <row r="438" spans="1:9" x14ac:dyDescent="0.25">
      <c r="A438" s="34"/>
      <c r="B438" t="s">
        <v>628</v>
      </c>
      <c r="C438">
        <v>451.77</v>
      </c>
      <c r="D438" s="94">
        <v>9471054</v>
      </c>
      <c r="E438" s="73"/>
      <c r="F438" s="74"/>
      <c r="I438" s="34"/>
    </row>
    <row r="439" spans="1:9" x14ac:dyDescent="0.25">
      <c r="A439" s="34"/>
      <c r="B439" t="s">
        <v>629</v>
      </c>
      <c r="C439">
        <v>452.91</v>
      </c>
      <c r="D439" s="94">
        <v>16252992</v>
      </c>
      <c r="E439" s="73"/>
      <c r="F439" s="74"/>
      <c r="I439" s="34"/>
    </row>
    <row r="440" spans="1:9" x14ac:dyDescent="0.25">
      <c r="A440" s="34"/>
      <c r="B440" t="s">
        <v>630</v>
      </c>
      <c r="C440">
        <v>444.57</v>
      </c>
      <c r="D440" s="94">
        <v>7725081</v>
      </c>
      <c r="E440" s="73"/>
      <c r="F440" s="74"/>
      <c r="I440" s="34"/>
    </row>
    <row r="441" spans="1:9" x14ac:dyDescent="0.25">
      <c r="A441" s="34"/>
      <c r="B441" t="s">
        <v>631</v>
      </c>
      <c r="C441">
        <v>441.62</v>
      </c>
      <c r="D441" s="94">
        <v>10699143</v>
      </c>
      <c r="E441" s="73"/>
      <c r="F441" s="74"/>
      <c r="I441" s="34"/>
    </row>
    <row r="442" spans="1:9" x14ac:dyDescent="0.25">
      <c r="A442" s="34"/>
      <c r="B442" t="s">
        <v>632</v>
      </c>
      <c r="C442">
        <v>430.51</v>
      </c>
      <c r="D442" s="94">
        <v>9106074</v>
      </c>
      <c r="E442" s="73"/>
      <c r="F442" s="74"/>
      <c r="I442" s="34"/>
    </row>
    <row r="443" spans="1:9" x14ac:dyDescent="0.25">
      <c r="A443" s="34"/>
      <c r="B443" t="s">
        <v>633</v>
      </c>
      <c r="C443">
        <v>428.37</v>
      </c>
      <c r="D443" s="94">
        <v>12082753</v>
      </c>
      <c r="E443" s="73"/>
      <c r="F443" s="74"/>
      <c r="I443" s="34"/>
    </row>
    <row r="444" spans="1:9" x14ac:dyDescent="0.25">
      <c r="A444" s="34"/>
      <c r="B444" t="s">
        <v>634</v>
      </c>
      <c r="C444">
        <v>424.32</v>
      </c>
      <c r="D444" s="94">
        <v>4865596</v>
      </c>
      <c r="E444" s="73"/>
      <c r="F444" s="74"/>
      <c r="I444" s="34"/>
    </row>
    <row r="445" spans="1:9" x14ac:dyDescent="0.25">
      <c r="A445" s="34"/>
      <c r="B445" t="s">
        <v>635</v>
      </c>
      <c r="C445">
        <v>424.89</v>
      </c>
      <c r="D445" s="94">
        <v>5477339</v>
      </c>
      <c r="E445" s="73"/>
      <c r="F445" s="74"/>
      <c r="I445" s="34"/>
    </row>
    <row r="446" spans="1:9" x14ac:dyDescent="0.25">
      <c r="A446" s="34"/>
      <c r="B446" t="s">
        <v>636</v>
      </c>
      <c r="C446">
        <v>423.98</v>
      </c>
      <c r="D446" s="94">
        <v>6090901</v>
      </c>
      <c r="E446" s="73"/>
      <c r="F446" s="74"/>
      <c r="I446" s="34"/>
    </row>
    <row r="447" spans="1:9" x14ac:dyDescent="0.25">
      <c r="A447" s="34"/>
      <c r="B447" t="s">
        <v>637</v>
      </c>
      <c r="C447">
        <v>426.75</v>
      </c>
      <c r="D447" s="94">
        <v>6637099</v>
      </c>
      <c r="E447" s="73"/>
      <c r="F447" s="74"/>
      <c r="I447" s="34"/>
    </row>
    <row r="448" spans="1:9" x14ac:dyDescent="0.25">
      <c r="A448" s="34"/>
      <c r="B448" t="s">
        <v>638</v>
      </c>
      <c r="C448">
        <v>426.17</v>
      </c>
      <c r="D448" s="94">
        <v>6059504</v>
      </c>
      <c r="E448" s="73"/>
      <c r="F448" s="74"/>
      <c r="I448" s="34"/>
    </row>
    <row r="449" spans="1:9" x14ac:dyDescent="0.25">
      <c r="A449" s="34"/>
      <c r="B449" t="s">
        <v>639</v>
      </c>
      <c r="C449">
        <v>431.7</v>
      </c>
      <c r="D449" s="94">
        <v>4472119</v>
      </c>
      <c r="E449" s="73"/>
      <c r="F449" s="74"/>
      <c r="I449" s="34"/>
    </row>
    <row r="450" spans="1:9" x14ac:dyDescent="0.25">
      <c r="A450" s="34"/>
      <c r="B450" t="s">
        <v>640</v>
      </c>
      <c r="C450">
        <v>432.42</v>
      </c>
      <c r="D450" s="94">
        <v>4189180</v>
      </c>
      <c r="E450" s="73"/>
      <c r="F450" s="74"/>
      <c r="I450" s="34"/>
    </row>
    <row r="451" spans="1:9" x14ac:dyDescent="0.25">
      <c r="A451" s="34"/>
      <c r="B451" t="s">
        <v>641</v>
      </c>
      <c r="C451">
        <v>431.94</v>
      </c>
      <c r="D451" s="94">
        <v>11729681</v>
      </c>
      <c r="E451" s="73"/>
      <c r="F451" s="74"/>
      <c r="I451" s="34"/>
    </row>
    <row r="452" spans="1:9" x14ac:dyDescent="0.25">
      <c r="A452" s="34"/>
      <c r="B452" t="s">
        <v>642</v>
      </c>
      <c r="C452">
        <v>427.18</v>
      </c>
      <c r="D452" s="94">
        <v>7498727</v>
      </c>
      <c r="E452" s="73"/>
      <c r="F452" s="74"/>
      <c r="I452" s="34"/>
    </row>
    <row r="453" spans="1:9" x14ac:dyDescent="0.25">
      <c r="A453" s="34"/>
      <c r="B453" t="s">
        <v>643</v>
      </c>
      <c r="C453">
        <v>423.74</v>
      </c>
      <c r="D453" s="94">
        <v>8704178</v>
      </c>
      <c r="E453" s="73"/>
      <c r="F453" s="74"/>
      <c r="I453" s="34"/>
    </row>
    <row r="454" spans="1:9" x14ac:dyDescent="0.25">
      <c r="A454" s="34"/>
      <c r="B454" t="s">
        <v>644</v>
      </c>
      <c r="C454">
        <v>424.6</v>
      </c>
      <c r="D454" s="94">
        <v>16111860</v>
      </c>
      <c r="E454" s="73"/>
      <c r="F454" s="74"/>
      <c r="I454" s="34"/>
    </row>
    <row r="455" spans="1:9" x14ac:dyDescent="0.25">
      <c r="A455" s="34"/>
      <c r="B455" t="s">
        <v>645</v>
      </c>
      <c r="C455">
        <v>416.55</v>
      </c>
      <c r="D455" s="94">
        <v>8719176</v>
      </c>
      <c r="E455" s="73"/>
      <c r="F455" s="74"/>
      <c r="I455" s="34"/>
    </row>
    <row r="456" spans="1:9" x14ac:dyDescent="0.25">
      <c r="A456" s="34"/>
      <c r="B456" t="s">
        <v>646</v>
      </c>
      <c r="C456">
        <v>417.98</v>
      </c>
      <c r="D456" s="94">
        <v>7057843</v>
      </c>
      <c r="E456" s="73"/>
      <c r="F456" s="74"/>
      <c r="I456" s="34"/>
    </row>
    <row r="457" spans="1:9" x14ac:dyDescent="0.25">
      <c r="A457" s="34"/>
      <c r="B457" t="s">
        <v>647</v>
      </c>
      <c r="C457">
        <v>422.22</v>
      </c>
      <c r="D457" s="94">
        <v>7024424</v>
      </c>
      <c r="E457" s="73"/>
      <c r="F457" s="74"/>
      <c r="I457" s="34"/>
    </row>
    <row r="458" spans="1:9" x14ac:dyDescent="0.25">
      <c r="A458" s="34"/>
      <c r="B458" t="s">
        <v>648</v>
      </c>
      <c r="C458">
        <v>423.22</v>
      </c>
      <c r="D458" s="94">
        <v>7543432</v>
      </c>
      <c r="E458" s="73"/>
      <c r="F458" s="74"/>
      <c r="I458" s="34"/>
    </row>
    <row r="459" spans="1:9" x14ac:dyDescent="0.25">
      <c r="A459" s="34"/>
      <c r="B459" t="s">
        <v>649</v>
      </c>
      <c r="C459">
        <v>422.12</v>
      </c>
      <c r="D459" s="94">
        <v>6454486</v>
      </c>
      <c r="E459" s="73"/>
      <c r="F459" s="74"/>
      <c r="I459" s="34"/>
    </row>
    <row r="460" spans="1:9" x14ac:dyDescent="0.25">
      <c r="A460" s="34"/>
      <c r="B460" t="s">
        <v>650</v>
      </c>
      <c r="C460">
        <v>420.07</v>
      </c>
      <c r="D460" s="94">
        <v>7152179</v>
      </c>
      <c r="E460" s="73"/>
      <c r="F460" s="74"/>
      <c r="I460" s="34"/>
    </row>
    <row r="461" spans="1:9" x14ac:dyDescent="0.25">
      <c r="A461" s="34"/>
      <c r="B461" t="s">
        <v>651</v>
      </c>
      <c r="C461">
        <v>422.69</v>
      </c>
      <c r="D461" s="94">
        <v>9203842</v>
      </c>
      <c r="E461" s="73"/>
      <c r="F461" s="74"/>
      <c r="I461" s="34"/>
    </row>
    <row r="462" spans="1:9" x14ac:dyDescent="0.25">
      <c r="A462" s="34"/>
      <c r="B462" t="s">
        <v>652</v>
      </c>
      <c r="C462">
        <v>419.17</v>
      </c>
      <c r="D462" s="94">
        <v>8803137</v>
      </c>
      <c r="E462" s="73"/>
      <c r="F462" s="74"/>
      <c r="I462" s="34"/>
    </row>
    <row r="463" spans="1:9" x14ac:dyDescent="0.25">
      <c r="A463" s="34"/>
      <c r="B463" t="s">
        <v>653</v>
      </c>
      <c r="C463">
        <v>424.7</v>
      </c>
      <c r="D463" s="94">
        <v>14272292</v>
      </c>
      <c r="E463" s="73"/>
      <c r="F463" s="74"/>
      <c r="I463" s="34"/>
    </row>
    <row r="464" spans="1:9" x14ac:dyDescent="0.25">
      <c r="A464" s="34"/>
      <c r="B464" t="s">
        <v>654</v>
      </c>
      <c r="C464">
        <v>428.89</v>
      </c>
      <c r="D464" s="94">
        <v>18900002</v>
      </c>
      <c r="E464" s="73"/>
      <c r="F464" s="74"/>
      <c r="I464" s="34"/>
    </row>
    <row r="465" spans="1:9" x14ac:dyDescent="0.25">
      <c r="A465" s="34"/>
      <c r="B465" t="s">
        <v>655</v>
      </c>
      <c r="C465">
        <v>421.69</v>
      </c>
      <c r="D465" s="94">
        <v>19826254</v>
      </c>
      <c r="E465" s="73"/>
      <c r="F465" s="74"/>
      <c r="I465" s="34"/>
    </row>
    <row r="466" spans="1:9" x14ac:dyDescent="0.25">
      <c r="A466" s="34"/>
      <c r="B466" t="s">
        <v>656</v>
      </c>
      <c r="C466">
        <v>416.53</v>
      </c>
      <c r="D466" s="94">
        <v>12995706</v>
      </c>
      <c r="E466" s="73"/>
      <c r="F466" s="74"/>
      <c r="I466" s="34"/>
    </row>
    <row r="467" spans="1:9" x14ac:dyDescent="0.25">
      <c r="A467" s="34"/>
      <c r="B467" t="s">
        <v>657</v>
      </c>
      <c r="C467">
        <v>414.23</v>
      </c>
      <c r="D467" s="94">
        <v>18204464</v>
      </c>
      <c r="E467" s="73"/>
      <c r="F467" s="74"/>
      <c r="I467" s="34"/>
    </row>
    <row r="468" spans="1:9" x14ac:dyDescent="0.25">
      <c r="A468" s="34"/>
      <c r="B468" t="s">
        <v>658</v>
      </c>
      <c r="C468">
        <v>407.05</v>
      </c>
      <c r="D468" s="94">
        <v>11479706</v>
      </c>
      <c r="E468" s="73"/>
      <c r="F468" s="74"/>
      <c r="I468" s="34"/>
    </row>
    <row r="469" spans="1:9" x14ac:dyDescent="0.25">
      <c r="A469" s="34"/>
      <c r="B469" t="s">
        <v>659</v>
      </c>
      <c r="C469">
        <v>402.96</v>
      </c>
      <c r="D469" s="94">
        <v>8732608</v>
      </c>
      <c r="E469" s="73"/>
      <c r="F469" s="74"/>
      <c r="I469" s="34"/>
    </row>
    <row r="470" spans="1:9" x14ac:dyDescent="0.25">
      <c r="A470" s="34"/>
      <c r="B470" t="s">
        <v>660</v>
      </c>
      <c r="C470">
        <v>398.83</v>
      </c>
      <c r="D470" s="94">
        <v>15421680</v>
      </c>
      <c r="E470" s="73"/>
      <c r="F470" s="74"/>
      <c r="I470" s="34"/>
    </row>
    <row r="471" spans="1:9" x14ac:dyDescent="0.25">
      <c r="A471" s="34"/>
      <c r="B471" t="s">
        <v>661</v>
      </c>
      <c r="C471">
        <v>394.23</v>
      </c>
      <c r="D471" s="94">
        <v>25767521</v>
      </c>
      <c r="E471" s="73"/>
      <c r="F471" s="74"/>
      <c r="I471" s="34"/>
    </row>
    <row r="472" spans="1:9" x14ac:dyDescent="0.25">
      <c r="A472" s="34"/>
      <c r="B472" t="s">
        <v>662</v>
      </c>
      <c r="C472">
        <v>394.09</v>
      </c>
      <c r="D472" s="94">
        <v>23995166</v>
      </c>
      <c r="E472" s="73"/>
      <c r="F472" s="74"/>
      <c r="I472" s="34"/>
    </row>
    <row r="473" spans="1:9" x14ac:dyDescent="0.25">
      <c r="A473" s="34"/>
      <c r="B473" t="s">
        <v>663</v>
      </c>
      <c r="C473">
        <v>401.51</v>
      </c>
      <c r="D473" s="94">
        <v>9479691</v>
      </c>
      <c r="E473" s="73"/>
      <c r="F473" s="74"/>
      <c r="I473" s="34"/>
    </row>
    <row r="474" spans="1:9" x14ac:dyDescent="0.25">
      <c r="A474" s="34"/>
      <c r="B474" t="s">
        <v>664</v>
      </c>
      <c r="C474">
        <v>398.08</v>
      </c>
      <c r="D474" s="94">
        <v>7994197</v>
      </c>
      <c r="E474" s="73"/>
      <c r="F474" s="74"/>
      <c r="I474" s="34"/>
    </row>
    <row r="475" spans="1:9" x14ac:dyDescent="0.25">
      <c r="A475" s="34"/>
      <c r="B475" t="s">
        <v>665</v>
      </c>
      <c r="C475">
        <v>401.69</v>
      </c>
      <c r="D475" s="94">
        <v>9151102</v>
      </c>
      <c r="E475" s="73"/>
      <c r="F475" s="74"/>
      <c r="I475" s="34"/>
    </row>
    <row r="476" spans="1:9" x14ac:dyDescent="0.25">
      <c r="A476" s="34"/>
      <c r="B476" t="s">
        <v>666</v>
      </c>
      <c r="C476">
        <v>394.79</v>
      </c>
      <c r="D476" s="94">
        <v>11135894</v>
      </c>
      <c r="E476" s="73"/>
      <c r="F476" s="74"/>
      <c r="I476" s="34"/>
    </row>
    <row r="477" spans="1:9" x14ac:dyDescent="0.25">
      <c r="A477" s="34"/>
      <c r="B477" t="s">
        <v>667</v>
      </c>
      <c r="C477">
        <v>394.74</v>
      </c>
      <c r="D477" s="94">
        <v>15982423</v>
      </c>
      <c r="E477" s="73"/>
      <c r="F477" s="74"/>
      <c r="I477" s="34"/>
    </row>
    <row r="478" spans="1:9" x14ac:dyDescent="0.25">
      <c r="A478" s="34"/>
      <c r="B478" t="s">
        <v>668</v>
      </c>
      <c r="C478">
        <v>399.39</v>
      </c>
      <c r="D478" s="94">
        <v>9754485</v>
      </c>
      <c r="E478" s="73"/>
      <c r="F478" s="74"/>
      <c r="I478" s="34"/>
    </row>
    <row r="479" spans="1:9" x14ac:dyDescent="0.25">
      <c r="A479" s="34"/>
      <c r="B479" t="s">
        <v>669</v>
      </c>
      <c r="C479">
        <v>397.94</v>
      </c>
      <c r="D479" s="94">
        <v>9992962</v>
      </c>
      <c r="E479" s="73"/>
      <c r="F479" s="74"/>
      <c r="I479" s="34"/>
    </row>
    <row r="480" spans="1:9" x14ac:dyDescent="0.25">
      <c r="A480" s="34"/>
      <c r="B480" t="s">
        <v>670</v>
      </c>
      <c r="C480">
        <v>405.12</v>
      </c>
      <c r="D480" s="94">
        <v>7243636</v>
      </c>
      <c r="E480" s="73"/>
      <c r="F480" s="74"/>
      <c r="I480" s="34"/>
    </row>
    <row r="481" spans="1:9" x14ac:dyDescent="0.25">
      <c r="A481" s="34"/>
      <c r="B481" t="s">
        <v>671</v>
      </c>
      <c r="C481">
        <v>402.59</v>
      </c>
      <c r="D481" s="94">
        <v>12412416</v>
      </c>
      <c r="E481" s="73"/>
      <c r="F481" s="74"/>
      <c r="I481" s="34"/>
    </row>
    <row r="482" spans="1:9" x14ac:dyDescent="0.25">
      <c r="A482" s="34"/>
      <c r="B482" t="s">
        <v>672</v>
      </c>
      <c r="C482">
        <v>398.69</v>
      </c>
      <c r="D482" s="94">
        <v>7984933</v>
      </c>
      <c r="E482" s="73"/>
      <c r="F482" s="74"/>
      <c r="I482" s="34"/>
    </row>
    <row r="483" spans="1:9" x14ac:dyDescent="0.25">
      <c r="A483" s="34"/>
      <c r="B483" t="s">
        <v>673</v>
      </c>
      <c r="C483">
        <v>401.08</v>
      </c>
      <c r="D483" s="94">
        <v>7325483</v>
      </c>
      <c r="E483" s="73"/>
      <c r="F483" s="74"/>
      <c r="I483" s="34"/>
    </row>
    <row r="484" spans="1:9" x14ac:dyDescent="0.25">
      <c r="A484" s="34"/>
      <c r="B484" t="s">
        <v>674</v>
      </c>
      <c r="C484">
        <v>398.55</v>
      </c>
      <c r="D484" s="94">
        <v>10253527</v>
      </c>
      <c r="E484" s="73"/>
      <c r="F484" s="74"/>
      <c r="I484" s="34"/>
    </row>
    <row r="485" spans="1:9" x14ac:dyDescent="0.25">
      <c r="A485" s="34"/>
      <c r="B485" t="s">
        <v>675</v>
      </c>
      <c r="C485">
        <v>399.58</v>
      </c>
      <c r="D485" s="94">
        <v>12718721</v>
      </c>
      <c r="E485" s="73"/>
      <c r="F485" s="74"/>
      <c r="I485" s="34"/>
    </row>
    <row r="486" spans="1:9" x14ac:dyDescent="0.25">
      <c r="A486" s="34"/>
      <c r="B486" t="s">
        <v>676</v>
      </c>
      <c r="C486">
        <v>390.61</v>
      </c>
      <c r="D486" s="94">
        <v>12614263</v>
      </c>
      <c r="E486" s="73"/>
      <c r="F486" s="74"/>
      <c r="I486" s="34"/>
    </row>
    <row r="487" spans="1:9" x14ac:dyDescent="0.25">
      <c r="A487" s="34"/>
      <c r="B487" t="s">
        <v>677</v>
      </c>
      <c r="C487">
        <v>387.09</v>
      </c>
      <c r="D487" s="94">
        <v>7620723</v>
      </c>
      <c r="E487" s="73"/>
      <c r="F487" s="74"/>
      <c r="I487" s="34"/>
    </row>
    <row r="488" spans="1:9" x14ac:dyDescent="0.25">
      <c r="A488" s="34"/>
      <c r="B488" t="s">
        <v>678</v>
      </c>
      <c r="C488">
        <v>386.44</v>
      </c>
      <c r="D488" s="94">
        <v>8840188</v>
      </c>
      <c r="E488" s="73"/>
      <c r="F488" s="74"/>
      <c r="I488" s="34"/>
    </row>
    <row r="489" spans="1:9" x14ac:dyDescent="0.25">
      <c r="A489" s="34"/>
      <c r="B489" t="s">
        <v>679</v>
      </c>
      <c r="C489">
        <v>383.76</v>
      </c>
      <c r="D489" s="94">
        <v>5981760</v>
      </c>
      <c r="E489" s="73"/>
      <c r="F489" s="74"/>
      <c r="I489" s="34"/>
    </row>
    <row r="490" spans="1:9" x14ac:dyDescent="0.25">
      <c r="A490" s="34"/>
      <c r="B490" t="s">
        <v>680</v>
      </c>
      <c r="C490">
        <v>383.34</v>
      </c>
      <c r="D490" s="94">
        <v>14252204</v>
      </c>
      <c r="E490" s="73"/>
      <c r="F490" s="74"/>
      <c r="I490" s="34"/>
    </row>
    <row r="491" spans="1:9" x14ac:dyDescent="0.25">
      <c r="A491" s="34"/>
      <c r="B491" t="s">
        <v>681</v>
      </c>
      <c r="C491">
        <v>375.87</v>
      </c>
      <c r="D491" s="94">
        <v>6667781</v>
      </c>
      <c r="E491" s="73"/>
      <c r="F491" s="74"/>
      <c r="I491" s="34"/>
    </row>
    <row r="492" spans="1:9" x14ac:dyDescent="0.25">
      <c r="A492" s="34"/>
      <c r="B492" t="s">
        <v>682</v>
      </c>
      <c r="C492">
        <v>374.42</v>
      </c>
      <c r="D492" s="94">
        <v>9744202</v>
      </c>
      <c r="E492" s="73"/>
      <c r="F492" s="74"/>
      <c r="I492" s="34"/>
    </row>
    <row r="493" spans="1:9" x14ac:dyDescent="0.25">
      <c r="A493" s="34"/>
      <c r="B493" t="s">
        <v>683</v>
      </c>
      <c r="C493">
        <v>374.18</v>
      </c>
      <c r="D493" s="94">
        <v>9494641</v>
      </c>
      <c r="E493" s="73"/>
      <c r="F493" s="74"/>
      <c r="I493" s="34"/>
    </row>
    <row r="494" spans="1:9" x14ac:dyDescent="0.25">
      <c r="A494" s="34"/>
      <c r="B494" t="s">
        <v>684</v>
      </c>
      <c r="C494">
        <v>375.73</v>
      </c>
      <c r="D494" s="94">
        <v>11041243</v>
      </c>
      <c r="E494" s="73"/>
      <c r="F494" s="74"/>
      <c r="I494" s="34"/>
    </row>
    <row r="495" spans="1:9" x14ac:dyDescent="0.25">
      <c r="A495" s="34"/>
      <c r="B495" t="s">
        <v>685</v>
      </c>
      <c r="C495">
        <v>371.46</v>
      </c>
      <c r="D495" s="94">
        <v>6059044</v>
      </c>
      <c r="E495" s="73"/>
      <c r="F495" s="74"/>
      <c r="I495" s="34"/>
    </row>
    <row r="496" spans="1:9" x14ac:dyDescent="0.25">
      <c r="A496" s="34"/>
      <c r="B496" t="s">
        <v>686</v>
      </c>
      <c r="C496">
        <v>369.53</v>
      </c>
      <c r="D496" s="94">
        <v>9747526</v>
      </c>
      <c r="E496" s="73"/>
      <c r="F496" s="74"/>
      <c r="I496" s="34"/>
    </row>
    <row r="497" spans="1:9" x14ac:dyDescent="0.25">
      <c r="A497" s="34"/>
      <c r="B497" t="s">
        <v>687</v>
      </c>
      <c r="C497">
        <v>371.83</v>
      </c>
      <c r="D497" s="94">
        <v>18237451</v>
      </c>
      <c r="E497" s="73"/>
      <c r="F497" s="74"/>
      <c r="I497" s="34"/>
    </row>
    <row r="498" spans="1:9" x14ac:dyDescent="0.25">
      <c r="A498" s="34"/>
      <c r="B498" t="s">
        <v>688</v>
      </c>
      <c r="C498">
        <v>364.84</v>
      </c>
      <c r="D498" s="94">
        <v>6783022</v>
      </c>
      <c r="E498" s="73"/>
      <c r="F498" s="74"/>
      <c r="I498" s="34"/>
    </row>
    <row r="499" spans="1:9" x14ac:dyDescent="0.25">
      <c r="A499" s="34"/>
      <c r="B499" t="s">
        <v>689</v>
      </c>
      <c r="C499">
        <v>363.71</v>
      </c>
      <c r="D499" s="94">
        <v>12897667</v>
      </c>
      <c r="E499" s="73"/>
      <c r="F499" s="74"/>
      <c r="I499" s="34"/>
    </row>
    <row r="500" spans="1:9" x14ac:dyDescent="0.25">
      <c r="A500" s="34"/>
      <c r="B500" t="s">
        <v>690</v>
      </c>
      <c r="C500">
        <v>362.82</v>
      </c>
      <c r="D500" s="94">
        <v>11608424</v>
      </c>
      <c r="E500" s="73"/>
      <c r="F500" s="74"/>
      <c r="I500" s="34"/>
    </row>
    <row r="501" spans="1:9" x14ac:dyDescent="0.25">
      <c r="A501" s="34"/>
      <c r="B501" t="s">
        <v>691</v>
      </c>
      <c r="C501">
        <v>355.78</v>
      </c>
      <c r="D501" s="94">
        <v>7059200</v>
      </c>
      <c r="E501" s="73"/>
      <c r="F501" s="74"/>
      <c r="I501" s="34"/>
    </row>
    <row r="502" spans="1:9" x14ac:dyDescent="0.25">
      <c r="A502" s="34"/>
      <c r="B502" t="s">
        <v>692</v>
      </c>
      <c r="C502">
        <v>360.1</v>
      </c>
      <c r="D502" s="94">
        <v>9511189</v>
      </c>
      <c r="E502" s="73"/>
      <c r="F502" s="74"/>
      <c r="I502" s="34"/>
    </row>
    <row r="503" spans="1:9" x14ac:dyDescent="0.25">
      <c r="A503" s="34"/>
      <c r="B503" t="s">
        <v>693</v>
      </c>
      <c r="C503">
        <v>359.39</v>
      </c>
      <c r="D503" s="94">
        <v>10160322</v>
      </c>
      <c r="E503" s="73"/>
      <c r="F503" s="74"/>
      <c r="I503" s="34"/>
    </row>
    <row r="504" spans="1:9" x14ac:dyDescent="0.25">
      <c r="A504" s="34"/>
      <c r="B504" t="s">
        <v>694</v>
      </c>
      <c r="C504">
        <v>356.58</v>
      </c>
      <c r="D504" s="94">
        <v>9170535</v>
      </c>
      <c r="E504" s="73"/>
      <c r="F504" s="74"/>
      <c r="I504" s="34"/>
    </row>
    <row r="505" spans="1:9" x14ac:dyDescent="0.25">
      <c r="A505" s="34"/>
      <c r="B505" t="s">
        <v>695</v>
      </c>
      <c r="C505">
        <v>357</v>
      </c>
      <c r="D505" s="94">
        <v>10816352</v>
      </c>
      <c r="E505" s="73"/>
      <c r="F505" s="74"/>
      <c r="I505" s="34"/>
    </row>
    <row r="506" spans="1:9" x14ac:dyDescent="0.25">
      <c r="A506" s="34"/>
      <c r="B506" t="s">
        <v>696</v>
      </c>
      <c r="C506">
        <v>355.59</v>
      </c>
      <c r="D506" s="94">
        <v>9934501</v>
      </c>
      <c r="E506" s="73"/>
      <c r="F506" s="74"/>
      <c r="I506" s="34"/>
    </row>
    <row r="507" spans="1:9" x14ac:dyDescent="0.25">
      <c r="A507" s="34"/>
      <c r="B507" t="s">
        <v>697</v>
      </c>
      <c r="C507">
        <v>357.42</v>
      </c>
      <c r="D507" s="94">
        <v>9752326</v>
      </c>
      <c r="E507" s="73"/>
      <c r="F507" s="74"/>
      <c r="I507" s="34"/>
    </row>
    <row r="508" spans="1:9" x14ac:dyDescent="0.25">
      <c r="A508" s="34"/>
      <c r="B508" t="s">
        <v>698</v>
      </c>
      <c r="C508">
        <v>354.7</v>
      </c>
      <c r="D508" s="94">
        <v>4774867</v>
      </c>
      <c r="E508" s="73"/>
      <c r="F508" s="74"/>
      <c r="I508" s="34"/>
    </row>
    <row r="509" spans="1:9" x14ac:dyDescent="0.25">
      <c r="A509" s="34"/>
      <c r="B509" t="s">
        <v>699</v>
      </c>
      <c r="C509">
        <v>353.95</v>
      </c>
      <c r="D509" s="94">
        <v>11610832</v>
      </c>
      <c r="E509" s="73"/>
      <c r="F509" s="74"/>
      <c r="I509" s="34"/>
    </row>
    <row r="510" spans="1:9" x14ac:dyDescent="0.25">
      <c r="A510" s="34"/>
      <c r="B510" t="s">
        <v>700</v>
      </c>
      <c r="C510">
        <v>355.68</v>
      </c>
      <c r="D510" s="94">
        <v>10122167</v>
      </c>
      <c r="E510" s="73"/>
      <c r="F510" s="74"/>
      <c r="I510" s="34"/>
    </row>
    <row r="511" spans="1:9" x14ac:dyDescent="0.25">
      <c r="A511" s="34"/>
      <c r="B511" t="s">
        <v>701</v>
      </c>
      <c r="C511">
        <v>352.63</v>
      </c>
      <c r="D511" s="94">
        <v>48904254</v>
      </c>
      <c r="E511" s="73"/>
      <c r="F511" s="74"/>
      <c r="I511" s="34"/>
    </row>
    <row r="512" spans="1:9" x14ac:dyDescent="0.25">
      <c r="A512" s="34"/>
      <c r="B512" t="s">
        <v>702</v>
      </c>
      <c r="C512">
        <v>358.17</v>
      </c>
      <c r="D512" s="94">
        <v>15710094</v>
      </c>
      <c r="E512" s="73"/>
      <c r="F512" s="74"/>
      <c r="I512" s="34"/>
    </row>
    <row r="513" spans="1:9" x14ac:dyDescent="0.25">
      <c r="A513" s="34"/>
      <c r="B513" t="s">
        <v>703</v>
      </c>
      <c r="C513">
        <v>356.25</v>
      </c>
      <c r="D513" s="94">
        <v>8423692</v>
      </c>
      <c r="E513" s="73"/>
      <c r="F513" s="74"/>
      <c r="I513" s="34"/>
    </row>
    <row r="514" spans="1:9" x14ac:dyDescent="0.25">
      <c r="A514" s="34"/>
      <c r="B514" t="s">
        <v>704</v>
      </c>
      <c r="C514">
        <v>356.53</v>
      </c>
      <c r="D514" s="94">
        <v>10229766</v>
      </c>
      <c r="E514" s="73"/>
      <c r="F514" s="74"/>
      <c r="I514" s="34"/>
    </row>
    <row r="515" spans="1:9" x14ac:dyDescent="0.25">
      <c r="A515" s="34"/>
      <c r="B515" t="s">
        <v>705</v>
      </c>
      <c r="C515">
        <v>360.24</v>
      </c>
      <c r="D515" s="94">
        <v>8791872</v>
      </c>
      <c r="E515" s="73"/>
      <c r="F515" s="74"/>
      <c r="I515" s="34"/>
    </row>
    <row r="516" spans="1:9" x14ac:dyDescent="0.25">
      <c r="A516" s="34"/>
      <c r="B516" t="s">
        <v>706</v>
      </c>
      <c r="C516">
        <v>364.32</v>
      </c>
      <c r="D516" s="94">
        <v>8362265</v>
      </c>
      <c r="E516" s="73"/>
      <c r="F516" s="74"/>
      <c r="I516" s="34"/>
    </row>
    <row r="517" spans="1:9" x14ac:dyDescent="0.25">
      <c r="A517" s="34"/>
      <c r="B517" t="s">
        <v>707</v>
      </c>
      <c r="C517">
        <v>363.85</v>
      </c>
      <c r="D517" s="94">
        <v>9634283</v>
      </c>
      <c r="E517" s="73"/>
      <c r="F517" s="74"/>
      <c r="I517" s="34"/>
    </row>
    <row r="518" spans="1:9" x14ac:dyDescent="0.25">
      <c r="A518" s="34"/>
      <c r="B518" t="s">
        <v>708</v>
      </c>
      <c r="C518">
        <v>368.45</v>
      </c>
      <c r="D518" s="94">
        <v>8917699</v>
      </c>
      <c r="E518" s="73"/>
      <c r="F518" s="74"/>
      <c r="I518" s="34"/>
    </row>
    <row r="519" spans="1:9" x14ac:dyDescent="0.25">
      <c r="A519" s="34"/>
      <c r="B519" t="s">
        <v>709</v>
      </c>
      <c r="C519">
        <v>364.46</v>
      </c>
      <c r="D519" s="94">
        <v>10714339</v>
      </c>
      <c r="E519" s="73"/>
      <c r="F519" s="74"/>
      <c r="I519" s="34"/>
    </row>
    <row r="520" spans="1:9" x14ac:dyDescent="0.25">
      <c r="A520" s="34"/>
      <c r="B520" t="s">
        <v>710</v>
      </c>
      <c r="C520">
        <v>361.46</v>
      </c>
      <c r="D520" s="94">
        <v>8180709</v>
      </c>
      <c r="E520" s="73"/>
      <c r="F520" s="74"/>
      <c r="I520" s="34"/>
    </row>
    <row r="521" spans="1:9" x14ac:dyDescent="0.25">
      <c r="A521" s="34"/>
      <c r="B521" t="s">
        <v>711</v>
      </c>
      <c r="C521">
        <v>352.63</v>
      </c>
      <c r="D521" s="94">
        <v>5019603</v>
      </c>
      <c r="E521" s="73"/>
      <c r="F521" s="74"/>
      <c r="I521" s="34"/>
    </row>
    <row r="522" spans="1:9" x14ac:dyDescent="0.25">
      <c r="A522" s="34"/>
      <c r="B522" t="s">
        <v>712</v>
      </c>
      <c r="C522">
        <v>355.59</v>
      </c>
      <c r="D522" s="94">
        <v>7766667</v>
      </c>
      <c r="E522" s="73"/>
      <c r="F522" s="74"/>
      <c r="I522" s="34"/>
    </row>
    <row r="523" spans="1:9" x14ac:dyDescent="0.25">
      <c r="A523" s="34"/>
      <c r="B523" t="s">
        <v>713</v>
      </c>
      <c r="C523">
        <v>353.71</v>
      </c>
      <c r="D523" s="94">
        <v>16367477</v>
      </c>
      <c r="E523" s="73"/>
      <c r="F523" s="74"/>
      <c r="I523" s="34"/>
    </row>
    <row r="524" spans="1:9" x14ac:dyDescent="0.25">
      <c r="A524" s="34"/>
      <c r="B524" t="s">
        <v>714</v>
      </c>
      <c r="C524">
        <v>358.88</v>
      </c>
      <c r="D524" s="94">
        <v>8142319</v>
      </c>
      <c r="E524" s="73"/>
      <c r="F524" s="74"/>
      <c r="I524" s="34"/>
    </row>
    <row r="525" spans="1:9" x14ac:dyDescent="0.25">
      <c r="A525" s="34"/>
      <c r="B525" t="s">
        <v>715</v>
      </c>
      <c r="C525">
        <v>361.6</v>
      </c>
      <c r="D525" s="94">
        <v>12910220</v>
      </c>
      <c r="E525" s="73"/>
      <c r="F525" s="74"/>
      <c r="I525" s="34"/>
    </row>
    <row r="526" spans="1:9" x14ac:dyDescent="0.25">
      <c r="A526" s="34"/>
      <c r="B526" t="s">
        <v>716</v>
      </c>
      <c r="C526">
        <v>363.95</v>
      </c>
      <c r="D526" s="94">
        <v>18830592</v>
      </c>
      <c r="E526" s="73"/>
      <c r="F526" s="74"/>
      <c r="I526" s="34"/>
    </row>
    <row r="527" spans="1:9" x14ac:dyDescent="0.25">
      <c r="A527" s="34"/>
      <c r="B527" t="s">
        <v>717</v>
      </c>
      <c r="C527">
        <v>360.43</v>
      </c>
      <c r="D527" s="94">
        <v>8961077</v>
      </c>
      <c r="E527" s="73"/>
      <c r="F527" s="74"/>
      <c r="I527" s="34"/>
    </row>
    <row r="528" spans="1:9" x14ac:dyDescent="0.25">
      <c r="A528" s="34"/>
      <c r="B528" t="s">
        <v>718</v>
      </c>
      <c r="C528">
        <v>358.92</v>
      </c>
      <c r="D528" s="94">
        <v>8259574</v>
      </c>
      <c r="E528" s="73"/>
      <c r="F528" s="74"/>
      <c r="I528" s="34"/>
    </row>
    <row r="529" spans="1:9" x14ac:dyDescent="0.25">
      <c r="A529" s="34"/>
      <c r="B529" t="s">
        <v>719</v>
      </c>
      <c r="C529">
        <v>360.61</v>
      </c>
      <c r="D529" s="94">
        <v>7804976</v>
      </c>
      <c r="E529" s="73"/>
      <c r="F529" s="74"/>
      <c r="I529" s="34"/>
    </row>
    <row r="530" spans="1:9" x14ac:dyDescent="0.25">
      <c r="A530" s="34"/>
      <c r="B530" t="s">
        <v>720</v>
      </c>
      <c r="C530">
        <v>360</v>
      </c>
      <c r="D530" s="94">
        <v>7672135</v>
      </c>
      <c r="E530" s="73"/>
      <c r="F530" s="74"/>
      <c r="I530" s="34"/>
    </row>
    <row r="531" spans="1:9" x14ac:dyDescent="0.25">
      <c r="A531" s="34"/>
      <c r="B531" t="s">
        <v>721</v>
      </c>
      <c r="C531">
        <v>359.2</v>
      </c>
      <c r="D531" s="94">
        <v>9775280</v>
      </c>
      <c r="E531" s="73"/>
      <c r="F531" s="74"/>
      <c r="I531" s="34"/>
    </row>
    <row r="532" spans="1:9" x14ac:dyDescent="0.25">
      <c r="A532" s="34"/>
      <c r="B532" t="s">
        <v>722</v>
      </c>
      <c r="C532">
        <v>358.88</v>
      </c>
      <c r="D532" s="94">
        <v>12209350</v>
      </c>
      <c r="E532" s="73"/>
      <c r="F532" s="74"/>
      <c r="I532" s="34"/>
    </row>
    <row r="533" spans="1:9" x14ac:dyDescent="0.25">
      <c r="A533" s="34"/>
      <c r="B533" t="s">
        <v>723</v>
      </c>
      <c r="C533">
        <v>357.23</v>
      </c>
      <c r="D533" s="94">
        <v>29125052</v>
      </c>
      <c r="E533" s="73"/>
      <c r="F533" s="74"/>
      <c r="I533" s="34"/>
    </row>
    <row r="534" spans="1:9" x14ac:dyDescent="0.25">
      <c r="A534" s="34"/>
      <c r="B534" t="s">
        <v>724</v>
      </c>
      <c r="C534">
        <v>345.91</v>
      </c>
      <c r="D534" s="94">
        <v>9901148</v>
      </c>
      <c r="E534" s="73"/>
      <c r="F534" s="74"/>
      <c r="I534" s="34"/>
    </row>
    <row r="535" spans="1:9" x14ac:dyDescent="0.25">
      <c r="A535" s="34"/>
      <c r="B535" t="s">
        <v>725</v>
      </c>
      <c r="C535">
        <v>343.27</v>
      </c>
      <c r="D535" s="94">
        <v>10278597</v>
      </c>
      <c r="E535" s="73"/>
      <c r="F535" s="74"/>
      <c r="I535" s="34"/>
    </row>
    <row r="536" spans="1:9" x14ac:dyDescent="0.25">
      <c r="A536" s="34"/>
      <c r="B536" t="s">
        <v>726</v>
      </c>
      <c r="C536">
        <v>345.96</v>
      </c>
      <c r="D536" s="94">
        <v>11861196</v>
      </c>
      <c r="E536" s="73"/>
      <c r="F536" s="74"/>
      <c r="I536" s="34"/>
    </row>
    <row r="537" spans="1:9" x14ac:dyDescent="0.25">
      <c r="A537" s="34"/>
      <c r="B537" t="s">
        <v>727</v>
      </c>
      <c r="C537">
        <v>347.16</v>
      </c>
      <c r="D537" s="94">
        <v>10420462</v>
      </c>
      <c r="E537" s="73"/>
      <c r="F537" s="74"/>
      <c r="I537" s="34"/>
    </row>
    <row r="538" spans="1:9" x14ac:dyDescent="0.25">
      <c r="A538" s="34"/>
      <c r="B538" t="s">
        <v>728</v>
      </c>
      <c r="C538">
        <v>345.03</v>
      </c>
      <c r="D538" s="94">
        <v>20643707</v>
      </c>
      <c r="E538" s="73"/>
      <c r="F538" s="74"/>
      <c r="I538" s="34"/>
    </row>
    <row r="539" spans="1:9" x14ac:dyDescent="0.25">
      <c r="A539" s="34"/>
      <c r="B539" t="s">
        <v>729</v>
      </c>
      <c r="C539">
        <v>354.41</v>
      </c>
      <c r="D539" s="94">
        <v>25790153</v>
      </c>
      <c r="E539" s="73"/>
      <c r="F539" s="74"/>
      <c r="I539" s="34"/>
    </row>
    <row r="540" spans="1:9" x14ac:dyDescent="0.25">
      <c r="A540" s="34"/>
      <c r="B540" t="s">
        <v>730</v>
      </c>
      <c r="C540">
        <v>351.87</v>
      </c>
      <c r="D540" s="94">
        <v>22295321</v>
      </c>
      <c r="E540" s="73"/>
      <c r="F540" s="74"/>
      <c r="I540" s="34"/>
    </row>
    <row r="541" spans="1:9" x14ac:dyDescent="0.25">
      <c r="A541" s="34"/>
      <c r="B541" t="s">
        <v>731</v>
      </c>
      <c r="C541">
        <v>349.98</v>
      </c>
      <c r="D541" s="94">
        <v>55745171</v>
      </c>
      <c r="E541" s="73"/>
      <c r="F541" s="74"/>
      <c r="I541" s="34"/>
    </row>
    <row r="542" spans="1:9" x14ac:dyDescent="0.25">
      <c r="A542" s="34"/>
      <c r="B542" t="s">
        <v>732</v>
      </c>
      <c r="C542">
        <v>334.08</v>
      </c>
      <c r="D542" s="94">
        <v>64518967</v>
      </c>
      <c r="E542" s="73"/>
      <c r="F542" s="74"/>
      <c r="I542" s="34"/>
    </row>
    <row r="543" spans="1:9" x14ac:dyDescent="0.25">
      <c r="A543" s="34"/>
      <c r="B543" t="s">
        <v>733</v>
      </c>
      <c r="C543">
        <v>325.70999999999998</v>
      </c>
      <c r="D543" s="94">
        <v>17134291</v>
      </c>
      <c r="E543" s="73"/>
      <c r="F543" s="74"/>
      <c r="I543" s="34"/>
    </row>
    <row r="544" spans="1:9" x14ac:dyDescent="0.25">
      <c r="A544" s="34"/>
      <c r="B544" t="s">
        <v>734</v>
      </c>
      <c r="C544">
        <v>318.73</v>
      </c>
      <c r="D544" s="94">
        <v>14091519</v>
      </c>
      <c r="E544" s="73"/>
      <c r="F544" s="74"/>
      <c r="I544" s="34"/>
    </row>
    <row r="545" spans="1:9" x14ac:dyDescent="0.25">
      <c r="A545" s="34"/>
      <c r="B545" t="s">
        <v>735</v>
      </c>
      <c r="C545">
        <v>319.83999999999997</v>
      </c>
      <c r="D545" s="94">
        <v>21040139</v>
      </c>
      <c r="E545" s="73"/>
      <c r="F545" s="74"/>
      <c r="I545" s="34"/>
    </row>
    <row r="546" spans="1:9" x14ac:dyDescent="0.25">
      <c r="A546" s="34"/>
      <c r="B546" t="s">
        <v>736</v>
      </c>
      <c r="C546">
        <v>313.60000000000002</v>
      </c>
      <c r="D546" s="94">
        <v>12497542</v>
      </c>
      <c r="E546" s="73"/>
      <c r="F546" s="74"/>
      <c r="I546" s="34"/>
    </row>
    <row r="547" spans="1:9" x14ac:dyDescent="0.25">
      <c r="A547" s="34"/>
      <c r="B547" t="s">
        <v>737</v>
      </c>
      <c r="C547">
        <v>313.32</v>
      </c>
      <c r="D547" s="94">
        <v>12302874</v>
      </c>
      <c r="E547" s="73"/>
      <c r="F547" s="74"/>
      <c r="I547" s="34"/>
    </row>
    <row r="548" spans="1:9" x14ac:dyDescent="0.25">
      <c r="A548" s="34"/>
      <c r="B548" t="s">
        <v>738</v>
      </c>
      <c r="C548">
        <v>312.20999999999998</v>
      </c>
      <c r="D548" s="94">
        <v>7124807</v>
      </c>
      <c r="E548" s="73"/>
      <c r="F548" s="74"/>
      <c r="I548" s="34"/>
    </row>
    <row r="549" spans="1:9" x14ac:dyDescent="0.25">
      <c r="A549" s="34"/>
      <c r="B549" t="s">
        <v>739</v>
      </c>
      <c r="C549">
        <v>309.3</v>
      </c>
      <c r="D549" s="94">
        <v>13103664</v>
      </c>
      <c r="E549" s="73"/>
      <c r="F549" s="74"/>
      <c r="I549" s="34"/>
    </row>
    <row r="550" spans="1:9" x14ac:dyDescent="0.25">
      <c r="A550" s="34"/>
      <c r="B550" t="s">
        <v>740</v>
      </c>
      <c r="C550">
        <v>307.04000000000002</v>
      </c>
      <c r="D550" s="94">
        <v>8346130</v>
      </c>
      <c r="E550" s="73"/>
      <c r="F550" s="74"/>
      <c r="I550" s="34"/>
    </row>
    <row r="551" spans="1:9" x14ac:dyDescent="0.25">
      <c r="A551" s="34"/>
      <c r="B551" t="s">
        <v>741</v>
      </c>
      <c r="C551">
        <v>309.35000000000002</v>
      </c>
      <c r="D551" s="94">
        <v>12555527</v>
      </c>
      <c r="E551" s="73"/>
      <c r="F551" s="74"/>
      <c r="I551" s="34"/>
    </row>
    <row r="552" spans="1:9" x14ac:dyDescent="0.25">
      <c r="A552" s="34"/>
      <c r="B552" t="s">
        <v>742</v>
      </c>
      <c r="C552">
        <v>307.13</v>
      </c>
      <c r="D552" s="94">
        <v>13712537</v>
      </c>
      <c r="E552" s="73"/>
      <c r="F552" s="74"/>
      <c r="I552" s="34"/>
    </row>
    <row r="553" spans="1:9" x14ac:dyDescent="0.25">
      <c r="A553" s="34"/>
      <c r="B553" t="s">
        <v>743</v>
      </c>
      <c r="C553">
        <v>305.24</v>
      </c>
      <c r="D553" s="94">
        <v>8253942</v>
      </c>
      <c r="E553" s="73"/>
      <c r="F553" s="74"/>
      <c r="I553" s="34"/>
    </row>
    <row r="554" spans="1:9" x14ac:dyDescent="0.25">
      <c r="A554" s="34"/>
      <c r="B554" t="s">
        <v>744</v>
      </c>
      <c r="C554">
        <v>303.89999999999998</v>
      </c>
      <c r="D554" s="94">
        <v>14412671</v>
      </c>
      <c r="E554" s="73"/>
      <c r="F554" s="74"/>
      <c r="I554" s="34"/>
    </row>
    <row r="555" spans="1:9" x14ac:dyDescent="0.25">
      <c r="A555" s="34"/>
      <c r="B555" t="s">
        <v>745</v>
      </c>
      <c r="C555">
        <v>304.91000000000003</v>
      </c>
      <c r="D555" s="94">
        <v>6638422</v>
      </c>
      <c r="E555" s="73"/>
      <c r="F555" s="74"/>
      <c r="I555" s="34"/>
    </row>
    <row r="556" spans="1:9" x14ac:dyDescent="0.25">
      <c r="A556" s="34"/>
      <c r="B556" t="s">
        <v>746</v>
      </c>
      <c r="C556">
        <v>306.70999999999998</v>
      </c>
      <c r="D556" s="94">
        <v>4584293</v>
      </c>
      <c r="E556" s="73"/>
      <c r="F556" s="74"/>
      <c r="I556" s="34"/>
    </row>
    <row r="557" spans="1:9" x14ac:dyDescent="0.25">
      <c r="A557" s="34"/>
      <c r="B557" t="s">
        <v>747</v>
      </c>
      <c r="C557">
        <v>308.19</v>
      </c>
      <c r="D557" s="94">
        <v>6949605</v>
      </c>
      <c r="E557" s="73"/>
      <c r="F557" s="74"/>
      <c r="I557" s="34"/>
    </row>
    <row r="558" spans="1:9" x14ac:dyDescent="0.25">
      <c r="A558" s="34"/>
      <c r="B558" t="s">
        <v>748</v>
      </c>
      <c r="C558">
        <v>312.49</v>
      </c>
      <c r="D558" s="94">
        <v>10618786</v>
      </c>
      <c r="E558" s="73"/>
      <c r="F558" s="74"/>
      <c r="I558" s="34"/>
    </row>
    <row r="559" spans="1:9" x14ac:dyDescent="0.25">
      <c r="A559" s="34"/>
      <c r="B559" t="s">
        <v>749</v>
      </c>
      <c r="C559">
        <v>309.72000000000003</v>
      </c>
      <c r="D559" s="94">
        <v>8284135</v>
      </c>
      <c r="E559" s="73"/>
      <c r="F559" s="74"/>
      <c r="I559" s="34"/>
    </row>
    <row r="560" spans="1:9" x14ac:dyDescent="0.25">
      <c r="A560" s="34"/>
      <c r="B560" t="s">
        <v>750</v>
      </c>
      <c r="C560">
        <v>308.24</v>
      </c>
      <c r="D560" s="94">
        <v>8171437</v>
      </c>
      <c r="E560" s="73"/>
      <c r="F560" s="74"/>
      <c r="I560" s="34"/>
    </row>
    <row r="561" spans="1:9" x14ac:dyDescent="0.25">
      <c r="A561" s="34"/>
      <c r="B561" t="s">
        <v>751</v>
      </c>
      <c r="C561">
        <v>302.27999999999997</v>
      </c>
      <c r="D561" s="94">
        <v>6689769</v>
      </c>
      <c r="E561" s="73"/>
      <c r="F561" s="74"/>
      <c r="I561" s="34"/>
    </row>
    <row r="562" spans="1:9" x14ac:dyDescent="0.25">
      <c r="A562" s="34"/>
      <c r="B562" t="s">
        <v>752</v>
      </c>
      <c r="C562">
        <v>306.07</v>
      </c>
      <c r="D562" s="94">
        <v>5997051</v>
      </c>
      <c r="E562" s="73"/>
      <c r="F562" s="74"/>
      <c r="I562" s="34"/>
    </row>
    <row r="563" spans="1:9" x14ac:dyDescent="0.25">
      <c r="A563" s="34"/>
      <c r="B563" t="s">
        <v>753</v>
      </c>
      <c r="C563">
        <v>307.69</v>
      </c>
      <c r="D563" s="94">
        <v>5951893</v>
      </c>
      <c r="E563" s="73"/>
      <c r="F563" s="74"/>
      <c r="I563" s="34"/>
    </row>
    <row r="564" spans="1:9" x14ac:dyDescent="0.25">
      <c r="A564" s="34"/>
      <c r="B564" t="s">
        <v>754</v>
      </c>
      <c r="C564">
        <v>306.48</v>
      </c>
      <c r="D564" s="94">
        <v>6960264</v>
      </c>
      <c r="E564" s="73"/>
      <c r="F564" s="74"/>
      <c r="I564" s="34"/>
    </row>
    <row r="565" spans="1:9" x14ac:dyDescent="0.25">
      <c r="A565" s="34"/>
      <c r="B565" t="s">
        <v>755</v>
      </c>
      <c r="C565">
        <v>310</v>
      </c>
      <c r="D565" s="94">
        <v>8105359</v>
      </c>
      <c r="E565" s="73"/>
      <c r="F565" s="74"/>
      <c r="I565" s="34"/>
    </row>
    <row r="566" spans="1:9" x14ac:dyDescent="0.25">
      <c r="A566" s="34"/>
      <c r="B566" t="s">
        <v>756</v>
      </c>
      <c r="C566">
        <v>309.12</v>
      </c>
      <c r="D566" s="94">
        <v>7737562</v>
      </c>
      <c r="E566" s="73"/>
      <c r="F566" s="74"/>
      <c r="I566" s="34"/>
    </row>
    <row r="567" spans="1:9" x14ac:dyDescent="0.25">
      <c r="A567" s="34"/>
      <c r="B567" t="s">
        <v>757</v>
      </c>
      <c r="C567">
        <v>307.95999999999998</v>
      </c>
      <c r="D567" s="94">
        <v>6727343</v>
      </c>
      <c r="E567" s="73"/>
      <c r="F567" s="74"/>
      <c r="I567" s="34"/>
    </row>
    <row r="568" spans="1:9" x14ac:dyDescent="0.25">
      <c r="A568" s="34"/>
      <c r="B568" t="s">
        <v>758</v>
      </c>
      <c r="C568">
        <v>309.3</v>
      </c>
      <c r="D568" s="94">
        <v>9566210</v>
      </c>
      <c r="E568" s="73"/>
      <c r="F568" s="74"/>
      <c r="I568" s="34"/>
    </row>
    <row r="569" spans="1:9" x14ac:dyDescent="0.25">
      <c r="A569" s="34"/>
      <c r="B569" t="s">
        <v>759</v>
      </c>
      <c r="C569">
        <v>302</v>
      </c>
      <c r="D569" s="94">
        <v>10073884</v>
      </c>
      <c r="E569" s="73"/>
      <c r="F569" s="74"/>
      <c r="I569" s="34"/>
    </row>
    <row r="570" spans="1:9" x14ac:dyDescent="0.25">
      <c r="A570" s="34"/>
      <c r="B570" t="s">
        <v>760</v>
      </c>
      <c r="C570">
        <v>307.32</v>
      </c>
      <c r="D570" s="94">
        <v>6584445</v>
      </c>
      <c r="E570" s="73"/>
      <c r="F570" s="74"/>
      <c r="I570" s="34"/>
    </row>
    <row r="571" spans="1:9" x14ac:dyDescent="0.25">
      <c r="A571" s="34"/>
      <c r="B571" t="s">
        <v>761</v>
      </c>
      <c r="C571">
        <v>309.81</v>
      </c>
      <c r="D571" s="94">
        <v>7045201</v>
      </c>
      <c r="E571" s="73"/>
      <c r="F571" s="74"/>
      <c r="I571" s="34"/>
    </row>
    <row r="572" spans="1:9" x14ac:dyDescent="0.25">
      <c r="A572" s="34"/>
      <c r="B572" t="s">
        <v>762</v>
      </c>
      <c r="C572">
        <v>314.43</v>
      </c>
      <c r="D572" s="94">
        <v>5482218</v>
      </c>
      <c r="E572" s="73"/>
      <c r="F572" s="74"/>
      <c r="I572" s="34"/>
    </row>
    <row r="573" spans="1:9" x14ac:dyDescent="0.25">
      <c r="A573" s="34"/>
      <c r="B573" t="s">
        <v>763</v>
      </c>
      <c r="C573">
        <v>314.76</v>
      </c>
      <c r="D573" s="94">
        <v>7812801</v>
      </c>
      <c r="E573" s="73"/>
      <c r="F573" s="74"/>
      <c r="I573" s="34"/>
    </row>
    <row r="574" spans="1:9" x14ac:dyDescent="0.25">
      <c r="A574" s="34"/>
      <c r="B574" t="s">
        <v>764</v>
      </c>
      <c r="C574">
        <v>309.77</v>
      </c>
      <c r="D574" s="94">
        <v>12429280</v>
      </c>
      <c r="E574" s="73"/>
      <c r="F574" s="74"/>
      <c r="I574" s="34"/>
    </row>
    <row r="575" spans="1:9" x14ac:dyDescent="0.25">
      <c r="A575" s="34"/>
      <c r="B575" t="s">
        <v>765</v>
      </c>
      <c r="C575">
        <v>313.23</v>
      </c>
      <c r="D575" s="94">
        <v>8154931</v>
      </c>
      <c r="E575" s="73"/>
      <c r="F575" s="74"/>
      <c r="I575" s="34"/>
    </row>
    <row r="576" spans="1:9" x14ac:dyDescent="0.25">
      <c r="A576" s="34"/>
      <c r="B576" t="s">
        <v>766</v>
      </c>
      <c r="C576">
        <v>319.29000000000002</v>
      </c>
      <c r="D576" s="94">
        <v>7379878</v>
      </c>
      <c r="E576" s="73"/>
      <c r="F576" s="74"/>
      <c r="I576" s="34"/>
    </row>
    <row r="577" spans="1:9" x14ac:dyDescent="0.25">
      <c r="A577" s="34"/>
      <c r="B577" t="s">
        <v>767</v>
      </c>
      <c r="C577">
        <v>319.47000000000003</v>
      </c>
      <c r="D577" s="94">
        <v>10693426</v>
      </c>
      <c r="E577" s="73"/>
      <c r="F577" s="74"/>
      <c r="I577" s="34"/>
    </row>
    <row r="578" spans="1:9" x14ac:dyDescent="0.25">
      <c r="A578" s="34"/>
      <c r="B578" t="s">
        <v>768</v>
      </c>
      <c r="C578">
        <v>317.25</v>
      </c>
      <c r="D578" s="94">
        <v>11214662</v>
      </c>
      <c r="E578" s="73"/>
      <c r="F578" s="74"/>
      <c r="I578" s="34"/>
    </row>
    <row r="579" spans="1:9" x14ac:dyDescent="0.25">
      <c r="A579" s="34"/>
      <c r="B579" t="s">
        <v>769</v>
      </c>
      <c r="C579">
        <v>315.58999999999997</v>
      </c>
      <c r="D579" s="94">
        <v>8132228</v>
      </c>
      <c r="E579" s="73"/>
      <c r="F579" s="74"/>
      <c r="I579" s="34"/>
    </row>
    <row r="580" spans="1:9" x14ac:dyDescent="0.25">
      <c r="A580" s="34"/>
      <c r="B580" t="s">
        <v>770</v>
      </c>
      <c r="C580">
        <v>312.82</v>
      </c>
      <c r="D580" s="94">
        <v>6200447</v>
      </c>
      <c r="E580" s="73"/>
      <c r="F580" s="74"/>
      <c r="I580" s="34"/>
    </row>
    <row r="581" spans="1:9" x14ac:dyDescent="0.25">
      <c r="A581" s="34"/>
      <c r="B581" t="s">
        <v>771</v>
      </c>
      <c r="C581">
        <v>314.39</v>
      </c>
      <c r="D581" s="94">
        <v>9813208</v>
      </c>
      <c r="E581" s="73"/>
      <c r="F581" s="74"/>
      <c r="I581" s="34"/>
    </row>
    <row r="582" spans="1:9" x14ac:dyDescent="0.25">
      <c r="A582" s="34"/>
      <c r="B582" t="s">
        <v>772</v>
      </c>
      <c r="C582">
        <v>311.8</v>
      </c>
      <c r="D582" s="94">
        <v>6327430</v>
      </c>
      <c r="E582" s="73"/>
      <c r="F582" s="74"/>
      <c r="I582" s="34"/>
    </row>
    <row r="583" spans="1:9" x14ac:dyDescent="0.25">
      <c r="A583" s="34"/>
      <c r="B583" t="s">
        <v>773</v>
      </c>
      <c r="C583">
        <v>311.29000000000002</v>
      </c>
      <c r="D583" s="94">
        <v>9716390</v>
      </c>
      <c r="E583" s="73"/>
      <c r="F583" s="74"/>
      <c r="I583" s="34"/>
    </row>
    <row r="584" spans="1:9" x14ac:dyDescent="0.25">
      <c r="A584" s="34"/>
      <c r="B584" t="s">
        <v>774</v>
      </c>
      <c r="C584">
        <v>311.66000000000003</v>
      </c>
      <c r="D584" s="94">
        <v>8388835</v>
      </c>
      <c r="E584" s="73"/>
      <c r="F584" s="74"/>
      <c r="I584" s="34"/>
    </row>
    <row r="585" spans="1:9" x14ac:dyDescent="0.25">
      <c r="A585" s="34"/>
      <c r="B585" t="s">
        <v>775</v>
      </c>
      <c r="C585">
        <v>313.88</v>
      </c>
      <c r="D585" s="94">
        <v>16630417</v>
      </c>
      <c r="E585" s="73"/>
      <c r="F585" s="74"/>
      <c r="I585" s="34"/>
    </row>
    <row r="586" spans="1:9" x14ac:dyDescent="0.25">
      <c r="A586" s="34"/>
      <c r="B586" t="s">
        <v>776</v>
      </c>
      <c r="C586">
        <v>314.29000000000002</v>
      </c>
      <c r="D586" s="94">
        <v>22556502</v>
      </c>
      <c r="E586" s="73"/>
      <c r="F586" s="74"/>
      <c r="I586" s="34"/>
    </row>
    <row r="587" spans="1:9" x14ac:dyDescent="0.25">
      <c r="A587" s="34"/>
      <c r="B587" t="s">
        <v>777</v>
      </c>
      <c r="C587">
        <v>316.42</v>
      </c>
      <c r="D587" s="94">
        <v>10189855</v>
      </c>
      <c r="E587" s="73"/>
      <c r="F587" s="74"/>
      <c r="I587" s="34"/>
    </row>
    <row r="588" spans="1:9" x14ac:dyDescent="0.25">
      <c r="A588" s="34"/>
      <c r="B588" t="s">
        <v>778</v>
      </c>
      <c r="C588">
        <v>314.33999999999997</v>
      </c>
      <c r="D588" s="94">
        <v>9902739</v>
      </c>
      <c r="E588" s="73"/>
      <c r="F588" s="74"/>
      <c r="I588" s="34"/>
    </row>
    <row r="589" spans="1:9" x14ac:dyDescent="0.25">
      <c r="A589" s="34"/>
      <c r="B589" t="s">
        <v>779</v>
      </c>
      <c r="C589">
        <v>314.57</v>
      </c>
      <c r="D589" s="94">
        <v>6933254</v>
      </c>
      <c r="E589" s="73"/>
      <c r="F589" s="74"/>
      <c r="I589" s="34"/>
    </row>
    <row r="590" spans="1:9" x14ac:dyDescent="0.25">
      <c r="A590" s="34"/>
      <c r="B590" t="s">
        <v>780</v>
      </c>
      <c r="C590">
        <v>314.99</v>
      </c>
      <c r="D590" s="94">
        <v>8140857</v>
      </c>
      <c r="E590" s="73"/>
      <c r="F590" s="74"/>
      <c r="I590" s="34"/>
    </row>
    <row r="591" spans="1:9" x14ac:dyDescent="0.25">
      <c r="A591" s="34"/>
      <c r="B591" t="s">
        <v>781</v>
      </c>
      <c r="C591">
        <v>314.11</v>
      </c>
      <c r="D591" s="94">
        <v>7768291</v>
      </c>
      <c r="E591" s="73"/>
      <c r="F591" s="74"/>
      <c r="I591" s="34"/>
    </row>
    <row r="592" spans="1:9" x14ac:dyDescent="0.25">
      <c r="A592" s="34"/>
      <c r="B592" t="s">
        <v>782</v>
      </c>
      <c r="C592">
        <v>314.52999999999997</v>
      </c>
      <c r="D592" s="94">
        <v>6495845</v>
      </c>
      <c r="E592" s="73"/>
      <c r="F592" s="74"/>
      <c r="I592" s="34"/>
    </row>
    <row r="593" spans="1:9" x14ac:dyDescent="0.25">
      <c r="A593" s="34"/>
      <c r="B593" t="s">
        <v>783</v>
      </c>
      <c r="C593">
        <v>311.70999999999998</v>
      </c>
      <c r="D593" s="94">
        <v>9198816</v>
      </c>
      <c r="E593" s="73"/>
      <c r="F593" s="74"/>
      <c r="I593" s="34"/>
    </row>
    <row r="594" spans="1:9" x14ac:dyDescent="0.25">
      <c r="A594" s="34"/>
      <c r="B594" t="s">
        <v>784</v>
      </c>
      <c r="C594">
        <v>315.27</v>
      </c>
      <c r="D594" s="94">
        <v>7838297</v>
      </c>
      <c r="E594" s="73"/>
      <c r="F594" s="74"/>
      <c r="I594" s="34"/>
    </row>
    <row r="595" spans="1:9" x14ac:dyDescent="0.25">
      <c r="A595" s="34"/>
      <c r="B595" t="s">
        <v>785</v>
      </c>
      <c r="C595">
        <v>317.72000000000003</v>
      </c>
      <c r="D595" s="94">
        <v>9994270</v>
      </c>
      <c r="E595" s="73"/>
      <c r="F595" s="74"/>
      <c r="I595" s="34"/>
    </row>
    <row r="596" spans="1:9" x14ac:dyDescent="0.25">
      <c r="A596" s="34"/>
      <c r="B596" t="s">
        <v>786</v>
      </c>
      <c r="C596">
        <v>318.08</v>
      </c>
      <c r="D596" s="94">
        <v>7604924</v>
      </c>
      <c r="E596" s="73"/>
      <c r="F596" s="74"/>
      <c r="I596" s="34"/>
    </row>
    <row r="597" spans="1:9" x14ac:dyDescent="0.25">
      <c r="A597" s="34"/>
      <c r="B597" t="s">
        <v>787</v>
      </c>
      <c r="C597">
        <v>319.14999999999998</v>
      </c>
      <c r="D597" s="94">
        <v>15451411</v>
      </c>
      <c r="E597" s="73"/>
      <c r="F597" s="74"/>
      <c r="I597" s="34"/>
    </row>
    <row r="598" spans="1:9" x14ac:dyDescent="0.25">
      <c r="A598" s="34"/>
      <c r="B598" t="s">
        <v>788</v>
      </c>
      <c r="C598">
        <v>320.95</v>
      </c>
      <c r="D598" s="94">
        <v>17639889</v>
      </c>
      <c r="E598" s="73"/>
      <c r="F598" s="74"/>
      <c r="I598" s="34"/>
    </row>
    <row r="599" spans="1:9" x14ac:dyDescent="0.25">
      <c r="A599" s="34"/>
      <c r="B599" t="s">
        <v>789</v>
      </c>
      <c r="C599">
        <v>329.41</v>
      </c>
      <c r="D599" s="94">
        <v>10950902</v>
      </c>
      <c r="E599" s="73"/>
      <c r="F599" s="74"/>
      <c r="I599" s="34"/>
    </row>
    <row r="600" spans="1:9" x14ac:dyDescent="0.25">
      <c r="A600" s="34"/>
      <c r="B600" t="s">
        <v>790</v>
      </c>
      <c r="C600">
        <v>329.09</v>
      </c>
      <c r="D600" s="94">
        <v>19327625</v>
      </c>
      <c r="E600" s="73"/>
      <c r="F600" s="74"/>
      <c r="I600" s="34"/>
    </row>
    <row r="601" spans="1:9" x14ac:dyDescent="0.25">
      <c r="A601" s="34"/>
      <c r="B601" t="s">
        <v>791</v>
      </c>
      <c r="C601">
        <v>333.43</v>
      </c>
      <c r="D601" s="94">
        <v>20611075</v>
      </c>
      <c r="E601" s="73"/>
      <c r="F601" s="74"/>
      <c r="I601" s="34"/>
    </row>
    <row r="602" spans="1:9" x14ac:dyDescent="0.25">
      <c r="A602" s="34"/>
      <c r="B602" t="s">
        <v>792</v>
      </c>
      <c r="C602">
        <v>326.77</v>
      </c>
      <c r="D602" s="94">
        <v>10050303</v>
      </c>
      <c r="E602" s="73"/>
      <c r="F602" s="74"/>
      <c r="I602" s="34"/>
    </row>
    <row r="603" spans="1:9" x14ac:dyDescent="0.25">
      <c r="A603" s="34"/>
      <c r="B603" t="s">
        <v>793</v>
      </c>
      <c r="C603">
        <v>326.87</v>
      </c>
      <c r="D603" s="94">
        <v>8386849</v>
      </c>
      <c r="E603" s="73"/>
      <c r="F603" s="74"/>
      <c r="I603" s="34"/>
    </row>
    <row r="604" spans="1:9" x14ac:dyDescent="0.25">
      <c r="A604" s="34"/>
      <c r="B604" t="s">
        <v>794</v>
      </c>
      <c r="C604">
        <v>326.95999999999998</v>
      </c>
      <c r="D604" s="94">
        <v>10736155</v>
      </c>
      <c r="E604" s="73"/>
      <c r="F604" s="74"/>
      <c r="I604" s="34"/>
    </row>
    <row r="605" spans="1:9" x14ac:dyDescent="0.25">
      <c r="A605" s="34"/>
      <c r="B605" t="s">
        <v>795</v>
      </c>
      <c r="C605">
        <v>327.84</v>
      </c>
      <c r="D605" s="94">
        <v>16781507</v>
      </c>
      <c r="E605" s="73"/>
      <c r="F605" s="74"/>
      <c r="I605" s="34"/>
    </row>
    <row r="606" spans="1:9" x14ac:dyDescent="0.25">
      <c r="A606" s="34"/>
      <c r="B606" t="s">
        <v>796</v>
      </c>
      <c r="C606">
        <v>323.08</v>
      </c>
      <c r="D606" s="94">
        <v>19665200</v>
      </c>
      <c r="E606" s="73"/>
      <c r="F606" s="74"/>
      <c r="I606" s="34"/>
    </row>
    <row r="607" spans="1:9" x14ac:dyDescent="0.25">
      <c r="A607" s="34"/>
      <c r="B607" t="s">
        <v>797</v>
      </c>
      <c r="C607">
        <v>322.33999999999997</v>
      </c>
      <c r="D607" s="94">
        <v>13825970</v>
      </c>
      <c r="E607" s="73"/>
      <c r="F607" s="74"/>
      <c r="I607" s="34"/>
    </row>
    <row r="608" spans="1:9" x14ac:dyDescent="0.25">
      <c r="A608" s="34"/>
      <c r="B608" t="s">
        <v>798</v>
      </c>
      <c r="C608">
        <v>319.66000000000003</v>
      </c>
      <c r="D608" s="94">
        <v>13069167</v>
      </c>
      <c r="E608" s="73"/>
      <c r="F608" s="74"/>
      <c r="I608" s="34"/>
    </row>
    <row r="609" spans="1:9" x14ac:dyDescent="0.25">
      <c r="A609" s="34"/>
      <c r="B609" t="s">
        <v>799</v>
      </c>
      <c r="C609">
        <v>319.66000000000003</v>
      </c>
      <c r="D609" s="94">
        <v>18558597</v>
      </c>
      <c r="E609" s="73"/>
      <c r="F609" s="74"/>
      <c r="I609" s="34"/>
    </row>
    <row r="610" spans="1:9" x14ac:dyDescent="0.25">
      <c r="A610" s="34"/>
      <c r="B610" t="s">
        <v>800</v>
      </c>
      <c r="C610">
        <v>320.12</v>
      </c>
      <c r="D610" s="94">
        <v>17242211</v>
      </c>
      <c r="E610" s="73"/>
      <c r="F610" s="74"/>
      <c r="I610" s="34"/>
    </row>
    <row r="611" spans="1:9" x14ac:dyDescent="0.25">
      <c r="A611" s="34"/>
      <c r="B611" t="s">
        <v>801</v>
      </c>
      <c r="C611">
        <v>321.41000000000003</v>
      </c>
      <c r="D611" s="94">
        <v>3170564</v>
      </c>
      <c r="E611" s="73"/>
      <c r="F611" s="74"/>
      <c r="I611" s="34"/>
    </row>
    <row r="612" spans="1:9" x14ac:dyDescent="0.25">
      <c r="A612" s="34"/>
      <c r="B612" t="s">
        <v>802</v>
      </c>
      <c r="C612">
        <v>319.47000000000003</v>
      </c>
      <c r="D612" s="94">
        <v>27372160</v>
      </c>
      <c r="E612" s="73"/>
      <c r="F612" s="74"/>
      <c r="I612" s="34"/>
    </row>
    <row r="613" spans="1:9" x14ac:dyDescent="0.25">
      <c r="A613" s="34"/>
      <c r="B613" t="s">
        <v>803</v>
      </c>
      <c r="C613">
        <v>323.26</v>
      </c>
      <c r="D613" s="94">
        <v>18474706</v>
      </c>
      <c r="E613" s="73"/>
      <c r="F613" s="74"/>
      <c r="I613" s="34"/>
    </row>
    <row r="614" spans="1:9" x14ac:dyDescent="0.25">
      <c r="A614" s="34"/>
      <c r="B614" t="s">
        <v>804</v>
      </c>
      <c r="C614">
        <v>320.16000000000003</v>
      </c>
      <c r="D614" s="94">
        <v>16296080</v>
      </c>
      <c r="E614" s="73"/>
      <c r="F614" s="74"/>
      <c r="I614" s="34"/>
    </row>
    <row r="615" spans="1:9" x14ac:dyDescent="0.25">
      <c r="A615" s="34"/>
      <c r="B615" t="s">
        <v>805</v>
      </c>
      <c r="C615">
        <v>314.57</v>
      </c>
      <c r="D615" s="94">
        <v>20887417</v>
      </c>
      <c r="E615" s="73"/>
      <c r="F615" s="74"/>
      <c r="I615" s="34"/>
    </row>
    <row r="616" spans="1:9" x14ac:dyDescent="0.25">
      <c r="A616" s="34"/>
      <c r="B616" t="s">
        <v>806</v>
      </c>
      <c r="C616">
        <v>307.13</v>
      </c>
      <c r="D616" s="94">
        <v>6929063</v>
      </c>
      <c r="E616" s="73"/>
      <c r="F616" s="74"/>
      <c r="I616" s="34"/>
    </row>
    <row r="617" spans="1:9" x14ac:dyDescent="0.25">
      <c r="A617" s="34"/>
      <c r="B617" t="s">
        <v>807</v>
      </c>
      <c r="C617">
        <v>306.99</v>
      </c>
      <c r="D617" s="94">
        <v>6424915</v>
      </c>
      <c r="E617" s="73"/>
      <c r="F617" s="74"/>
      <c r="I617" s="34"/>
    </row>
    <row r="618" spans="1:9" x14ac:dyDescent="0.25">
      <c r="A618" s="34"/>
      <c r="B618" t="s">
        <v>808</v>
      </c>
      <c r="C618">
        <v>303.8</v>
      </c>
      <c r="D618" s="94">
        <v>7266724</v>
      </c>
      <c r="E618" s="73"/>
      <c r="F618" s="74"/>
      <c r="I618" s="34"/>
    </row>
    <row r="619" spans="1:9" x14ac:dyDescent="0.25">
      <c r="A619" s="34"/>
      <c r="B619" t="s">
        <v>809</v>
      </c>
      <c r="C619">
        <v>305.14</v>
      </c>
      <c r="D619" s="94">
        <v>10337544</v>
      </c>
      <c r="E619" s="73"/>
      <c r="F619" s="74"/>
      <c r="I619" s="34"/>
    </row>
    <row r="620" spans="1:9" x14ac:dyDescent="0.25">
      <c r="A620" s="34"/>
      <c r="B620" t="s">
        <v>810</v>
      </c>
      <c r="C620">
        <v>301.63</v>
      </c>
      <c r="D620" s="94">
        <v>10609956</v>
      </c>
      <c r="E620" s="73"/>
      <c r="F620" s="74"/>
      <c r="I620" s="34"/>
    </row>
    <row r="621" spans="1:9" x14ac:dyDescent="0.25">
      <c r="A621" s="34"/>
      <c r="B621" t="s">
        <v>811</v>
      </c>
      <c r="C621">
        <v>303.06</v>
      </c>
      <c r="D621" s="94">
        <v>9388996</v>
      </c>
      <c r="E621" s="73"/>
      <c r="F621" s="74"/>
      <c r="I621" s="34"/>
    </row>
    <row r="622" spans="1:9" x14ac:dyDescent="0.25">
      <c r="A622" s="34"/>
      <c r="B622" t="s">
        <v>812</v>
      </c>
      <c r="C622">
        <v>308.83999999999997</v>
      </c>
      <c r="D622" s="94">
        <v>10506078</v>
      </c>
      <c r="E622" s="73"/>
      <c r="F622" s="74"/>
      <c r="I622" s="34"/>
    </row>
    <row r="623" spans="1:9" x14ac:dyDescent="0.25">
      <c r="A623" s="34"/>
      <c r="B623" t="s">
        <v>813</v>
      </c>
      <c r="C623">
        <v>311.2</v>
      </c>
      <c r="D623" s="94">
        <v>22235092</v>
      </c>
      <c r="E623" s="73"/>
      <c r="F623" s="74"/>
      <c r="I623" s="34"/>
    </row>
    <row r="624" spans="1:9" x14ac:dyDescent="0.25">
      <c r="A624" s="34"/>
      <c r="B624" t="s">
        <v>814</v>
      </c>
      <c r="C624">
        <v>307.69</v>
      </c>
      <c r="D624" s="94">
        <v>8803255</v>
      </c>
      <c r="E624" s="73"/>
      <c r="F624" s="74"/>
      <c r="I624" s="34"/>
    </row>
    <row r="625" spans="1:9" x14ac:dyDescent="0.25">
      <c r="A625" s="34"/>
      <c r="B625" t="s">
        <v>815</v>
      </c>
      <c r="C625">
        <v>299.87</v>
      </c>
      <c r="D625" s="94">
        <v>9111289</v>
      </c>
      <c r="E625" s="73"/>
      <c r="F625" s="74"/>
      <c r="I625" s="34"/>
    </row>
    <row r="626" spans="1:9" x14ac:dyDescent="0.25">
      <c r="A626" s="34"/>
      <c r="B626" t="s">
        <v>816</v>
      </c>
      <c r="C626">
        <v>307.08</v>
      </c>
      <c r="D626" s="94">
        <v>12427919</v>
      </c>
      <c r="E626" s="73"/>
      <c r="F626" s="74"/>
      <c r="I626" s="34"/>
    </row>
    <row r="627" spans="1:9" x14ac:dyDescent="0.25">
      <c r="A627" s="34"/>
      <c r="B627" t="s">
        <v>817</v>
      </c>
      <c r="C627">
        <v>307.87</v>
      </c>
      <c r="D627" s="94">
        <v>18281337</v>
      </c>
      <c r="E627" s="73"/>
      <c r="F627" s="74"/>
      <c r="I627" s="34"/>
    </row>
    <row r="628" spans="1:9" x14ac:dyDescent="0.25">
      <c r="A628" s="34"/>
      <c r="B628" t="s">
        <v>818</v>
      </c>
      <c r="C628">
        <v>300.38</v>
      </c>
      <c r="D628" s="94">
        <v>15552911</v>
      </c>
      <c r="E628" s="73"/>
      <c r="F628" s="74"/>
      <c r="I628" s="34"/>
    </row>
    <row r="629" spans="1:9" x14ac:dyDescent="0.25">
      <c r="A629" s="34"/>
      <c r="B629" t="s">
        <v>819</v>
      </c>
      <c r="C629">
        <v>309.52999999999997</v>
      </c>
      <c r="D629" s="94">
        <v>9991052</v>
      </c>
      <c r="E629" s="73"/>
      <c r="F629" s="74"/>
      <c r="I629" s="34"/>
    </row>
    <row r="630" spans="1:9" x14ac:dyDescent="0.25">
      <c r="A630" s="34"/>
      <c r="B630" t="s">
        <v>820</v>
      </c>
      <c r="C630">
        <v>307.45</v>
      </c>
      <c r="D630" s="94">
        <v>16205789</v>
      </c>
      <c r="E630" s="73"/>
      <c r="F630" s="74"/>
      <c r="I630" s="34"/>
    </row>
    <row r="631" spans="1:9" x14ac:dyDescent="0.25">
      <c r="A631" s="34"/>
      <c r="B631" t="s">
        <v>821</v>
      </c>
      <c r="C631">
        <v>320.20999999999998</v>
      </c>
      <c r="D631" s="94">
        <v>22838807</v>
      </c>
      <c r="E631" s="73"/>
      <c r="F631" s="74"/>
      <c r="I631" s="34"/>
    </row>
    <row r="632" spans="1:9" x14ac:dyDescent="0.25">
      <c r="A632" s="34"/>
      <c r="B632" t="s">
        <v>822</v>
      </c>
      <c r="C632">
        <v>318.95999999999998</v>
      </c>
      <c r="D632" s="94">
        <v>24179987</v>
      </c>
      <c r="E632" s="73"/>
      <c r="F632" s="74"/>
      <c r="I632" s="34"/>
    </row>
    <row r="633" spans="1:9" x14ac:dyDescent="0.25">
      <c r="A633" s="34"/>
      <c r="B633" t="s">
        <v>823</v>
      </c>
      <c r="C633">
        <v>315.17</v>
      </c>
      <c r="D633" s="94">
        <v>20992080</v>
      </c>
      <c r="E633" s="73"/>
      <c r="F633" s="74"/>
      <c r="I633" s="34"/>
    </row>
    <row r="634" spans="1:9" x14ac:dyDescent="0.25">
      <c r="A634" s="34"/>
      <c r="B634" t="s">
        <v>824</v>
      </c>
      <c r="C634">
        <v>310.60000000000002</v>
      </c>
      <c r="D634" s="94">
        <v>9526068</v>
      </c>
      <c r="E634" s="73"/>
      <c r="F634" s="74"/>
      <c r="I634" s="34"/>
    </row>
    <row r="635" spans="1:9" x14ac:dyDescent="0.25">
      <c r="A635" s="34"/>
      <c r="B635" t="s">
        <v>825</v>
      </c>
      <c r="C635">
        <v>310.23</v>
      </c>
      <c r="D635" s="94">
        <v>14365461</v>
      </c>
      <c r="E635" s="73"/>
      <c r="F635" s="74"/>
      <c r="I635" s="34"/>
    </row>
    <row r="636" spans="1:9" x14ac:dyDescent="0.25">
      <c r="A636" s="34"/>
      <c r="B636" t="s">
        <v>826</v>
      </c>
      <c r="C636">
        <v>306.25</v>
      </c>
      <c r="D636" s="94">
        <v>12492851</v>
      </c>
      <c r="E636" s="73"/>
      <c r="F636" s="74"/>
      <c r="I636" s="34"/>
    </row>
    <row r="637" spans="1:9" x14ac:dyDescent="0.25">
      <c r="A637" s="34"/>
      <c r="B637" t="s">
        <v>827</v>
      </c>
      <c r="C637">
        <v>308.83999999999997</v>
      </c>
      <c r="D637" s="94">
        <v>8418672</v>
      </c>
      <c r="E637" s="73"/>
      <c r="F637" s="74"/>
      <c r="I637" s="34"/>
    </row>
    <row r="638" spans="1:9" x14ac:dyDescent="0.25">
      <c r="A638" s="34"/>
      <c r="B638" t="s">
        <v>828</v>
      </c>
      <c r="C638">
        <v>310</v>
      </c>
      <c r="D638" s="94">
        <v>12267025</v>
      </c>
      <c r="E638" s="73"/>
      <c r="F638" s="74"/>
      <c r="I638" s="34"/>
    </row>
    <row r="639" spans="1:9" x14ac:dyDescent="0.25">
      <c r="A639" s="34"/>
      <c r="B639" t="s">
        <v>829</v>
      </c>
      <c r="C639">
        <v>309.12</v>
      </c>
      <c r="D639" s="94">
        <v>10520207</v>
      </c>
      <c r="E639" s="73"/>
      <c r="F639" s="74"/>
      <c r="I639" s="34"/>
    </row>
    <row r="640" spans="1:9" x14ac:dyDescent="0.25">
      <c r="A640" s="34"/>
      <c r="B640" t="s">
        <v>830</v>
      </c>
      <c r="C640">
        <v>305.88</v>
      </c>
      <c r="D640" s="94">
        <v>8712689</v>
      </c>
      <c r="E640" s="73"/>
      <c r="F640" s="74"/>
      <c r="I640" s="34"/>
    </row>
    <row r="641" spans="1:9" x14ac:dyDescent="0.25">
      <c r="A641" s="34"/>
      <c r="B641" t="s">
        <v>831</v>
      </c>
      <c r="C641">
        <v>305.51</v>
      </c>
      <c r="D641" s="94">
        <v>9408098</v>
      </c>
      <c r="E641" s="73"/>
      <c r="F641" s="74"/>
      <c r="I641" s="34"/>
    </row>
    <row r="642" spans="1:9" x14ac:dyDescent="0.25">
      <c r="A642" s="34"/>
      <c r="B642" t="s">
        <v>832</v>
      </c>
      <c r="C642">
        <v>304.95999999999998</v>
      </c>
      <c r="D642" s="94">
        <v>10911130</v>
      </c>
      <c r="E642" s="73"/>
      <c r="F642" s="74"/>
      <c r="I642" s="34"/>
    </row>
    <row r="643" spans="1:9" x14ac:dyDescent="0.25">
      <c r="A643" s="34"/>
      <c r="B643" t="s">
        <v>833</v>
      </c>
      <c r="C643">
        <v>301.45</v>
      </c>
      <c r="D643" s="94">
        <v>8085824</v>
      </c>
      <c r="E643" s="73"/>
      <c r="F643" s="74"/>
      <c r="I643" s="34"/>
    </row>
    <row r="644" spans="1:9" x14ac:dyDescent="0.25">
      <c r="A644" s="34"/>
      <c r="B644" t="s">
        <v>834</v>
      </c>
      <c r="C644">
        <v>302.42</v>
      </c>
      <c r="D644" s="94">
        <v>11970750</v>
      </c>
      <c r="E644" s="73"/>
      <c r="F644" s="74"/>
      <c r="I644" s="34"/>
    </row>
    <row r="645" spans="1:9" x14ac:dyDescent="0.25">
      <c r="A645" s="34"/>
      <c r="B645" t="s">
        <v>835</v>
      </c>
      <c r="C645">
        <v>303.99</v>
      </c>
      <c r="D645" s="94">
        <v>17471906</v>
      </c>
      <c r="E645" s="73"/>
      <c r="F645" s="74"/>
      <c r="I645" s="34"/>
    </row>
    <row r="646" spans="1:9" x14ac:dyDescent="0.25">
      <c r="A646" s="34"/>
      <c r="B646" t="s">
        <v>836</v>
      </c>
      <c r="C646">
        <v>298.72000000000003</v>
      </c>
      <c r="D646" s="94">
        <v>25758860</v>
      </c>
      <c r="E646" s="73"/>
      <c r="F646" s="74"/>
      <c r="I646" s="34"/>
    </row>
    <row r="647" spans="1:9" x14ac:dyDescent="0.25">
      <c r="A647" s="34"/>
      <c r="B647" t="s">
        <v>837</v>
      </c>
      <c r="C647">
        <v>293.58999999999997</v>
      </c>
      <c r="D647" s="94">
        <v>13254985</v>
      </c>
      <c r="E647" s="73"/>
      <c r="F647" s="74"/>
      <c r="I647" s="34"/>
    </row>
    <row r="648" spans="1:9" x14ac:dyDescent="0.25">
      <c r="A648" s="34"/>
      <c r="B648" t="s">
        <v>838</v>
      </c>
      <c r="C648">
        <v>296.27</v>
      </c>
      <c r="D648" s="94">
        <v>17829428</v>
      </c>
      <c r="E648" s="73"/>
      <c r="F648" s="74"/>
      <c r="I648" s="34"/>
    </row>
    <row r="649" spans="1:9" x14ac:dyDescent="0.25">
      <c r="A649" s="34"/>
      <c r="B649" t="s">
        <v>839</v>
      </c>
      <c r="C649">
        <v>289.83999999999997</v>
      </c>
      <c r="D649" s="94">
        <v>11361400</v>
      </c>
      <c r="E649" s="73"/>
      <c r="F649" s="74"/>
      <c r="I649" s="34"/>
    </row>
    <row r="650" spans="1:9" x14ac:dyDescent="0.25">
      <c r="A650" s="34"/>
      <c r="B650" t="s">
        <v>840</v>
      </c>
      <c r="C650">
        <v>289.24</v>
      </c>
      <c r="D650" s="94">
        <v>6956588</v>
      </c>
      <c r="E650" s="73"/>
      <c r="F650" s="74"/>
      <c r="I650" s="34"/>
    </row>
    <row r="651" spans="1:9" x14ac:dyDescent="0.25">
      <c r="A651" s="34"/>
      <c r="B651" t="s">
        <v>841</v>
      </c>
      <c r="C651">
        <v>288.74</v>
      </c>
      <c r="D651" s="94">
        <v>7759104</v>
      </c>
      <c r="E651" s="73"/>
      <c r="F651" s="74"/>
      <c r="I651" s="34"/>
    </row>
    <row r="652" spans="1:9" x14ac:dyDescent="0.25">
      <c r="A652" s="34"/>
      <c r="B652" t="s">
        <v>842</v>
      </c>
      <c r="C652">
        <v>290.35000000000002</v>
      </c>
      <c r="D652" s="94">
        <v>11346892</v>
      </c>
      <c r="E652" s="73"/>
      <c r="F652" s="74"/>
      <c r="I652" s="34"/>
    </row>
    <row r="653" spans="1:9" x14ac:dyDescent="0.25">
      <c r="A653" s="34"/>
      <c r="B653" t="s">
        <v>843</v>
      </c>
      <c r="C653">
        <v>292.02</v>
      </c>
      <c r="D653" s="94">
        <v>9338887</v>
      </c>
      <c r="E653" s="73"/>
      <c r="F653" s="74"/>
      <c r="I653" s="34"/>
    </row>
    <row r="654" spans="1:9" x14ac:dyDescent="0.25">
      <c r="A654" s="34"/>
      <c r="B654" t="s">
        <v>844</v>
      </c>
      <c r="C654">
        <v>290.63</v>
      </c>
      <c r="D654" s="94">
        <v>11355837</v>
      </c>
      <c r="E654" s="73"/>
      <c r="F654" s="74"/>
      <c r="I654" s="34"/>
    </row>
    <row r="655" spans="1:9" x14ac:dyDescent="0.25">
      <c r="A655" s="34"/>
      <c r="B655" t="s">
        <v>845</v>
      </c>
      <c r="C655">
        <v>288.41000000000003</v>
      </c>
      <c r="D655" s="94">
        <v>10422413</v>
      </c>
      <c r="E655" s="73"/>
      <c r="F655" s="74"/>
      <c r="I655" s="34"/>
    </row>
    <row r="656" spans="1:9" x14ac:dyDescent="0.25">
      <c r="A656" s="34"/>
      <c r="B656" t="s">
        <v>846</v>
      </c>
      <c r="C656">
        <v>291.79000000000002</v>
      </c>
      <c r="D656" s="94">
        <v>9883851</v>
      </c>
      <c r="E656" s="73"/>
      <c r="F656" s="74"/>
      <c r="I656" s="34"/>
    </row>
    <row r="657" spans="1:9" x14ac:dyDescent="0.25">
      <c r="A657" s="34"/>
      <c r="B657" t="s">
        <v>847</v>
      </c>
      <c r="C657">
        <v>288.92</v>
      </c>
      <c r="D657" s="94">
        <v>7975854</v>
      </c>
      <c r="E657" s="73"/>
      <c r="F657" s="74"/>
      <c r="I657" s="34"/>
    </row>
    <row r="658" spans="1:9" x14ac:dyDescent="0.25">
      <c r="A658" s="34"/>
      <c r="B658" t="s">
        <v>848</v>
      </c>
      <c r="C658">
        <v>287.07</v>
      </c>
      <c r="D658" s="94">
        <v>8609864</v>
      </c>
      <c r="E658" s="73"/>
      <c r="F658" s="74"/>
      <c r="I658" s="34"/>
    </row>
    <row r="659" spans="1:9" x14ac:dyDescent="0.25">
      <c r="A659" s="34"/>
      <c r="B659" t="s">
        <v>849</v>
      </c>
      <c r="C659">
        <v>285.22000000000003</v>
      </c>
      <c r="D659" s="94">
        <v>6422504</v>
      </c>
      <c r="E659" s="73"/>
      <c r="F659" s="74"/>
      <c r="I659" s="34"/>
    </row>
    <row r="660" spans="1:9" x14ac:dyDescent="0.25">
      <c r="A660" s="34"/>
      <c r="B660" t="s">
        <v>850</v>
      </c>
      <c r="C660">
        <v>283.10000000000002</v>
      </c>
      <c r="D660" s="94">
        <v>10885990</v>
      </c>
      <c r="E660" s="73"/>
      <c r="F660" s="74"/>
      <c r="I660" s="34"/>
    </row>
    <row r="661" spans="1:9" x14ac:dyDescent="0.25">
      <c r="A661" s="34"/>
      <c r="B661" t="s">
        <v>851</v>
      </c>
      <c r="C661">
        <v>287.67</v>
      </c>
      <c r="D661" s="94">
        <v>8923568</v>
      </c>
      <c r="E661" s="73"/>
      <c r="F661" s="74"/>
      <c r="I661" s="34"/>
    </row>
    <row r="662" spans="1:9" x14ac:dyDescent="0.25">
      <c r="A662" s="34"/>
      <c r="B662" t="s">
        <v>852</v>
      </c>
      <c r="C662">
        <v>289.47000000000003</v>
      </c>
      <c r="D662" s="94">
        <v>8307140</v>
      </c>
      <c r="E662" s="73"/>
      <c r="F662" s="74"/>
      <c r="I662" s="34"/>
    </row>
    <row r="663" spans="1:9" x14ac:dyDescent="0.25">
      <c r="A663" s="34"/>
      <c r="B663" t="s">
        <v>853</v>
      </c>
      <c r="C663">
        <v>287.35000000000002</v>
      </c>
      <c r="D663" s="94">
        <v>10088723</v>
      </c>
      <c r="E663" s="73"/>
      <c r="F663" s="74"/>
      <c r="I663" s="34"/>
    </row>
    <row r="664" spans="1:9" x14ac:dyDescent="0.25">
      <c r="A664" s="34"/>
      <c r="B664" t="s">
        <v>854</v>
      </c>
      <c r="C664">
        <v>286.10000000000002</v>
      </c>
      <c r="D664" s="94">
        <v>15901918</v>
      </c>
      <c r="E664" s="73"/>
      <c r="F664" s="74"/>
      <c r="I664" s="34"/>
    </row>
    <row r="665" spans="1:9" x14ac:dyDescent="0.25">
      <c r="A665" s="34"/>
      <c r="B665" t="s">
        <v>855</v>
      </c>
      <c r="C665">
        <v>284.85000000000002</v>
      </c>
      <c r="D665" s="94">
        <v>17695228</v>
      </c>
      <c r="E665" s="73"/>
      <c r="F665" s="74"/>
      <c r="I665" s="34"/>
    </row>
    <row r="666" spans="1:9" x14ac:dyDescent="0.25">
      <c r="A666" s="34"/>
      <c r="B666" t="s">
        <v>856</v>
      </c>
      <c r="C666">
        <v>286.52</v>
      </c>
      <c r="D666" s="94">
        <v>38982557</v>
      </c>
      <c r="E666" s="73"/>
      <c r="F666" s="74"/>
      <c r="I666" s="34"/>
    </row>
    <row r="667" spans="1:9" x14ac:dyDescent="0.25">
      <c r="A667" s="34"/>
      <c r="B667" t="s">
        <v>857</v>
      </c>
      <c r="C667">
        <v>284.25</v>
      </c>
      <c r="D667" s="94">
        <v>15889556</v>
      </c>
      <c r="E667" s="73"/>
      <c r="F667" s="74"/>
      <c r="I667" s="34"/>
    </row>
    <row r="668" spans="1:9" x14ac:dyDescent="0.25">
      <c r="A668" s="34"/>
      <c r="B668" t="s">
        <v>858</v>
      </c>
      <c r="C668">
        <v>280.14</v>
      </c>
      <c r="D668" s="94">
        <v>16932743</v>
      </c>
      <c r="E668" s="73"/>
      <c r="F668" s="74"/>
      <c r="I668" s="34"/>
    </row>
    <row r="669" spans="1:9" x14ac:dyDescent="0.25">
      <c r="A669" s="34"/>
      <c r="B669" t="s">
        <v>859</v>
      </c>
      <c r="C669">
        <v>280.51</v>
      </c>
      <c r="D669" s="94">
        <v>10839070</v>
      </c>
      <c r="E669" s="73"/>
      <c r="F669" s="74"/>
      <c r="I669" s="34"/>
    </row>
    <row r="670" spans="1:9" x14ac:dyDescent="0.25">
      <c r="A670" s="34"/>
      <c r="B670" t="s">
        <v>860</v>
      </c>
      <c r="C670">
        <v>281.16000000000003</v>
      </c>
      <c r="D670" s="94">
        <v>9346146</v>
      </c>
      <c r="E670" s="73"/>
      <c r="F670" s="74"/>
      <c r="I670" s="34"/>
    </row>
    <row r="671" spans="1:9" x14ac:dyDescent="0.25">
      <c r="A671" s="34"/>
      <c r="B671" t="s">
        <v>861</v>
      </c>
      <c r="C671">
        <v>279.58</v>
      </c>
      <c r="D671" s="94">
        <v>9739177</v>
      </c>
      <c r="E671" s="73"/>
      <c r="F671" s="74"/>
      <c r="I671" s="34"/>
    </row>
    <row r="672" spans="1:9" x14ac:dyDescent="0.25">
      <c r="A672" s="34"/>
      <c r="B672" t="s">
        <v>862</v>
      </c>
      <c r="C672">
        <v>278.33999999999997</v>
      </c>
      <c r="D672" s="94">
        <v>10640727</v>
      </c>
      <c r="E672" s="73"/>
      <c r="F672" s="74"/>
      <c r="I672" s="34"/>
    </row>
    <row r="673" spans="1:9" x14ac:dyDescent="0.25">
      <c r="A673" s="34"/>
      <c r="B673" t="s">
        <v>863</v>
      </c>
      <c r="C673">
        <v>277.83</v>
      </c>
      <c r="D673" s="94">
        <v>9967545</v>
      </c>
      <c r="E673" s="73"/>
      <c r="F673" s="74"/>
      <c r="I673" s="34"/>
    </row>
    <row r="674" spans="1:9" x14ac:dyDescent="0.25">
      <c r="A674" s="34"/>
      <c r="B674" t="s">
        <v>864</v>
      </c>
      <c r="C674">
        <v>276.89999999999998</v>
      </c>
      <c r="D674" s="94">
        <v>16042840</v>
      </c>
      <c r="E674" s="73"/>
      <c r="F674" s="74"/>
      <c r="I674" s="34"/>
    </row>
    <row r="675" spans="1:9" x14ac:dyDescent="0.25">
      <c r="A675" s="34"/>
      <c r="B675" t="s">
        <v>865</v>
      </c>
      <c r="C675">
        <v>275.64999999999998</v>
      </c>
      <c r="D675" s="94">
        <v>15789281</v>
      </c>
      <c r="E675" s="73"/>
      <c r="F675" s="74"/>
      <c r="I675" s="34"/>
    </row>
    <row r="676" spans="1:9" x14ac:dyDescent="0.25">
      <c r="A676" s="34"/>
      <c r="B676" t="s">
        <v>866</v>
      </c>
      <c r="C676">
        <v>272.33</v>
      </c>
      <c r="D676" s="94">
        <v>9188419</v>
      </c>
      <c r="E676" s="73"/>
      <c r="F676" s="74"/>
      <c r="I676" s="34"/>
    </row>
    <row r="677" spans="1:9" x14ac:dyDescent="0.25">
      <c r="A677" s="34"/>
      <c r="B677" t="s">
        <v>867</v>
      </c>
      <c r="C677">
        <v>272.97000000000003</v>
      </c>
      <c r="D677" s="94">
        <v>11315876</v>
      </c>
      <c r="E677" s="73"/>
      <c r="F677" s="74"/>
      <c r="I677" s="34"/>
    </row>
    <row r="678" spans="1:9" x14ac:dyDescent="0.25">
      <c r="A678" s="34"/>
      <c r="B678" t="s">
        <v>868</v>
      </c>
      <c r="C678">
        <v>271.36</v>
      </c>
      <c r="D678" s="94">
        <v>11025420</v>
      </c>
      <c r="E678" s="73"/>
      <c r="F678" s="74"/>
      <c r="I678" s="34"/>
    </row>
    <row r="679" spans="1:9" x14ac:dyDescent="0.25">
      <c r="A679" s="34"/>
      <c r="B679" t="s">
        <v>869</v>
      </c>
      <c r="C679">
        <v>268.86</v>
      </c>
      <c r="D679" s="94">
        <v>13414357</v>
      </c>
      <c r="E679" s="73"/>
      <c r="F679" s="74"/>
      <c r="I679" s="34"/>
    </row>
    <row r="680" spans="1:9" x14ac:dyDescent="0.25">
      <c r="A680" s="34"/>
      <c r="B680" t="s">
        <v>870</v>
      </c>
      <c r="C680">
        <v>271.82</v>
      </c>
      <c r="D680" s="94">
        <v>9277570</v>
      </c>
      <c r="E680" s="73"/>
      <c r="F680" s="74"/>
      <c r="I680" s="34"/>
    </row>
    <row r="681" spans="1:9" x14ac:dyDescent="0.25">
      <c r="A681" s="34"/>
      <c r="B681" t="s">
        <v>871</v>
      </c>
      <c r="C681">
        <v>270.57</v>
      </c>
      <c r="D681" s="94">
        <v>14074628</v>
      </c>
      <c r="E681" s="73"/>
      <c r="F681" s="74"/>
      <c r="I681" s="34"/>
    </row>
    <row r="682" spans="1:9" x14ac:dyDescent="0.25">
      <c r="A682" s="34"/>
      <c r="B682" t="s">
        <v>872</v>
      </c>
      <c r="C682">
        <v>272.7</v>
      </c>
      <c r="D682" s="94">
        <v>12352667</v>
      </c>
      <c r="E682" s="73"/>
      <c r="F682" s="74"/>
      <c r="I682" s="34"/>
    </row>
    <row r="683" spans="1:9" x14ac:dyDescent="0.25">
      <c r="A683" s="34"/>
      <c r="B683" t="s">
        <v>873</v>
      </c>
      <c r="C683">
        <v>270.89</v>
      </c>
      <c r="D683" s="94">
        <v>11110418</v>
      </c>
      <c r="E683" s="73"/>
      <c r="F683" s="74"/>
      <c r="I683" s="34"/>
    </row>
    <row r="684" spans="1:9" x14ac:dyDescent="0.25">
      <c r="A684" s="34"/>
      <c r="B684" t="s">
        <v>874</v>
      </c>
      <c r="C684">
        <v>269.88</v>
      </c>
      <c r="D684" s="94">
        <v>13794991</v>
      </c>
      <c r="E684" s="73"/>
      <c r="F684" s="74"/>
      <c r="I684" s="34"/>
    </row>
    <row r="685" spans="1:9" x14ac:dyDescent="0.25">
      <c r="A685" s="34"/>
      <c r="B685" t="s">
        <v>875</v>
      </c>
      <c r="C685">
        <v>267.43</v>
      </c>
      <c r="D685" s="94">
        <v>18292925</v>
      </c>
      <c r="E685" s="73"/>
      <c r="F685" s="74"/>
      <c r="I685" s="34"/>
    </row>
    <row r="686" spans="1:9" x14ac:dyDescent="0.25">
      <c r="A686" s="34"/>
      <c r="B686" t="s">
        <v>876</v>
      </c>
      <c r="C686">
        <v>265.20999999999998</v>
      </c>
      <c r="D686" s="94">
        <v>18568655</v>
      </c>
      <c r="E686" s="73"/>
      <c r="F686" s="74"/>
      <c r="I686" s="34"/>
    </row>
    <row r="687" spans="1:9" x14ac:dyDescent="0.25">
      <c r="A687" s="34"/>
      <c r="B687" t="s">
        <v>877</v>
      </c>
      <c r="C687">
        <v>269.83</v>
      </c>
      <c r="D687" s="94">
        <v>39881736</v>
      </c>
      <c r="E687" s="73"/>
      <c r="F687" s="74"/>
      <c r="I687" s="34"/>
    </row>
    <row r="688" spans="1:9" x14ac:dyDescent="0.25">
      <c r="A688" s="34"/>
      <c r="B688" t="s">
        <v>878</v>
      </c>
      <c r="C688">
        <v>262.85000000000002</v>
      </c>
      <c r="D688" s="94">
        <v>35165665</v>
      </c>
      <c r="E688" s="73"/>
      <c r="F688" s="74"/>
      <c r="I688" s="34"/>
    </row>
    <row r="689" spans="1:9" x14ac:dyDescent="0.25">
      <c r="A689" s="34"/>
      <c r="B689" t="s">
        <v>879</v>
      </c>
      <c r="C689">
        <v>252.82</v>
      </c>
      <c r="D689" s="94">
        <v>19262054</v>
      </c>
      <c r="E689" s="73"/>
      <c r="F689" s="74"/>
      <c r="I689" s="34"/>
    </row>
    <row r="690" spans="1:9" x14ac:dyDescent="0.25">
      <c r="A690" s="34"/>
      <c r="B690" t="s">
        <v>880</v>
      </c>
      <c r="C690">
        <v>253.33</v>
      </c>
      <c r="D690" s="94">
        <v>16018449</v>
      </c>
      <c r="E690" s="73"/>
      <c r="F690" s="74"/>
      <c r="I690" s="34"/>
    </row>
    <row r="691" spans="1:9" x14ac:dyDescent="0.25">
      <c r="A691" s="34"/>
      <c r="B691" t="s">
        <v>881</v>
      </c>
      <c r="C691">
        <v>251.3</v>
      </c>
      <c r="D691" s="94">
        <v>11240154</v>
      </c>
      <c r="E691" s="73"/>
      <c r="F691" s="74"/>
      <c r="I691" s="34"/>
    </row>
    <row r="692" spans="1:9" x14ac:dyDescent="0.25">
      <c r="A692" s="34"/>
      <c r="B692" t="s">
        <v>882</v>
      </c>
      <c r="C692">
        <v>249.54</v>
      </c>
      <c r="D692" s="94">
        <v>8172964</v>
      </c>
      <c r="E692" s="73"/>
      <c r="F692" s="74"/>
      <c r="I692" s="34"/>
    </row>
    <row r="693" spans="1:9" x14ac:dyDescent="0.25">
      <c r="A693" s="34"/>
      <c r="B693" t="s">
        <v>883</v>
      </c>
      <c r="C693">
        <v>245.75</v>
      </c>
      <c r="D693" s="94">
        <v>7013132</v>
      </c>
      <c r="E693" s="73"/>
      <c r="F693" s="74"/>
      <c r="I693" s="34"/>
    </row>
    <row r="694" spans="1:9" x14ac:dyDescent="0.25">
      <c r="A694" s="34"/>
      <c r="B694" t="s">
        <v>884</v>
      </c>
      <c r="C694">
        <v>245.43</v>
      </c>
      <c r="D694" s="94">
        <v>9067252</v>
      </c>
      <c r="E694" s="73"/>
      <c r="F694" s="74"/>
      <c r="I694" s="34"/>
    </row>
    <row r="695" spans="1:9" x14ac:dyDescent="0.25">
      <c r="A695" s="34"/>
      <c r="B695" t="s">
        <v>885</v>
      </c>
      <c r="C695">
        <v>245.24</v>
      </c>
      <c r="D695" s="94">
        <v>11320918</v>
      </c>
      <c r="E695" s="73"/>
      <c r="F695" s="74"/>
      <c r="I695" s="34"/>
    </row>
    <row r="696" spans="1:9" x14ac:dyDescent="0.25">
      <c r="A696" s="34"/>
      <c r="B696" t="s">
        <v>886</v>
      </c>
      <c r="C696">
        <v>249.49</v>
      </c>
      <c r="D696" s="94">
        <v>13883034</v>
      </c>
      <c r="E696" s="73"/>
      <c r="F696" s="74"/>
      <c r="I696" s="34"/>
    </row>
    <row r="697" spans="1:9" x14ac:dyDescent="0.25">
      <c r="A697" s="34"/>
      <c r="B697" t="s">
        <v>887</v>
      </c>
      <c r="C697">
        <v>244.13</v>
      </c>
      <c r="D697" s="94">
        <v>17081136</v>
      </c>
      <c r="E697" s="73"/>
      <c r="F697" s="74"/>
      <c r="I697" s="34"/>
    </row>
    <row r="698" spans="1:9" x14ac:dyDescent="0.25">
      <c r="A698" s="34"/>
      <c r="B698" t="s">
        <v>888</v>
      </c>
      <c r="C698">
        <v>243.39</v>
      </c>
      <c r="D698" s="94">
        <v>16654660</v>
      </c>
      <c r="E698" s="73"/>
      <c r="F698" s="74"/>
      <c r="I698" s="34"/>
    </row>
    <row r="699" spans="1:9" x14ac:dyDescent="0.25">
      <c r="A699" s="34"/>
      <c r="B699" t="s">
        <v>889</v>
      </c>
      <c r="C699">
        <v>240.99</v>
      </c>
      <c r="D699" s="94">
        <v>14293357</v>
      </c>
      <c r="E699" s="73"/>
      <c r="F699" s="74"/>
      <c r="I699" s="34"/>
    </row>
    <row r="700" spans="1:9" x14ac:dyDescent="0.25">
      <c r="A700" s="34"/>
      <c r="B700" t="s">
        <v>890</v>
      </c>
      <c r="C700">
        <v>243.49</v>
      </c>
      <c r="D700" s="94">
        <v>5059474</v>
      </c>
      <c r="E700" s="73"/>
      <c r="F700" s="74"/>
      <c r="I700" s="34"/>
    </row>
    <row r="701" spans="1:9" x14ac:dyDescent="0.25">
      <c r="A701" s="34"/>
      <c r="B701" t="s">
        <v>891</v>
      </c>
      <c r="C701">
        <v>245.38</v>
      </c>
      <c r="D701" s="94">
        <v>7422193</v>
      </c>
      <c r="E701" s="73"/>
      <c r="F701" s="74"/>
      <c r="I701" s="34"/>
    </row>
    <row r="702" spans="1:9" x14ac:dyDescent="0.25">
      <c r="A702" s="34"/>
      <c r="B702" t="s">
        <v>892</v>
      </c>
      <c r="C702">
        <v>244.64</v>
      </c>
      <c r="D702" s="94">
        <v>11092690</v>
      </c>
      <c r="E702" s="73"/>
      <c r="F702" s="74"/>
      <c r="I702" s="34"/>
    </row>
    <row r="703" spans="1:9" x14ac:dyDescent="0.25">
      <c r="A703" s="34"/>
      <c r="B703" t="s">
        <v>893</v>
      </c>
      <c r="C703">
        <v>249.73</v>
      </c>
      <c r="D703" s="94">
        <v>8371061</v>
      </c>
      <c r="E703" s="73"/>
      <c r="F703" s="74"/>
      <c r="I703" s="34"/>
    </row>
    <row r="704" spans="1:9" x14ac:dyDescent="0.25">
      <c r="A704" s="34"/>
      <c r="B704" t="s">
        <v>894</v>
      </c>
      <c r="C704">
        <v>250.37</v>
      </c>
      <c r="D704" s="94">
        <v>9860194</v>
      </c>
      <c r="E704" s="73"/>
      <c r="F704" s="74"/>
      <c r="I704" s="34"/>
    </row>
    <row r="705" spans="1:9" x14ac:dyDescent="0.25">
      <c r="A705" s="34"/>
      <c r="B705" t="s">
        <v>895</v>
      </c>
      <c r="C705">
        <v>247.65</v>
      </c>
      <c r="D705" s="94">
        <v>14361969</v>
      </c>
      <c r="E705" s="73"/>
      <c r="F705" s="74"/>
      <c r="I705" s="34"/>
    </row>
    <row r="706" spans="1:9" x14ac:dyDescent="0.25">
      <c r="A706" s="34"/>
      <c r="B706" t="s">
        <v>896</v>
      </c>
      <c r="C706">
        <v>253.19</v>
      </c>
      <c r="D706" s="94">
        <v>10828539</v>
      </c>
      <c r="E706" s="73"/>
      <c r="F706" s="74"/>
      <c r="I706" s="34"/>
    </row>
    <row r="707" spans="1:9" x14ac:dyDescent="0.25">
      <c r="A707" s="34"/>
      <c r="B707" t="s">
        <v>897</v>
      </c>
      <c r="C707">
        <v>254.02</v>
      </c>
      <c r="D707" s="94">
        <v>10925182</v>
      </c>
      <c r="E707" s="73"/>
      <c r="F707" s="74"/>
      <c r="I707" s="34"/>
    </row>
    <row r="708" spans="1:9" x14ac:dyDescent="0.25">
      <c r="A708" s="34"/>
      <c r="B708" t="s">
        <v>898</v>
      </c>
      <c r="C708">
        <v>252.08</v>
      </c>
      <c r="D708" s="94">
        <v>12487862</v>
      </c>
      <c r="E708" s="73"/>
      <c r="F708" s="74"/>
      <c r="I708" s="34"/>
    </row>
    <row r="709" spans="1:9" x14ac:dyDescent="0.25">
      <c r="A709" s="34"/>
      <c r="B709" t="s">
        <v>899</v>
      </c>
      <c r="C709">
        <v>252.82</v>
      </c>
      <c r="D709" s="94">
        <v>14240994</v>
      </c>
      <c r="E709" s="73"/>
      <c r="F709" s="74"/>
      <c r="I709" s="34"/>
    </row>
    <row r="710" spans="1:9" x14ac:dyDescent="0.25">
      <c r="A710" s="34"/>
      <c r="B710" t="s">
        <v>900</v>
      </c>
      <c r="C710">
        <v>251.3</v>
      </c>
      <c r="D710" s="94">
        <v>14699792</v>
      </c>
      <c r="E710" s="73"/>
      <c r="F710" s="74"/>
      <c r="I710" s="34"/>
    </row>
    <row r="711" spans="1:9" x14ac:dyDescent="0.25">
      <c r="A711" s="34"/>
      <c r="B711" t="s">
        <v>901</v>
      </c>
      <c r="C711">
        <v>250.19</v>
      </c>
      <c r="D711" s="94">
        <v>23208345</v>
      </c>
      <c r="E711" s="73"/>
      <c r="F711" s="74"/>
      <c r="I711" s="34"/>
    </row>
    <row r="712" spans="1:9" x14ac:dyDescent="0.25">
      <c r="A712" s="34"/>
      <c r="B712" t="s">
        <v>902</v>
      </c>
      <c r="C712">
        <v>248.71</v>
      </c>
      <c r="D712" s="94">
        <v>11819102</v>
      </c>
      <c r="E712" s="73"/>
      <c r="F712" s="74"/>
      <c r="I712" s="34"/>
    </row>
    <row r="713" spans="1:9" x14ac:dyDescent="0.25">
      <c r="A713" s="34"/>
      <c r="B713" t="s">
        <v>903</v>
      </c>
      <c r="C713">
        <v>248.85</v>
      </c>
      <c r="D713" s="94">
        <v>13468067</v>
      </c>
      <c r="E713" s="73"/>
      <c r="F713" s="74"/>
      <c r="I713" s="34"/>
    </row>
    <row r="714" spans="1:9" x14ac:dyDescent="0.25">
      <c r="A714" s="34"/>
      <c r="B714" t="s">
        <v>904</v>
      </c>
      <c r="C714">
        <v>246.54</v>
      </c>
      <c r="D714" s="94">
        <v>18420159</v>
      </c>
      <c r="E714" s="73"/>
      <c r="F714" s="74"/>
      <c r="I714" s="34"/>
    </row>
    <row r="715" spans="1:9" x14ac:dyDescent="0.25">
      <c r="A715" s="34"/>
      <c r="B715" t="s">
        <v>905</v>
      </c>
      <c r="C715">
        <v>246.31</v>
      </c>
      <c r="D715" s="94">
        <v>15288648</v>
      </c>
      <c r="E715" s="73"/>
      <c r="F715" s="74"/>
      <c r="I715" s="34"/>
    </row>
    <row r="716" spans="1:9" x14ac:dyDescent="0.25">
      <c r="A716" s="34"/>
      <c r="B716" t="s">
        <v>906</v>
      </c>
      <c r="C716">
        <v>244.63</v>
      </c>
      <c r="D716" s="94">
        <v>15547968</v>
      </c>
      <c r="E716" s="73"/>
      <c r="F716" s="74"/>
      <c r="I716" s="34"/>
    </row>
    <row r="717" spans="1:9" x14ac:dyDescent="0.25">
      <c r="A717" s="34"/>
      <c r="B717" t="s">
        <v>907</v>
      </c>
      <c r="C717">
        <v>247.93</v>
      </c>
      <c r="D717" s="94">
        <v>21700165</v>
      </c>
      <c r="E717" s="73"/>
      <c r="F717" s="74"/>
      <c r="I717" s="34"/>
    </row>
    <row r="718" spans="1:9" x14ac:dyDescent="0.25">
      <c r="A718" s="34"/>
      <c r="B718" t="s">
        <v>908</v>
      </c>
      <c r="C718">
        <v>252.9</v>
      </c>
      <c r="D718" s="94">
        <v>32370771</v>
      </c>
      <c r="E718" s="73"/>
      <c r="F718" s="74"/>
      <c r="I718" s="34"/>
    </row>
    <row r="719" spans="1:9" x14ac:dyDescent="0.25">
      <c r="A719" s="34"/>
      <c r="B719" t="s">
        <v>909</v>
      </c>
      <c r="C719">
        <v>248.97</v>
      </c>
      <c r="D719" s="94">
        <v>78287713</v>
      </c>
      <c r="E719" s="73"/>
      <c r="F719" s="74"/>
      <c r="I719" s="34"/>
    </row>
    <row r="720" spans="1:9" x14ac:dyDescent="0.25">
      <c r="A720" s="34"/>
      <c r="B720" t="s">
        <v>910</v>
      </c>
      <c r="C720">
        <v>240.98</v>
      </c>
      <c r="D720" s="94">
        <v>20200332</v>
      </c>
      <c r="E720" s="73"/>
      <c r="F720" s="74"/>
      <c r="I720" s="34"/>
    </row>
    <row r="721" spans="1:9" x14ac:dyDescent="0.25">
      <c r="A721" s="34"/>
      <c r="B721" t="s">
        <v>911</v>
      </c>
      <c r="C721">
        <v>239.08</v>
      </c>
      <c r="D721" s="94">
        <v>17797974</v>
      </c>
      <c r="E721" s="73"/>
      <c r="F721" s="74"/>
      <c r="I721" s="34"/>
    </row>
    <row r="722" spans="1:9" x14ac:dyDescent="0.25">
      <c r="A722" s="34"/>
      <c r="B722" t="s">
        <v>912</v>
      </c>
      <c r="C722">
        <v>229.51</v>
      </c>
      <c r="D722" s="94">
        <v>8186859</v>
      </c>
      <c r="E722" s="73"/>
      <c r="F722" s="74"/>
      <c r="I722" s="34"/>
    </row>
    <row r="723" spans="1:9" x14ac:dyDescent="0.25">
      <c r="A723" s="34"/>
      <c r="B723" t="s">
        <v>913</v>
      </c>
      <c r="C723">
        <v>233.57</v>
      </c>
      <c r="D723" s="94">
        <v>11921627</v>
      </c>
      <c r="E723" s="73"/>
      <c r="F723" s="74"/>
      <c r="I723" s="34"/>
    </row>
    <row r="724" spans="1:9" x14ac:dyDescent="0.25">
      <c r="A724" s="34"/>
      <c r="B724" t="s">
        <v>914</v>
      </c>
      <c r="C724">
        <v>228.42</v>
      </c>
      <c r="D724" s="94">
        <v>20044726</v>
      </c>
      <c r="E724" s="73"/>
      <c r="F724" s="74"/>
      <c r="I724" s="34"/>
    </row>
    <row r="725" spans="1:9" x14ac:dyDescent="0.25">
      <c r="A725" s="34"/>
      <c r="B725" t="s">
        <v>915</v>
      </c>
      <c r="C725">
        <v>230.91</v>
      </c>
      <c r="D725" s="94">
        <v>17344099</v>
      </c>
      <c r="E725" s="73"/>
      <c r="F725" s="74"/>
      <c r="I725" s="34"/>
    </row>
    <row r="726" spans="1:9" x14ac:dyDescent="0.25">
      <c r="A726" s="34"/>
      <c r="B726" t="s">
        <v>916</v>
      </c>
      <c r="C726">
        <v>234.61</v>
      </c>
      <c r="D726" s="94">
        <v>18033260</v>
      </c>
      <c r="E726" s="73"/>
      <c r="F726" s="74"/>
      <c r="I726" s="34"/>
    </row>
    <row r="727" spans="1:9" x14ac:dyDescent="0.25">
      <c r="A727" s="34"/>
      <c r="B727" t="s">
        <v>917</v>
      </c>
      <c r="C727">
        <v>237.5</v>
      </c>
      <c r="D727" s="94">
        <v>21403710</v>
      </c>
      <c r="E727" s="73"/>
      <c r="F727" s="74"/>
      <c r="I727" s="34"/>
    </row>
    <row r="728" spans="1:9" x14ac:dyDescent="0.25">
      <c r="A728" s="34"/>
      <c r="B728" t="s">
        <v>918</v>
      </c>
      <c r="C728">
        <v>240.84</v>
      </c>
      <c r="D728" s="94">
        <v>34490123</v>
      </c>
      <c r="E728" s="73"/>
      <c r="F728" s="74"/>
      <c r="I728" s="34"/>
    </row>
    <row r="729" spans="1:9" x14ac:dyDescent="0.25">
      <c r="A729" s="34"/>
      <c r="B729" t="s">
        <v>919</v>
      </c>
      <c r="C729">
        <v>236.69</v>
      </c>
      <c r="D729" s="94">
        <v>17932895</v>
      </c>
      <c r="E729" s="73"/>
      <c r="F729" s="74"/>
      <c r="I729" s="34"/>
    </row>
    <row r="730" spans="1:9" x14ac:dyDescent="0.25">
      <c r="A730" s="34"/>
      <c r="B730" t="s">
        <v>920</v>
      </c>
      <c r="C730">
        <v>234.61</v>
      </c>
      <c r="D730" s="94">
        <v>25951999</v>
      </c>
      <c r="E730" s="73"/>
      <c r="F730" s="74"/>
      <c r="I730" s="34"/>
    </row>
    <row r="731" spans="1:9" x14ac:dyDescent="0.25">
      <c r="A731" s="34"/>
      <c r="B731" t="s">
        <v>921</v>
      </c>
      <c r="C731">
        <v>237.68</v>
      </c>
      <c r="D731" s="94">
        <v>18965820</v>
      </c>
      <c r="E731" s="73"/>
      <c r="F731" s="74"/>
      <c r="I731" s="34"/>
    </row>
    <row r="732" spans="1:9" x14ac:dyDescent="0.25">
      <c r="A732" s="34"/>
      <c r="B732" t="s">
        <v>922</v>
      </c>
      <c r="C732">
        <v>234.43</v>
      </c>
      <c r="D732" s="94">
        <v>20419904</v>
      </c>
      <c r="E732" s="73"/>
      <c r="F732" s="74"/>
      <c r="I732" s="34"/>
    </row>
    <row r="733" spans="1:9" x14ac:dyDescent="0.25">
      <c r="A733" s="34"/>
      <c r="B733" t="s">
        <v>923</v>
      </c>
      <c r="C733">
        <v>235.83</v>
      </c>
      <c r="D733" s="94">
        <v>27924384</v>
      </c>
      <c r="E733" s="73"/>
      <c r="F733" s="74"/>
      <c r="I733" s="34"/>
    </row>
    <row r="734" spans="1:9" x14ac:dyDescent="0.25">
      <c r="A734" s="34"/>
      <c r="B734" t="s">
        <v>924</v>
      </c>
      <c r="C734">
        <v>232.58</v>
      </c>
      <c r="D734" s="94">
        <v>16580824</v>
      </c>
      <c r="E734" s="73"/>
      <c r="F734" s="74"/>
      <c r="I734" s="34"/>
    </row>
    <row r="735" spans="1:9" x14ac:dyDescent="0.25">
      <c r="A735" s="34"/>
      <c r="B735" t="s">
        <v>925</v>
      </c>
      <c r="C735">
        <v>233.89</v>
      </c>
      <c r="D735" s="94">
        <v>20536714</v>
      </c>
      <c r="E735" s="73"/>
      <c r="F735" s="74"/>
      <c r="I735" s="34"/>
    </row>
    <row r="736" spans="1:9" x14ac:dyDescent="0.25">
      <c r="A736" s="34"/>
      <c r="B736" t="s">
        <v>926</v>
      </c>
      <c r="C736">
        <v>230.54</v>
      </c>
      <c r="D736" s="94">
        <v>24208645</v>
      </c>
      <c r="E736" s="73"/>
      <c r="F736" s="74"/>
      <c r="I736" s="34"/>
    </row>
    <row r="737" spans="1:9" x14ac:dyDescent="0.25">
      <c r="A737" s="34"/>
      <c r="B737" t="s">
        <v>927</v>
      </c>
      <c r="C737">
        <v>235.83</v>
      </c>
      <c r="D737" s="94">
        <v>15671273</v>
      </c>
      <c r="E737" s="73"/>
      <c r="F737" s="74"/>
      <c r="I737" s="34"/>
    </row>
    <row r="738" spans="1:9" x14ac:dyDescent="0.25">
      <c r="A738" s="34"/>
      <c r="B738" t="s">
        <v>928</v>
      </c>
      <c r="C738">
        <v>235.2</v>
      </c>
      <c r="D738" s="94">
        <v>23412279</v>
      </c>
      <c r="E738" s="73"/>
      <c r="F738" s="74"/>
      <c r="I738" s="34"/>
    </row>
    <row r="739" spans="1:9" x14ac:dyDescent="0.25">
      <c r="A739" s="34"/>
      <c r="B739" t="s">
        <v>929</v>
      </c>
      <c r="C739">
        <v>234.43</v>
      </c>
      <c r="D739" s="94">
        <v>24510612</v>
      </c>
      <c r="E739" s="73"/>
      <c r="F739" s="74"/>
      <c r="I739" s="34"/>
    </row>
    <row r="740" spans="1:9" x14ac:dyDescent="0.25">
      <c r="A740" s="34"/>
      <c r="B740" t="s">
        <v>930</v>
      </c>
      <c r="C740">
        <v>236.23</v>
      </c>
      <c r="D740" s="94">
        <v>23380138</v>
      </c>
      <c r="E740" s="73"/>
      <c r="F740" s="74"/>
      <c r="I740" s="34"/>
    </row>
    <row r="741" spans="1:9" x14ac:dyDescent="0.25">
      <c r="A741" s="34"/>
      <c r="B741" t="s">
        <v>931</v>
      </c>
      <c r="C741">
        <v>243.96</v>
      </c>
      <c r="D741" s="94">
        <v>24399444</v>
      </c>
      <c r="E741" s="73"/>
      <c r="F741" s="74"/>
      <c r="I741" s="34"/>
    </row>
    <row r="742" spans="1:9" x14ac:dyDescent="0.25">
      <c r="A742" s="34"/>
      <c r="B742" t="s">
        <v>932</v>
      </c>
      <c r="C742">
        <v>243.46</v>
      </c>
      <c r="D742" s="94">
        <v>21414383</v>
      </c>
      <c r="E742" s="73"/>
      <c r="F742" s="74"/>
      <c r="I742" s="34"/>
    </row>
    <row r="743" spans="1:9" x14ac:dyDescent="0.25">
      <c r="A743" s="34"/>
      <c r="B743" t="s">
        <v>933</v>
      </c>
      <c r="C743">
        <v>239.17</v>
      </c>
      <c r="D743" s="94">
        <v>23553762</v>
      </c>
      <c r="E743" s="73"/>
      <c r="F743" s="74"/>
      <c r="I743" s="34"/>
    </row>
    <row r="744" spans="1:9" x14ac:dyDescent="0.25">
      <c r="A744" s="34"/>
      <c r="B744" t="s">
        <v>934</v>
      </c>
      <c r="C744">
        <v>241.61</v>
      </c>
      <c r="D744" s="94">
        <v>46147653</v>
      </c>
      <c r="E744" s="73"/>
      <c r="F744" s="74"/>
      <c r="I744" s="34"/>
    </row>
    <row r="745" spans="1:9" x14ac:dyDescent="0.25">
      <c r="A745" s="34"/>
      <c r="B745" t="s">
        <v>935</v>
      </c>
      <c r="C745">
        <v>241.88</v>
      </c>
      <c r="D745" s="94">
        <v>37826800</v>
      </c>
      <c r="E745" s="73"/>
      <c r="F745" s="74"/>
      <c r="I745" s="34"/>
    </row>
    <row r="746" spans="1:9" x14ac:dyDescent="0.25">
      <c r="A746" s="34"/>
      <c r="B746" t="s">
        <v>936</v>
      </c>
      <c r="C746">
        <v>231.81</v>
      </c>
      <c r="D746" s="94">
        <v>16061089</v>
      </c>
      <c r="E746" s="73"/>
      <c r="F746" s="74"/>
      <c r="I746" s="34"/>
    </row>
    <row r="747" spans="1:9" x14ac:dyDescent="0.25">
      <c r="A747" s="34"/>
      <c r="B747" t="s">
        <v>937</v>
      </c>
      <c r="C747">
        <v>234.47</v>
      </c>
      <c r="D747" s="94">
        <v>19597941</v>
      </c>
      <c r="E747" s="73"/>
      <c r="F747" s="74"/>
      <c r="I747" s="34"/>
    </row>
    <row r="748" spans="1:9" x14ac:dyDescent="0.25">
      <c r="A748" s="34"/>
      <c r="B748" t="s">
        <v>938</v>
      </c>
      <c r="C748">
        <v>234.34</v>
      </c>
      <c r="D748" s="94">
        <v>27183142</v>
      </c>
      <c r="E748" s="73"/>
      <c r="F748" s="74"/>
      <c r="I748" s="34"/>
    </row>
    <row r="749" spans="1:9" x14ac:dyDescent="0.25">
      <c r="A749" s="34"/>
      <c r="B749" t="s">
        <v>939</v>
      </c>
      <c r="C749">
        <v>230.73</v>
      </c>
      <c r="D749" s="94">
        <v>15907398</v>
      </c>
      <c r="E749" s="73"/>
      <c r="F749" s="74"/>
      <c r="I749" s="34"/>
    </row>
    <row r="750" spans="1:9" x14ac:dyDescent="0.25">
      <c r="A750" s="34"/>
      <c r="B750" t="s">
        <v>940</v>
      </c>
      <c r="C750">
        <v>228.78</v>
      </c>
      <c r="D750" s="94">
        <v>14305709</v>
      </c>
      <c r="E750" s="73"/>
      <c r="F750" s="74"/>
      <c r="I750" s="34"/>
    </row>
    <row r="751" spans="1:9" x14ac:dyDescent="0.25">
      <c r="A751" s="34"/>
      <c r="B751" t="s">
        <v>941</v>
      </c>
      <c r="C751">
        <v>226.39</v>
      </c>
      <c r="D751" s="94">
        <v>25656796</v>
      </c>
      <c r="E751" s="73"/>
      <c r="F751" s="74"/>
      <c r="I751" s="34"/>
    </row>
    <row r="752" spans="1:9" x14ac:dyDescent="0.25">
      <c r="A752" s="34"/>
      <c r="B752" t="s">
        <v>942</v>
      </c>
      <c r="C752">
        <v>225.08</v>
      </c>
      <c r="D752" s="94">
        <v>17603827</v>
      </c>
      <c r="E752" s="73"/>
      <c r="F752" s="74"/>
      <c r="I752" s="34"/>
    </row>
    <row r="753" spans="1:9" x14ac:dyDescent="0.25">
      <c r="A753" s="34"/>
      <c r="B753" t="s">
        <v>943</v>
      </c>
      <c r="C753">
        <v>229.96</v>
      </c>
      <c r="D753" s="94">
        <v>18122714</v>
      </c>
      <c r="E753" s="73"/>
      <c r="F753" s="74"/>
      <c r="I753" s="34"/>
    </row>
    <row r="754" spans="1:9" x14ac:dyDescent="0.25">
      <c r="A754" s="34"/>
      <c r="B754" t="s">
        <v>944</v>
      </c>
      <c r="C754">
        <v>232.17</v>
      </c>
      <c r="D754" s="94">
        <v>24916402</v>
      </c>
      <c r="E754" s="73"/>
      <c r="F754" s="74"/>
      <c r="I754" s="34"/>
    </row>
    <row r="755" spans="1:9" x14ac:dyDescent="0.25">
      <c r="A755" s="34"/>
      <c r="B755" t="s">
        <v>945</v>
      </c>
      <c r="C755">
        <v>228.83</v>
      </c>
      <c r="D755" s="94">
        <v>29284643</v>
      </c>
      <c r="E755" s="73"/>
      <c r="F755" s="74"/>
      <c r="I755" s="34"/>
    </row>
    <row r="756" spans="1:9" x14ac:dyDescent="0.25">
      <c r="A756" s="34"/>
      <c r="B756" t="s">
        <v>946</v>
      </c>
      <c r="C756">
        <v>230.18</v>
      </c>
      <c r="D756" s="94">
        <v>38239419</v>
      </c>
      <c r="E756" s="73"/>
      <c r="F756" s="74"/>
      <c r="I756" s="34"/>
    </row>
    <row r="757" spans="1:9" x14ac:dyDescent="0.25">
      <c r="A757" s="34"/>
      <c r="B757" t="s">
        <v>947</v>
      </c>
      <c r="C757">
        <v>227.61</v>
      </c>
      <c r="D757" s="94">
        <v>40491633</v>
      </c>
      <c r="E757" s="73"/>
      <c r="F757" s="74"/>
      <c r="I757" s="34"/>
    </row>
    <row r="758" spans="1:9" x14ac:dyDescent="0.25">
      <c r="A758" s="34"/>
      <c r="B758" t="s">
        <v>948</v>
      </c>
      <c r="C758">
        <v>225.58</v>
      </c>
      <c r="D758" s="94">
        <v>36945426</v>
      </c>
      <c r="E758" s="73"/>
      <c r="F758" s="74"/>
      <c r="I758" s="34"/>
    </row>
    <row r="759" spans="1:9" x14ac:dyDescent="0.25">
      <c r="A759" s="34"/>
      <c r="B759" t="s">
        <v>949</v>
      </c>
      <c r="C759">
        <v>220.83</v>
      </c>
      <c r="D759" s="94">
        <v>27975134</v>
      </c>
      <c r="E759" s="73"/>
      <c r="F759" s="74"/>
      <c r="I759" s="34"/>
    </row>
    <row r="760" spans="1:9" x14ac:dyDescent="0.25">
      <c r="A760" s="34"/>
      <c r="B760" t="s">
        <v>950</v>
      </c>
      <c r="C760">
        <v>221.2</v>
      </c>
      <c r="D760" s="94">
        <v>34223740</v>
      </c>
      <c r="E760" s="73"/>
      <c r="F760" s="74"/>
      <c r="I760" s="34"/>
    </row>
    <row r="761" spans="1:9" x14ac:dyDescent="0.25">
      <c r="A761" s="34"/>
      <c r="B761" t="s">
        <v>951</v>
      </c>
      <c r="C761">
        <v>219.12</v>
      </c>
      <c r="D761" s="94">
        <v>21629521</v>
      </c>
      <c r="E761" s="73"/>
      <c r="F761" s="74"/>
      <c r="I761" s="34"/>
    </row>
    <row r="762" spans="1:9" x14ac:dyDescent="0.25">
      <c r="A762" s="34"/>
      <c r="B762" t="s">
        <v>952</v>
      </c>
      <c r="C762">
        <v>214.83</v>
      </c>
      <c r="D762" s="94">
        <v>32998305</v>
      </c>
      <c r="E762" s="73"/>
      <c r="F762" s="74"/>
      <c r="I762" s="34"/>
    </row>
    <row r="763" spans="1:9" x14ac:dyDescent="0.25">
      <c r="A763" s="34"/>
      <c r="B763" t="s">
        <v>953</v>
      </c>
      <c r="C763">
        <v>215.87</v>
      </c>
      <c r="D763" s="94">
        <v>35113638</v>
      </c>
      <c r="E763" s="73"/>
      <c r="F763" s="74"/>
      <c r="I763" s="34"/>
    </row>
    <row r="764" spans="1:9" x14ac:dyDescent="0.25">
      <c r="A764" s="34"/>
      <c r="B764" t="s">
        <v>954</v>
      </c>
      <c r="C764">
        <v>213.47</v>
      </c>
      <c r="D764" s="94">
        <v>41699184</v>
      </c>
      <c r="E764" s="73"/>
      <c r="F764" s="74"/>
      <c r="I764" s="34"/>
    </row>
    <row r="765" spans="1:9" x14ac:dyDescent="0.25">
      <c r="A765" s="34"/>
      <c r="B765" t="s">
        <v>955</v>
      </c>
      <c r="C765">
        <v>209.54</v>
      </c>
      <c r="D765" s="94">
        <v>36132245</v>
      </c>
      <c r="E765" s="73"/>
      <c r="F765" s="74"/>
      <c r="I765" s="34"/>
    </row>
    <row r="766" spans="1:9" x14ac:dyDescent="0.25">
      <c r="A766" s="34"/>
      <c r="B766" t="s">
        <v>956</v>
      </c>
      <c r="C766">
        <v>207.06</v>
      </c>
      <c r="D766" s="94">
        <v>42294906</v>
      </c>
      <c r="E766" s="73"/>
      <c r="F766" s="74"/>
      <c r="I766" s="34"/>
    </row>
    <row r="767" spans="1:9" x14ac:dyDescent="0.25">
      <c r="A767" s="34"/>
      <c r="B767" t="s">
        <v>957</v>
      </c>
      <c r="C767">
        <v>204.94</v>
      </c>
      <c r="D767" s="94">
        <v>36036336</v>
      </c>
      <c r="E767" s="73"/>
      <c r="F767" s="74"/>
      <c r="I767" s="34"/>
    </row>
    <row r="768" spans="1:9" x14ac:dyDescent="0.25">
      <c r="A768" s="34"/>
      <c r="B768" t="s">
        <v>958</v>
      </c>
      <c r="C768">
        <v>203.18</v>
      </c>
      <c r="D768" s="94">
        <v>45258669</v>
      </c>
      <c r="E768" s="73"/>
      <c r="F768" s="74"/>
      <c r="I768" s="34"/>
    </row>
    <row r="769" spans="1:9" x14ac:dyDescent="0.25">
      <c r="A769" s="34"/>
      <c r="B769" t="s">
        <v>959</v>
      </c>
      <c r="C769">
        <v>203.67</v>
      </c>
      <c r="D769" s="94">
        <v>66835736</v>
      </c>
      <c r="E769" s="73"/>
      <c r="F769" s="74"/>
      <c r="I769" s="34"/>
    </row>
    <row r="770" spans="1:9" x14ac:dyDescent="0.25">
      <c r="A770" s="34"/>
      <c r="B770" t="s">
        <v>960</v>
      </c>
      <c r="C770">
        <v>198.16</v>
      </c>
      <c r="D770" s="94">
        <v>28532668</v>
      </c>
      <c r="E770" s="73"/>
      <c r="F770" s="74"/>
      <c r="I770" s="34"/>
    </row>
    <row r="771" spans="1:9" x14ac:dyDescent="0.25">
      <c r="A771" s="34"/>
      <c r="B771" t="s">
        <v>961</v>
      </c>
      <c r="C771">
        <v>194.46</v>
      </c>
      <c r="D771" s="94">
        <v>19295994</v>
      </c>
      <c r="E771" s="73"/>
      <c r="F771" s="74"/>
      <c r="I771" s="34"/>
    </row>
    <row r="772" spans="1:9" x14ac:dyDescent="0.25">
      <c r="A772" s="34"/>
      <c r="B772" t="s">
        <v>962</v>
      </c>
      <c r="C772">
        <v>194.96</v>
      </c>
      <c r="D772" s="94">
        <v>20034633</v>
      </c>
      <c r="E772" s="73"/>
      <c r="F772" s="74"/>
      <c r="I772" s="34"/>
    </row>
    <row r="773" spans="1:9" x14ac:dyDescent="0.25">
      <c r="A773" s="34"/>
      <c r="B773" t="s">
        <v>963</v>
      </c>
      <c r="C773">
        <v>193.24</v>
      </c>
      <c r="D773" s="94">
        <v>23633656</v>
      </c>
      <c r="E773" s="73"/>
      <c r="F773" s="74"/>
      <c r="I773" s="34"/>
    </row>
    <row r="774" spans="1:9" x14ac:dyDescent="0.25">
      <c r="A774" s="34"/>
      <c r="B774" t="s">
        <v>964</v>
      </c>
      <c r="C774">
        <v>188.32</v>
      </c>
      <c r="D774" s="94">
        <v>41341523</v>
      </c>
      <c r="E774" s="73"/>
      <c r="F774" s="74"/>
      <c r="I774" s="34"/>
    </row>
    <row r="775" spans="1:9" x14ac:dyDescent="0.25">
      <c r="A775" s="34"/>
      <c r="B775" t="s">
        <v>965</v>
      </c>
      <c r="C775">
        <v>195.05</v>
      </c>
      <c r="D775" s="94">
        <v>11014283</v>
      </c>
      <c r="E775" s="73"/>
      <c r="F775" s="74"/>
      <c r="I775" s="34"/>
    </row>
    <row r="776" spans="1:9" x14ac:dyDescent="0.25">
      <c r="A776" s="34"/>
      <c r="B776" t="s">
        <v>966</v>
      </c>
      <c r="C776">
        <v>194.05</v>
      </c>
      <c r="D776" s="94">
        <v>25749340</v>
      </c>
      <c r="E776" s="73"/>
      <c r="F776" s="74"/>
      <c r="I776" s="34"/>
    </row>
    <row r="777" spans="1:9" x14ac:dyDescent="0.25">
      <c r="A777" s="34"/>
      <c r="B777" t="s">
        <v>967</v>
      </c>
      <c r="C777">
        <v>196.9</v>
      </c>
      <c r="D777" s="94">
        <v>16129017</v>
      </c>
      <c r="E777" s="73"/>
      <c r="F777" s="74"/>
      <c r="I777" s="34"/>
    </row>
    <row r="778" spans="1:9" x14ac:dyDescent="0.25">
      <c r="A778" s="34"/>
      <c r="B778" t="s">
        <v>968</v>
      </c>
      <c r="C778">
        <v>200.42</v>
      </c>
      <c r="D778" s="94">
        <v>8670947</v>
      </c>
      <c r="E778" s="73"/>
      <c r="F778" s="74"/>
      <c r="I778" s="34"/>
    </row>
    <row r="779" spans="1:9" x14ac:dyDescent="0.25">
      <c r="A779" s="34"/>
      <c r="B779" t="s">
        <v>969</v>
      </c>
      <c r="C779">
        <v>201.1</v>
      </c>
      <c r="D779" s="94">
        <v>14024149</v>
      </c>
      <c r="E779" s="73"/>
      <c r="F779" s="74"/>
      <c r="I779" s="34"/>
    </row>
    <row r="780" spans="1:9" x14ac:dyDescent="0.25">
      <c r="A780" s="34"/>
      <c r="B780" t="s">
        <v>970</v>
      </c>
      <c r="C780">
        <v>201.19</v>
      </c>
      <c r="D780" s="94">
        <v>11231596</v>
      </c>
      <c r="E780" s="73"/>
      <c r="F780" s="74"/>
      <c r="I780" s="34"/>
    </row>
    <row r="781" spans="1:9" x14ac:dyDescent="0.25">
      <c r="A781" s="34"/>
      <c r="B781" t="s">
        <v>971</v>
      </c>
      <c r="C781">
        <v>201.42</v>
      </c>
      <c r="D781" s="94">
        <v>12875311</v>
      </c>
      <c r="E781" s="73"/>
      <c r="F781" s="74"/>
      <c r="I781" s="34"/>
    </row>
    <row r="782" spans="1:9" x14ac:dyDescent="0.25">
      <c r="A782" s="34"/>
      <c r="B782" t="s">
        <v>972</v>
      </c>
      <c r="C782">
        <v>198.21</v>
      </c>
      <c r="D782" s="94">
        <v>22745228</v>
      </c>
      <c r="E782" s="73"/>
      <c r="F782" s="74"/>
      <c r="I782" s="34"/>
    </row>
    <row r="783" spans="1:9" x14ac:dyDescent="0.25">
      <c r="A783" s="34"/>
      <c r="B783" t="s">
        <v>973</v>
      </c>
      <c r="C783">
        <v>205.21</v>
      </c>
      <c r="D783" s="94">
        <v>18096561</v>
      </c>
      <c r="E783" s="73"/>
      <c r="F783" s="74"/>
      <c r="I783" s="34"/>
    </row>
    <row r="784" spans="1:9" x14ac:dyDescent="0.25">
      <c r="A784" s="34"/>
      <c r="B784" t="s">
        <v>974</v>
      </c>
      <c r="C784">
        <v>205.03</v>
      </c>
      <c r="D784" s="94">
        <v>19563580</v>
      </c>
      <c r="E784" s="73"/>
      <c r="F784" s="74"/>
      <c r="I784" s="34"/>
    </row>
    <row r="785" spans="1:9" x14ac:dyDescent="0.25">
      <c r="A785" s="34"/>
      <c r="B785" t="s">
        <v>975</v>
      </c>
      <c r="C785">
        <v>203.18</v>
      </c>
      <c r="D785" s="94">
        <v>11893807</v>
      </c>
      <c r="E785" s="73"/>
      <c r="F785" s="74"/>
      <c r="I785" s="34"/>
    </row>
    <row r="786" spans="1:9" x14ac:dyDescent="0.25">
      <c r="A786" s="34"/>
      <c r="B786" t="s">
        <v>976</v>
      </c>
      <c r="C786">
        <v>204.15</v>
      </c>
      <c r="D786" s="94">
        <v>16201280</v>
      </c>
      <c r="E786" s="73"/>
      <c r="F786" s="74"/>
      <c r="I786" s="34"/>
    </row>
    <row r="787" spans="1:9" x14ac:dyDescent="0.25">
      <c r="A787" s="34"/>
      <c r="B787" t="s">
        <v>977</v>
      </c>
      <c r="C787">
        <v>203.22</v>
      </c>
      <c r="D787" s="94">
        <v>24171083</v>
      </c>
      <c r="E787" s="73"/>
      <c r="F787" s="74"/>
      <c r="I787" s="34"/>
    </row>
    <row r="788" spans="1:9" x14ac:dyDescent="0.25">
      <c r="A788" s="34"/>
      <c r="B788" t="s">
        <v>978</v>
      </c>
      <c r="C788">
        <v>206.84</v>
      </c>
      <c r="D788" s="94">
        <v>56705951</v>
      </c>
      <c r="E788" s="73"/>
      <c r="F788" s="74"/>
      <c r="I788" s="34"/>
    </row>
    <row r="789" spans="1:9" x14ac:dyDescent="0.25">
      <c r="A789" s="34"/>
      <c r="B789" t="s">
        <v>979</v>
      </c>
      <c r="C789">
        <v>206.97</v>
      </c>
      <c r="D789" s="94">
        <v>27845963</v>
      </c>
      <c r="E789" s="73"/>
      <c r="F789" s="74"/>
      <c r="I789" s="34"/>
    </row>
    <row r="790" spans="1:9" x14ac:dyDescent="0.25">
      <c r="A790" s="34"/>
      <c r="B790" t="s">
        <v>980</v>
      </c>
      <c r="C790">
        <v>204.94</v>
      </c>
      <c r="D790" s="94">
        <v>41130638</v>
      </c>
      <c r="E790" s="73"/>
      <c r="F790" s="74"/>
      <c r="I790" s="34"/>
    </row>
    <row r="791" spans="1:9" x14ac:dyDescent="0.25">
      <c r="A791" s="34"/>
      <c r="B791" t="s">
        <v>981</v>
      </c>
      <c r="C791">
        <v>201.06</v>
      </c>
      <c r="D791" s="94">
        <v>43207074</v>
      </c>
      <c r="E791" s="73"/>
      <c r="F791" s="74"/>
      <c r="I791" s="34"/>
    </row>
    <row r="792" spans="1:9" x14ac:dyDescent="0.25">
      <c r="A792" s="34"/>
      <c r="B792" t="s">
        <v>982</v>
      </c>
      <c r="C792">
        <v>194.39</v>
      </c>
      <c r="D792" s="94">
        <v>15039006</v>
      </c>
      <c r="E792" s="73"/>
      <c r="F792" s="74"/>
      <c r="I792" s="34"/>
    </row>
    <row r="793" spans="1:9" x14ac:dyDescent="0.25">
      <c r="A793" s="34"/>
      <c r="B793" t="s">
        <v>983</v>
      </c>
      <c r="C793">
        <v>192.1</v>
      </c>
      <c r="D793" s="94">
        <v>15276991</v>
      </c>
      <c r="E793" s="73"/>
      <c r="F793" s="74"/>
      <c r="I793" s="34"/>
    </row>
    <row r="794" spans="1:9" x14ac:dyDescent="0.25">
      <c r="A794" s="34"/>
      <c r="B794" t="s">
        <v>984</v>
      </c>
      <c r="C794">
        <v>189.45</v>
      </c>
      <c r="D794" s="94">
        <v>23149684</v>
      </c>
      <c r="E794" s="73"/>
      <c r="F794" s="74"/>
      <c r="I794" s="34"/>
    </row>
    <row r="795" spans="1:9" x14ac:dyDescent="0.25">
      <c r="A795" s="34"/>
      <c r="B795" t="s">
        <v>985</v>
      </c>
      <c r="C795">
        <v>189.19</v>
      </c>
      <c r="D795" s="94">
        <v>18322935</v>
      </c>
      <c r="E795" s="73"/>
      <c r="F795" s="74"/>
      <c r="I795" s="34"/>
    </row>
    <row r="796" spans="1:9" x14ac:dyDescent="0.25">
      <c r="A796" s="34"/>
      <c r="B796" t="s">
        <v>986</v>
      </c>
      <c r="C796">
        <v>186.98</v>
      </c>
      <c r="D796" s="94">
        <v>17354942</v>
      </c>
      <c r="E796" s="73"/>
      <c r="F796" s="74"/>
      <c r="I796" s="34"/>
    </row>
    <row r="797" spans="1:9" x14ac:dyDescent="0.25">
      <c r="A797" s="34"/>
      <c r="B797" t="s">
        <v>987</v>
      </c>
      <c r="C797">
        <v>191.61</v>
      </c>
      <c r="D797" s="94">
        <v>16586264</v>
      </c>
      <c r="E797" s="73"/>
      <c r="F797" s="74"/>
      <c r="I797" s="34"/>
    </row>
    <row r="798" spans="1:9" x14ac:dyDescent="0.25">
      <c r="A798" s="34"/>
      <c r="B798" t="s">
        <v>988</v>
      </c>
      <c r="C798">
        <v>193.11</v>
      </c>
      <c r="D798" s="94">
        <v>17329896</v>
      </c>
      <c r="E798" s="73"/>
      <c r="F798" s="74"/>
      <c r="I798" s="34"/>
    </row>
    <row r="799" spans="1:9" x14ac:dyDescent="0.25">
      <c r="A799" s="34"/>
      <c r="B799" t="s">
        <v>989</v>
      </c>
      <c r="C799">
        <v>194.53</v>
      </c>
      <c r="D799" s="94">
        <v>11473796</v>
      </c>
      <c r="E799" s="73"/>
      <c r="F799" s="74"/>
      <c r="I799" s="34"/>
    </row>
    <row r="800" spans="1:9" x14ac:dyDescent="0.25">
      <c r="A800" s="34"/>
      <c r="B800" t="s">
        <v>990</v>
      </c>
      <c r="C800">
        <v>194.88</v>
      </c>
      <c r="D800" s="94">
        <v>14394097</v>
      </c>
      <c r="E800" s="73"/>
      <c r="F800" s="74"/>
      <c r="I800" s="34"/>
    </row>
    <row r="801" spans="1:9" x14ac:dyDescent="0.25">
      <c r="A801" s="34"/>
      <c r="B801" t="s">
        <v>991</v>
      </c>
      <c r="C801">
        <v>198.28</v>
      </c>
      <c r="D801" s="94">
        <v>12318313</v>
      </c>
      <c r="E801" s="73"/>
      <c r="F801" s="74"/>
      <c r="I801" s="34"/>
    </row>
    <row r="802" spans="1:9" x14ac:dyDescent="0.25">
      <c r="A802" s="34"/>
      <c r="B802" t="s">
        <v>992</v>
      </c>
      <c r="C802">
        <v>196.51</v>
      </c>
      <c r="D802" s="94">
        <v>10569725</v>
      </c>
      <c r="E802" s="73"/>
      <c r="F802" s="74"/>
      <c r="I802" s="34"/>
    </row>
    <row r="803" spans="1:9" x14ac:dyDescent="0.25">
      <c r="A803" s="34"/>
      <c r="B803" t="s">
        <v>993</v>
      </c>
      <c r="C803">
        <v>197.71</v>
      </c>
      <c r="D803" s="94">
        <v>11501088</v>
      </c>
      <c r="E803" s="73"/>
      <c r="F803" s="74"/>
      <c r="I803" s="34"/>
    </row>
    <row r="804" spans="1:9" x14ac:dyDescent="0.25">
      <c r="A804" s="34"/>
      <c r="B804" t="s">
        <v>994</v>
      </c>
      <c r="C804">
        <v>196.65</v>
      </c>
      <c r="D804" s="94">
        <v>13158894</v>
      </c>
      <c r="E804" s="73"/>
      <c r="F804" s="74"/>
      <c r="I804" s="34"/>
    </row>
    <row r="805" spans="1:9" x14ac:dyDescent="0.25">
      <c r="A805" s="34"/>
      <c r="B805" t="s">
        <v>995</v>
      </c>
      <c r="C805">
        <v>195.94</v>
      </c>
      <c r="D805" s="94">
        <v>8020695</v>
      </c>
      <c r="E805" s="73"/>
      <c r="F805" s="74"/>
      <c r="I805" s="34"/>
    </row>
    <row r="806" spans="1:9" x14ac:dyDescent="0.25">
      <c r="A806" s="34"/>
      <c r="B806" t="s">
        <v>996</v>
      </c>
      <c r="C806">
        <v>197.13</v>
      </c>
      <c r="D806" s="94">
        <v>15841299</v>
      </c>
      <c r="E806" s="73"/>
      <c r="F806" s="74"/>
      <c r="I806" s="34"/>
    </row>
    <row r="807" spans="1:9" x14ac:dyDescent="0.25">
      <c r="A807" s="34"/>
      <c r="B807" t="s">
        <v>997</v>
      </c>
      <c r="C807">
        <v>192.81</v>
      </c>
      <c r="D807" s="94">
        <v>8855041</v>
      </c>
      <c r="E807" s="73"/>
      <c r="F807" s="74"/>
      <c r="I807" s="34"/>
    </row>
    <row r="808" spans="1:9" x14ac:dyDescent="0.25">
      <c r="A808" s="34"/>
      <c r="B808" t="s">
        <v>998</v>
      </c>
      <c r="C808">
        <v>193.07</v>
      </c>
      <c r="D808" s="94">
        <v>8950589</v>
      </c>
      <c r="E808" s="73"/>
      <c r="F808" s="74"/>
      <c r="I808" s="34"/>
    </row>
    <row r="809" spans="1:9" x14ac:dyDescent="0.25">
      <c r="A809" s="34"/>
      <c r="B809" t="s">
        <v>999</v>
      </c>
      <c r="C809">
        <v>194.7</v>
      </c>
      <c r="D809" s="94">
        <v>11230588</v>
      </c>
      <c r="E809" s="73"/>
      <c r="F809" s="74"/>
      <c r="I809" s="34"/>
    </row>
    <row r="810" spans="1:9" x14ac:dyDescent="0.25">
      <c r="A810" s="34"/>
      <c r="B810" t="s">
        <v>1000</v>
      </c>
      <c r="C810">
        <v>194.44</v>
      </c>
      <c r="D810" s="94">
        <v>9050253</v>
      </c>
      <c r="E810" s="73"/>
      <c r="F810" s="74"/>
      <c r="I810" s="34"/>
    </row>
    <row r="811" spans="1:9" x14ac:dyDescent="0.25">
      <c r="A811" s="34"/>
      <c r="B811" t="s">
        <v>1001</v>
      </c>
      <c r="C811">
        <v>193.42</v>
      </c>
      <c r="D811" s="94">
        <v>7765495</v>
      </c>
      <c r="E811" s="73"/>
      <c r="F811" s="74"/>
      <c r="I811" s="34"/>
    </row>
    <row r="812" spans="1:9" x14ac:dyDescent="0.25">
      <c r="A812" s="34"/>
      <c r="B812" t="s">
        <v>1002</v>
      </c>
      <c r="C812">
        <v>192.5</v>
      </c>
      <c r="D812" s="94">
        <v>7583815</v>
      </c>
      <c r="E812" s="73"/>
      <c r="F812" s="74"/>
      <c r="I812" s="34"/>
    </row>
    <row r="813" spans="1:9" x14ac:dyDescent="0.25">
      <c r="A813" s="34"/>
      <c r="B813" t="s">
        <v>1003</v>
      </c>
      <c r="C813">
        <v>190.69</v>
      </c>
      <c r="D813" s="94">
        <v>9741198</v>
      </c>
      <c r="E813" s="73"/>
      <c r="F813" s="74"/>
      <c r="I813" s="34"/>
    </row>
    <row r="814" spans="1:9" x14ac:dyDescent="0.25">
      <c r="A814" s="34"/>
      <c r="B814" t="s">
        <v>1004</v>
      </c>
      <c r="C814">
        <v>191.35</v>
      </c>
      <c r="D814" s="94">
        <v>11480954</v>
      </c>
      <c r="E814" s="73"/>
      <c r="F814" s="74"/>
      <c r="I814" s="34"/>
    </row>
    <row r="815" spans="1:9" x14ac:dyDescent="0.25">
      <c r="A815" s="34"/>
      <c r="B815" t="s">
        <v>1005</v>
      </c>
      <c r="C815">
        <v>194.26</v>
      </c>
      <c r="D815" s="94">
        <v>11568803</v>
      </c>
      <c r="E815" s="73"/>
      <c r="F815" s="74"/>
      <c r="I815" s="34"/>
    </row>
    <row r="816" spans="1:9" x14ac:dyDescent="0.25">
      <c r="A816" s="34"/>
      <c r="B816" t="s">
        <v>1006</v>
      </c>
      <c r="C816">
        <v>192.06</v>
      </c>
      <c r="D816" s="94">
        <v>8153106</v>
      </c>
      <c r="E816" s="73"/>
      <c r="F816" s="74"/>
      <c r="I816" s="34"/>
    </row>
    <row r="817" spans="1:9" x14ac:dyDescent="0.25">
      <c r="A817" s="34"/>
      <c r="B817" t="s">
        <v>1007</v>
      </c>
      <c r="C817">
        <v>192.45</v>
      </c>
      <c r="D817" s="94">
        <v>16581585</v>
      </c>
      <c r="E817" s="73"/>
      <c r="F817" s="74"/>
      <c r="I817" s="34"/>
    </row>
    <row r="818" spans="1:9" x14ac:dyDescent="0.25">
      <c r="A818" s="34"/>
      <c r="B818" t="s">
        <v>1008</v>
      </c>
      <c r="C818">
        <v>191.83</v>
      </c>
      <c r="D818" s="94">
        <v>22209720</v>
      </c>
      <c r="E818" s="73"/>
      <c r="F818" s="74"/>
      <c r="I818" s="34"/>
    </row>
    <row r="819" spans="1:9" x14ac:dyDescent="0.25">
      <c r="A819" s="34"/>
      <c r="B819" t="s">
        <v>1009</v>
      </c>
      <c r="C819">
        <v>187.16</v>
      </c>
      <c r="D819" s="94">
        <v>17239484</v>
      </c>
      <c r="E819" s="73"/>
      <c r="F819" s="74"/>
      <c r="I819" s="34"/>
    </row>
    <row r="820" spans="1:9" x14ac:dyDescent="0.25">
      <c r="A820" s="34"/>
      <c r="B820" t="s">
        <v>1010</v>
      </c>
      <c r="C820">
        <v>187.6</v>
      </c>
      <c r="D820" s="94">
        <v>19395604</v>
      </c>
      <c r="E820" s="73"/>
      <c r="F820" s="74"/>
      <c r="I820" s="34"/>
    </row>
    <row r="821" spans="1:9" x14ac:dyDescent="0.25">
      <c r="A821" s="34"/>
      <c r="B821" t="s">
        <v>1011</v>
      </c>
      <c r="C821">
        <v>187.51</v>
      </c>
      <c r="D821" s="94">
        <v>37340790</v>
      </c>
      <c r="E821" s="73"/>
      <c r="F821" s="74"/>
      <c r="I821" s="34"/>
    </row>
    <row r="822" spans="1:9" x14ac:dyDescent="0.25">
      <c r="A822" s="34"/>
      <c r="B822" t="s">
        <v>1012</v>
      </c>
      <c r="C822">
        <v>192.41</v>
      </c>
      <c r="D822" s="94">
        <v>29683982</v>
      </c>
      <c r="E822" s="73"/>
      <c r="F822" s="74"/>
      <c r="I822" s="34"/>
    </row>
    <row r="823" spans="1:9" x14ac:dyDescent="0.25">
      <c r="A823" s="34"/>
      <c r="B823" t="s">
        <v>1013</v>
      </c>
      <c r="C823">
        <v>196.78</v>
      </c>
      <c r="D823" s="94">
        <v>24199205</v>
      </c>
      <c r="E823" s="73"/>
      <c r="F823" s="74"/>
      <c r="I823" s="34"/>
    </row>
    <row r="824" spans="1:9" x14ac:dyDescent="0.25">
      <c r="A824" s="34"/>
      <c r="B824" t="s">
        <v>1014</v>
      </c>
      <c r="C824">
        <v>197.79</v>
      </c>
      <c r="D824" s="94">
        <v>34653042</v>
      </c>
      <c r="E824" s="73"/>
      <c r="F824" s="74"/>
      <c r="I824" s="34"/>
    </row>
    <row r="825" spans="1:9" x14ac:dyDescent="0.25">
      <c r="A825" s="34"/>
      <c r="B825" t="s">
        <v>1015</v>
      </c>
      <c r="C825">
        <v>201.81</v>
      </c>
      <c r="D825" s="94">
        <v>37508445</v>
      </c>
      <c r="E825" s="73"/>
      <c r="F825" s="74"/>
      <c r="I825" s="34"/>
    </row>
    <row r="826" spans="1:9" x14ac:dyDescent="0.25">
      <c r="A826" s="34"/>
      <c r="B826" t="s">
        <v>1016</v>
      </c>
      <c r="C826">
        <v>207.11</v>
      </c>
      <c r="D826" s="94">
        <v>22054342</v>
      </c>
      <c r="E826" s="73"/>
      <c r="F826" s="74"/>
      <c r="I826" s="34"/>
    </row>
    <row r="827" spans="1:9" x14ac:dyDescent="0.25">
      <c r="A827" s="34"/>
      <c r="B827" t="s">
        <v>1017</v>
      </c>
      <c r="C827">
        <v>208.43</v>
      </c>
      <c r="D827" s="94">
        <v>35162889</v>
      </c>
      <c r="E827" s="73"/>
      <c r="F827" s="74"/>
      <c r="I827" s="34"/>
    </row>
    <row r="828" spans="1:9" x14ac:dyDescent="0.25">
      <c r="A828" s="34"/>
      <c r="B828" t="s">
        <v>1018</v>
      </c>
      <c r="C828">
        <v>207.81</v>
      </c>
      <c r="D828" s="94">
        <v>38241864</v>
      </c>
      <c r="E828" s="73"/>
      <c r="F828" s="74"/>
      <c r="I828" s="34"/>
    </row>
    <row r="829" spans="1:9" x14ac:dyDescent="0.25">
      <c r="A829" s="34"/>
      <c r="B829" t="s">
        <v>1019</v>
      </c>
      <c r="C829">
        <v>198.59</v>
      </c>
      <c r="D829" s="94">
        <v>9861847</v>
      </c>
      <c r="E829" s="73"/>
      <c r="F829" s="74"/>
      <c r="I829" s="34"/>
    </row>
    <row r="830" spans="1:9" x14ac:dyDescent="0.25">
      <c r="A830" s="34"/>
      <c r="B830" t="s">
        <v>1020</v>
      </c>
      <c r="C830">
        <v>194.79</v>
      </c>
      <c r="D830" s="94">
        <v>8903842</v>
      </c>
      <c r="E830" s="73"/>
      <c r="F830" s="74"/>
      <c r="I830" s="34"/>
    </row>
    <row r="831" spans="1:9" x14ac:dyDescent="0.25">
      <c r="A831" s="34"/>
      <c r="B831" t="s">
        <v>1021</v>
      </c>
      <c r="C831">
        <v>192.36</v>
      </c>
      <c r="D831" s="94">
        <v>13138355</v>
      </c>
      <c r="E831" s="73"/>
      <c r="F831" s="74"/>
      <c r="I831" s="34"/>
    </row>
    <row r="832" spans="1:9" x14ac:dyDescent="0.25">
      <c r="A832" s="34"/>
      <c r="B832" t="s">
        <v>1022</v>
      </c>
      <c r="C832">
        <v>195.67</v>
      </c>
      <c r="D832" s="94">
        <v>13794647</v>
      </c>
      <c r="E832" s="73"/>
      <c r="F832" s="74"/>
      <c r="I832" s="34"/>
    </row>
    <row r="833" spans="1:9" x14ac:dyDescent="0.25">
      <c r="A833" s="34"/>
      <c r="B833" t="s">
        <v>1023</v>
      </c>
      <c r="C833">
        <v>199.03</v>
      </c>
      <c r="D833" s="94">
        <v>15904846</v>
      </c>
      <c r="E833" s="73"/>
      <c r="F833" s="74"/>
      <c r="I833" s="34"/>
    </row>
    <row r="834" spans="1:9" x14ac:dyDescent="0.25">
      <c r="A834" s="34"/>
      <c r="B834" t="s">
        <v>1024</v>
      </c>
      <c r="C834">
        <v>195.9</v>
      </c>
      <c r="D834" s="94">
        <v>12995800</v>
      </c>
      <c r="E834" s="73"/>
      <c r="F834" s="74"/>
      <c r="I834" s="34"/>
    </row>
    <row r="835" spans="1:9" x14ac:dyDescent="0.25">
      <c r="A835" s="34"/>
      <c r="B835" t="s">
        <v>1025</v>
      </c>
      <c r="C835">
        <v>195.23</v>
      </c>
      <c r="D835" s="94">
        <v>23503453</v>
      </c>
      <c r="E835" s="73"/>
      <c r="F835" s="74"/>
      <c r="I835" s="34"/>
    </row>
    <row r="836" spans="1:9" x14ac:dyDescent="0.25">
      <c r="A836" s="34"/>
      <c r="B836" t="s">
        <v>1026</v>
      </c>
      <c r="C836">
        <v>195.54</v>
      </c>
      <c r="D836" s="94">
        <v>22132952</v>
      </c>
      <c r="E836" s="73"/>
      <c r="F836" s="74"/>
      <c r="I836" s="34"/>
    </row>
    <row r="837" spans="1:9" x14ac:dyDescent="0.25">
      <c r="A837" s="34"/>
      <c r="B837" t="s">
        <v>1027</v>
      </c>
      <c r="C837">
        <v>197.75</v>
      </c>
      <c r="D837" s="94">
        <v>27027022</v>
      </c>
      <c r="E837" s="73"/>
      <c r="F837" s="74"/>
      <c r="I837" s="34"/>
    </row>
    <row r="838" spans="1:9" x14ac:dyDescent="0.25">
      <c r="A838" s="34"/>
      <c r="B838" t="s">
        <v>1028</v>
      </c>
      <c r="C838">
        <v>204.19</v>
      </c>
      <c r="D838" s="94">
        <v>23904846</v>
      </c>
      <c r="E838" s="73"/>
      <c r="F838" s="74"/>
      <c r="I838" s="34"/>
    </row>
    <row r="839" spans="1:9" x14ac:dyDescent="0.25">
      <c r="A839" s="34"/>
      <c r="B839" t="s">
        <v>1029</v>
      </c>
      <c r="C839">
        <v>201.02</v>
      </c>
      <c r="D839" s="94">
        <v>14139854</v>
      </c>
      <c r="E839" s="73"/>
      <c r="F839" s="74"/>
      <c r="I839" s="34"/>
    </row>
    <row r="840" spans="1:9" x14ac:dyDescent="0.25">
      <c r="A840" s="34"/>
      <c r="B840" t="s">
        <v>1030</v>
      </c>
      <c r="C840">
        <v>204.46</v>
      </c>
      <c r="D840" s="94">
        <v>13433385</v>
      </c>
      <c r="E840" s="73"/>
      <c r="F840" s="74"/>
      <c r="I840" s="34"/>
    </row>
    <row r="841" spans="1:9" x14ac:dyDescent="0.25">
      <c r="A841" s="34"/>
      <c r="B841" t="s">
        <v>1031</v>
      </c>
      <c r="C841">
        <v>203.84</v>
      </c>
      <c r="D841" s="94">
        <v>22574227</v>
      </c>
      <c r="E841" s="73"/>
      <c r="F841" s="74"/>
      <c r="I841" s="34"/>
    </row>
    <row r="842" spans="1:9" x14ac:dyDescent="0.25">
      <c r="A842" s="34"/>
      <c r="B842" t="s">
        <v>1032</v>
      </c>
      <c r="C842">
        <v>209.67</v>
      </c>
      <c r="D842" s="94">
        <v>20226071</v>
      </c>
      <c r="E842" s="73"/>
      <c r="F842" s="74"/>
      <c r="I842" s="34"/>
    </row>
    <row r="843" spans="1:9" x14ac:dyDescent="0.25">
      <c r="A843" s="34"/>
      <c r="B843" t="s">
        <v>1033</v>
      </c>
      <c r="C843">
        <v>211.43</v>
      </c>
      <c r="D843" s="94">
        <v>46697822</v>
      </c>
      <c r="E843" s="73"/>
      <c r="F843" s="74"/>
      <c r="I843" s="34"/>
    </row>
    <row r="844" spans="1:9" x14ac:dyDescent="0.25">
      <c r="A844" s="34"/>
      <c r="B844" t="s">
        <v>1034</v>
      </c>
      <c r="C844">
        <v>207.86</v>
      </c>
      <c r="D844" s="94">
        <v>14675969</v>
      </c>
      <c r="E844" s="73"/>
      <c r="F844" s="74"/>
      <c r="I844" s="34"/>
    </row>
    <row r="845" spans="1:9" x14ac:dyDescent="0.25">
      <c r="A845" s="34"/>
      <c r="B845" t="s">
        <v>1035</v>
      </c>
      <c r="C845">
        <v>210.2</v>
      </c>
      <c r="D845" s="94">
        <v>38755267</v>
      </c>
      <c r="E845" s="73"/>
      <c r="F845" s="74"/>
      <c r="I845" s="34"/>
    </row>
    <row r="846" spans="1:9" x14ac:dyDescent="0.25">
      <c r="A846" s="34"/>
      <c r="B846" t="s">
        <v>1036</v>
      </c>
      <c r="C846">
        <v>205.61</v>
      </c>
      <c r="D846" s="94">
        <v>11855531</v>
      </c>
      <c r="E846" s="73"/>
      <c r="F846" s="74"/>
      <c r="I846" s="34"/>
    </row>
    <row r="847" spans="1:9" x14ac:dyDescent="0.25">
      <c r="A847" s="34"/>
      <c r="B847" t="s">
        <v>1037</v>
      </c>
      <c r="C847">
        <v>203.05</v>
      </c>
      <c r="D847" s="94">
        <v>8134962</v>
      </c>
      <c r="E847" s="73"/>
      <c r="F847" s="74"/>
      <c r="I847" s="34"/>
    </row>
    <row r="848" spans="1:9" x14ac:dyDescent="0.25">
      <c r="A848" s="34"/>
      <c r="B848" t="s">
        <v>1038</v>
      </c>
      <c r="C848">
        <v>203.8</v>
      </c>
      <c r="D848" s="94">
        <v>13431108</v>
      </c>
      <c r="E848" s="73"/>
      <c r="F848" s="74"/>
      <c r="I848" s="34"/>
    </row>
    <row r="849" spans="1:9" x14ac:dyDescent="0.25">
      <c r="A849" s="34"/>
      <c r="B849" t="s">
        <v>1039</v>
      </c>
      <c r="C849">
        <v>201.94</v>
      </c>
      <c r="D849" s="94">
        <v>11520817</v>
      </c>
      <c r="E849" s="73"/>
      <c r="F849" s="74"/>
      <c r="I849" s="34"/>
    </row>
    <row r="850" spans="1:9" x14ac:dyDescent="0.25">
      <c r="A850" s="34"/>
      <c r="B850" t="s">
        <v>1040</v>
      </c>
      <c r="C850">
        <v>202.87</v>
      </c>
      <c r="D850" s="94">
        <v>20270558</v>
      </c>
      <c r="E850" s="73"/>
      <c r="F850" s="74"/>
      <c r="I850" s="34"/>
    </row>
    <row r="851" spans="1:9" x14ac:dyDescent="0.25">
      <c r="A851" s="34"/>
      <c r="B851" t="s">
        <v>1041</v>
      </c>
      <c r="C851">
        <v>200</v>
      </c>
      <c r="D851" s="94">
        <v>7024796</v>
      </c>
      <c r="E851" s="73"/>
      <c r="F851" s="74"/>
      <c r="I851" s="34"/>
    </row>
    <row r="852" spans="1:9" x14ac:dyDescent="0.25">
      <c r="A852" s="34"/>
      <c r="B852" t="s">
        <v>1042</v>
      </c>
      <c r="C852">
        <v>196.38</v>
      </c>
      <c r="D852" s="94">
        <v>17843327</v>
      </c>
      <c r="E852" s="73"/>
      <c r="F852" s="74"/>
      <c r="I852" s="34"/>
    </row>
    <row r="853" spans="1:9" x14ac:dyDescent="0.25">
      <c r="A853" s="34"/>
      <c r="B853" t="s">
        <v>1043</v>
      </c>
      <c r="C853">
        <v>199.16</v>
      </c>
      <c r="D853" s="94">
        <v>14343859</v>
      </c>
      <c r="E853" s="73"/>
      <c r="F853" s="74"/>
      <c r="I853" s="34"/>
    </row>
    <row r="854" spans="1:9" x14ac:dyDescent="0.25">
      <c r="A854" s="34"/>
      <c r="B854" t="s">
        <v>1044</v>
      </c>
      <c r="C854">
        <v>200.27</v>
      </c>
      <c r="D854" s="94">
        <v>23197539</v>
      </c>
      <c r="E854" s="73"/>
      <c r="F854" s="74"/>
      <c r="I854" s="34"/>
    </row>
    <row r="855" spans="1:9" x14ac:dyDescent="0.25">
      <c r="A855" s="34"/>
      <c r="B855" t="s">
        <v>1045</v>
      </c>
      <c r="C855">
        <v>197.04</v>
      </c>
      <c r="D855" s="94">
        <v>26642108</v>
      </c>
      <c r="E855" s="73"/>
      <c r="F855" s="74"/>
      <c r="I855" s="34"/>
    </row>
    <row r="856" spans="1:9" x14ac:dyDescent="0.25">
      <c r="A856" s="34"/>
      <c r="B856" t="s">
        <v>1046</v>
      </c>
      <c r="C856">
        <v>198.72</v>
      </c>
      <c r="D856" s="94">
        <v>46282465</v>
      </c>
      <c r="E856" s="73"/>
      <c r="F856" s="74"/>
      <c r="I856" s="34"/>
    </row>
    <row r="857" spans="1:9" x14ac:dyDescent="0.25">
      <c r="A857" s="34"/>
      <c r="B857" t="s">
        <v>1047</v>
      </c>
      <c r="C857">
        <v>210.51</v>
      </c>
      <c r="D857" s="94">
        <v>25911499</v>
      </c>
      <c r="E857" s="73"/>
      <c r="F857" s="74"/>
      <c r="I857" s="34"/>
    </row>
    <row r="858" spans="1:9" x14ac:dyDescent="0.25">
      <c r="A858" s="34"/>
      <c r="B858" t="s">
        <v>1048</v>
      </c>
      <c r="C858">
        <v>208.96</v>
      </c>
      <c r="D858" s="94">
        <v>18934170</v>
      </c>
      <c r="E858" s="73"/>
      <c r="F858" s="74"/>
      <c r="I858" s="34"/>
    </row>
    <row r="859" spans="1:9" x14ac:dyDescent="0.25">
      <c r="A859" s="34"/>
      <c r="B859" t="s">
        <v>1049</v>
      </c>
      <c r="C859">
        <v>206.05</v>
      </c>
      <c r="D859" s="94">
        <v>22333919</v>
      </c>
      <c r="E859" s="73"/>
      <c r="F859" s="74"/>
      <c r="I859" s="34"/>
    </row>
    <row r="860" spans="1:9" x14ac:dyDescent="0.25">
      <c r="A860" s="34"/>
      <c r="B860" t="s">
        <v>1050</v>
      </c>
      <c r="C860">
        <v>208.87</v>
      </c>
      <c r="D860" s="94">
        <v>35537151</v>
      </c>
      <c r="E860" s="73"/>
      <c r="F860" s="74"/>
      <c r="I860" s="34"/>
    </row>
    <row r="861" spans="1:9" x14ac:dyDescent="0.25">
      <c r="A861" s="34"/>
      <c r="B861" t="s">
        <v>1051</v>
      </c>
      <c r="C861">
        <v>216.02</v>
      </c>
      <c r="D861" s="94">
        <v>22518727</v>
      </c>
      <c r="E861" s="73"/>
      <c r="F861" s="74"/>
      <c r="I861" s="34"/>
    </row>
    <row r="862" spans="1:9" x14ac:dyDescent="0.25">
      <c r="A862" s="34"/>
      <c r="B862" t="s">
        <v>1052</v>
      </c>
      <c r="C862">
        <v>217.7</v>
      </c>
      <c r="D862" s="94">
        <v>47822165</v>
      </c>
      <c r="E862" s="73"/>
      <c r="F862" s="74"/>
      <c r="I862" s="34"/>
    </row>
    <row r="863" spans="1:9" x14ac:dyDescent="0.25">
      <c r="A863" s="34"/>
      <c r="B863" t="s">
        <v>1053</v>
      </c>
      <c r="C863">
        <v>217.13</v>
      </c>
      <c r="D863" s="94">
        <v>59061766</v>
      </c>
      <c r="E863" s="73"/>
      <c r="F863" s="74"/>
      <c r="I863" s="34"/>
    </row>
    <row r="864" spans="1:9" x14ac:dyDescent="0.25">
      <c r="A864" s="34"/>
      <c r="B864" t="s">
        <v>1054</v>
      </c>
      <c r="C864">
        <v>231.78</v>
      </c>
      <c r="D864" s="94">
        <v>60292901</v>
      </c>
      <c r="E864" s="73"/>
      <c r="F864" s="74"/>
      <c r="I864" s="34"/>
    </row>
    <row r="865" spans="1:9" x14ac:dyDescent="0.25">
      <c r="A865" s="34"/>
      <c r="B865" t="s">
        <v>1055</v>
      </c>
      <c r="C865">
        <v>226.49</v>
      </c>
      <c r="D865" s="94">
        <v>85406902</v>
      </c>
      <c r="E865" s="73"/>
      <c r="F865" s="74"/>
      <c r="I865" s="34"/>
    </row>
    <row r="866" spans="1:9" x14ac:dyDescent="0.25">
      <c r="A866" s="34"/>
      <c r="B866" t="s">
        <v>1056</v>
      </c>
      <c r="C866">
        <v>220</v>
      </c>
      <c r="D866" s="94">
        <v>50159625</v>
      </c>
      <c r="E866" s="73"/>
      <c r="F866" s="74"/>
      <c r="I866" s="34"/>
    </row>
    <row r="867" spans="1:9" x14ac:dyDescent="0.25">
      <c r="A867" s="34"/>
      <c r="B867" t="s">
        <v>1057</v>
      </c>
      <c r="C867">
        <v>213.02</v>
      </c>
      <c r="D867" s="94">
        <v>29222028</v>
      </c>
      <c r="E867" s="73"/>
      <c r="F867" s="74"/>
      <c r="I867" s="34"/>
    </row>
    <row r="868" spans="1:9" x14ac:dyDescent="0.25">
      <c r="A868" s="34"/>
      <c r="B868" t="s">
        <v>1058</v>
      </c>
      <c r="C868">
        <v>210.15</v>
      </c>
      <c r="D868" s="94">
        <v>21184428</v>
      </c>
      <c r="E868" s="73"/>
      <c r="F868" s="74"/>
      <c r="I868" s="34"/>
    </row>
    <row r="869" spans="1:9" x14ac:dyDescent="0.25">
      <c r="A869" s="34"/>
      <c r="B869" t="s">
        <v>1059</v>
      </c>
      <c r="C869">
        <v>204.55</v>
      </c>
      <c r="D869" s="94">
        <v>9739240</v>
      </c>
      <c r="E869" s="73"/>
      <c r="F869" s="74"/>
      <c r="I869" s="34"/>
    </row>
    <row r="870" spans="1:9" x14ac:dyDescent="0.25">
      <c r="A870" s="34"/>
      <c r="B870" t="s">
        <v>1060</v>
      </c>
      <c r="C870">
        <v>205.65</v>
      </c>
      <c r="D870" s="94">
        <v>10371535</v>
      </c>
      <c r="E870" s="73"/>
      <c r="F870" s="74"/>
      <c r="I870" s="34"/>
    </row>
    <row r="871" spans="1:9" x14ac:dyDescent="0.25">
      <c r="A871" s="34"/>
      <c r="B871" t="s">
        <v>1061</v>
      </c>
      <c r="C871">
        <v>204.15</v>
      </c>
      <c r="D871" s="94">
        <v>17505160</v>
      </c>
      <c r="E871" s="73"/>
      <c r="F871" s="74"/>
      <c r="I871" s="34"/>
    </row>
    <row r="872" spans="1:9" x14ac:dyDescent="0.25">
      <c r="A872" s="34"/>
      <c r="B872" t="s">
        <v>1062</v>
      </c>
      <c r="C872">
        <v>207.2</v>
      </c>
      <c r="D872" s="94">
        <v>9223597</v>
      </c>
      <c r="E872" s="73"/>
      <c r="F872" s="74"/>
      <c r="I872" s="34"/>
    </row>
    <row r="873" spans="1:9" x14ac:dyDescent="0.25">
      <c r="A873" s="34"/>
      <c r="B873" t="s">
        <v>1063</v>
      </c>
      <c r="C873">
        <v>208.87</v>
      </c>
      <c r="D873" s="94">
        <v>10686552</v>
      </c>
      <c r="E873" s="73"/>
      <c r="F873" s="74"/>
      <c r="I873" s="34"/>
    </row>
    <row r="874" spans="1:9" x14ac:dyDescent="0.25">
      <c r="A874" s="34"/>
      <c r="B874" t="s">
        <v>1064</v>
      </c>
      <c r="C874">
        <v>207.77</v>
      </c>
      <c r="D874" s="94">
        <v>15956143</v>
      </c>
      <c r="E874" s="73"/>
      <c r="F874" s="74"/>
      <c r="I874" s="34"/>
    </row>
    <row r="875" spans="1:9" x14ac:dyDescent="0.25">
      <c r="A875" s="34"/>
      <c r="B875" t="s">
        <v>1065</v>
      </c>
      <c r="C875">
        <v>208.48</v>
      </c>
      <c r="D875" s="94">
        <v>16357902</v>
      </c>
      <c r="E875" s="73"/>
      <c r="F875" s="74"/>
      <c r="I875" s="34"/>
    </row>
    <row r="876" spans="1:9" x14ac:dyDescent="0.25">
      <c r="A876" s="34"/>
      <c r="B876" t="s">
        <v>1066</v>
      </c>
      <c r="C876">
        <v>210.2</v>
      </c>
      <c r="D876" s="94">
        <v>15450046</v>
      </c>
      <c r="E876" s="73"/>
      <c r="F876" s="74"/>
      <c r="I876" s="34"/>
    </row>
    <row r="877" spans="1:9" x14ac:dyDescent="0.25">
      <c r="A877" s="34"/>
      <c r="B877" t="s">
        <v>1067</v>
      </c>
      <c r="C877">
        <v>209.89</v>
      </c>
      <c r="D877" s="94">
        <v>15713947</v>
      </c>
      <c r="E877" s="73"/>
      <c r="F877" s="74"/>
      <c r="I877" s="34"/>
    </row>
    <row r="878" spans="1:9" x14ac:dyDescent="0.25">
      <c r="A878" s="34"/>
      <c r="B878" t="s">
        <v>1068</v>
      </c>
      <c r="C878">
        <v>210.73</v>
      </c>
      <c r="D878" s="94">
        <v>22890540</v>
      </c>
      <c r="E878" s="73"/>
      <c r="F878" s="74"/>
      <c r="I878" s="34"/>
    </row>
    <row r="879" spans="1:9" x14ac:dyDescent="0.25">
      <c r="A879" s="34"/>
      <c r="B879" t="s">
        <v>1069</v>
      </c>
      <c r="C879">
        <v>210.51</v>
      </c>
      <c r="D879" s="94">
        <v>24823291</v>
      </c>
      <c r="E879" s="73"/>
      <c r="F879" s="74"/>
      <c r="I879" s="34"/>
    </row>
    <row r="880" spans="1:9" x14ac:dyDescent="0.25">
      <c r="A880" s="34"/>
      <c r="B880" t="s">
        <v>1070</v>
      </c>
      <c r="C880">
        <v>214.08</v>
      </c>
      <c r="D880" s="94">
        <v>21791090</v>
      </c>
      <c r="E880" s="73"/>
      <c r="F880" s="74"/>
      <c r="I880" s="34"/>
    </row>
    <row r="881" spans="1:9" x14ac:dyDescent="0.25">
      <c r="A881" s="34"/>
      <c r="B881" t="s">
        <v>1071</v>
      </c>
      <c r="C881">
        <v>214.96</v>
      </c>
      <c r="D881" s="94">
        <v>52621868</v>
      </c>
      <c r="E881" s="73"/>
      <c r="F881" s="74"/>
      <c r="I881" s="34"/>
    </row>
    <row r="882" spans="1:9" x14ac:dyDescent="0.25">
      <c r="A882" s="34"/>
      <c r="B882" t="s">
        <v>1072</v>
      </c>
      <c r="C882">
        <v>213.2</v>
      </c>
      <c r="D882" s="94">
        <v>56671832</v>
      </c>
      <c r="E882" s="73"/>
      <c r="F882" s="74"/>
      <c r="I882" s="34"/>
    </row>
    <row r="883" spans="1:9" x14ac:dyDescent="0.25">
      <c r="A883" s="34"/>
      <c r="B883" t="s">
        <v>1073</v>
      </c>
      <c r="C883">
        <v>206.36</v>
      </c>
      <c r="D883" s="94">
        <v>70390969</v>
      </c>
      <c r="E883" s="73"/>
      <c r="F883" s="74"/>
      <c r="I883" s="34"/>
    </row>
    <row r="884" spans="1:9" x14ac:dyDescent="0.25">
      <c r="A884" s="34"/>
      <c r="B884" t="s">
        <v>1074</v>
      </c>
      <c r="C884">
        <v>204.06</v>
      </c>
      <c r="D884" s="94">
        <v>79501805</v>
      </c>
      <c r="E884" s="73"/>
      <c r="F884" s="74"/>
      <c r="I884" s="34"/>
    </row>
    <row r="885" spans="1:9" x14ac:dyDescent="0.25">
      <c r="A885" s="34"/>
      <c r="B885" t="s">
        <v>1075</v>
      </c>
      <c r="C885">
        <v>203.71</v>
      </c>
      <c r="D885" s="94">
        <v>149238901</v>
      </c>
      <c r="E885" s="73"/>
      <c r="F885" s="74"/>
      <c r="I885" s="34"/>
    </row>
    <row r="886" spans="1:9" x14ac:dyDescent="0.25">
      <c r="A886" s="34"/>
      <c r="B886" t="s">
        <v>1076</v>
      </c>
      <c r="C886">
        <v>190.69</v>
      </c>
      <c r="D886" s="94">
        <v>20248758</v>
      </c>
      <c r="E886" s="73"/>
      <c r="F886" s="74"/>
      <c r="I886" s="34"/>
    </row>
    <row r="887" spans="1:9" x14ac:dyDescent="0.25">
      <c r="A887" s="34"/>
      <c r="B887" t="s">
        <v>1077</v>
      </c>
      <c r="C887">
        <v>190.78</v>
      </c>
      <c r="D887" s="94">
        <v>19621849</v>
      </c>
      <c r="E887" s="73"/>
      <c r="F887" s="74"/>
      <c r="I887" s="34"/>
    </row>
    <row r="888" spans="1:9" x14ac:dyDescent="0.25">
      <c r="A888" s="34"/>
      <c r="B888" t="s">
        <v>1078</v>
      </c>
      <c r="C888">
        <v>189.05</v>
      </c>
      <c r="D888" s="94">
        <v>16043896</v>
      </c>
      <c r="E888" s="73"/>
      <c r="F888" s="74"/>
      <c r="I888" s="34"/>
    </row>
    <row r="889" spans="1:9" x14ac:dyDescent="0.25">
      <c r="A889" s="34"/>
      <c r="B889" t="s">
        <v>1079</v>
      </c>
      <c r="C889">
        <v>187.73</v>
      </c>
      <c r="D889" s="94">
        <v>19051252</v>
      </c>
      <c r="E889" s="73"/>
      <c r="F889" s="74"/>
      <c r="I889" s="34"/>
    </row>
    <row r="890" spans="1:9" x14ac:dyDescent="0.25">
      <c r="A890" s="34"/>
      <c r="B890" t="s">
        <v>1080</v>
      </c>
      <c r="C890">
        <v>186.49</v>
      </c>
      <c r="D890" s="94">
        <v>17233315</v>
      </c>
      <c r="E890" s="73"/>
      <c r="F890" s="74"/>
      <c r="I890" s="34"/>
    </row>
    <row r="891" spans="1:9" x14ac:dyDescent="0.25">
      <c r="A891" s="34"/>
      <c r="B891" t="s">
        <v>1081</v>
      </c>
      <c r="C891">
        <v>186.94</v>
      </c>
      <c r="D891" s="94">
        <v>37489544</v>
      </c>
      <c r="E891" s="73"/>
      <c r="F891" s="74"/>
      <c r="I891" s="34"/>
    </row>
    <row r="892" spans="1:9" x14ac:dyDescent="0.25">
      <c r="A892" s="34"/>
      <c r="B892" t="s">
        <v>1082</v>
      </c>
      <c r="C892">
        <v>184.77</v>
      </c>
      <c r="D892" s="94">
        <v>10632156</v>
      </c>
      <c r="E892" s="73"/>
      <c r="F892" s="74"/>
      <c r="I892" s="34"/>
    </row>
    <row r="893" spans="1:9" x14ac:dyDescent="0.25">
      <c r="A893" s="34"/>
      <c r="B893" t="s">
        <v>1083</v>
      </c>
      <c r="C893">
        <v>185.92</v>
      </c>
      <c r="D893" s="94">
        <v>10228853</v>
      </c>
      <c r="E893" s="73"/>
      <c r="F893" s="74"/>
      <c r="I893" s="34"/>
    </row>
    <row r="894" spans="1:9" x14ac:dyDescent="0.25">
      <c r="A894" s="34"/>
      <c r="B894" t="s">
        <v>1084</v>
      </c>
      <c r="C894">
        <v>185.17</v>
      </c>
      <c r="D894" s="94">
        <v>14321164</v>
      </c>
      <c r="E894" s="73"/>
      <c r="F894" s="74"/>
      <c r="I894" s="34"/>
    </row>
    <row r="895" spans="1:9" x14ac:dyDescent="0.25">
      <c r="A895" s="34"/>
      <c r="B895" t="s">
        <v>1085</v>
      </c>
      <c r="C895">
        <v>184.95</v>
      </c>
      <c r="D895" s="94">
        <v>16241960</v>
      </c>
      <c r="E895" s="73"/>
      <c r="F895" s="74"/>
      <c r="I895" s="34"/>
    </row>
    <row r="896" spans="1:9" x14ac:dyDescent="0.25">
      <c r="A896" s="34"/>
      <c r="B896" t="s">
        <v>1086</v>
      </c>
      <c r="C896">
        <v>186.54</v>
      </c>
      <c r="D896" s="94">
        <v>25808430</v>
      </c>
      <c r="E896" s="73"/>
      <c r="F896" s="74"/>
      <c r="I896" s="34"/>
    </row>
    <row r="897" spans="1:9" x14ac:dyDescent="0.25">
      <c r="A897" s="34"/>
      <c r="B897" t="s">
        <v>1087</v>
      </c>
      <c r="C897">
        <v>183.62</v>
      </c>
      <c r="D897" s="94">
        <v>12084844</v>
      </c>
      <c r="E897" s="73"/>
      <c r="F897" s="74"/>
      <c r="I897" s="34"/>
    </row>
    <row r="898" spans="1:9" x14ac:dyDescent="0.25">
      <c r="A898" s="34"/>
      <c r="B898" t="s">
        <v>1088</v>
      </c>
      <c r="C898">
        <v>181.77</v>
      </c>
      <c r="D898" s="94">
        <v>10476384</v>
      </c>
      <c r="E898" s="73"/>
      <c r="F898" s="74"/>
      <c r="I898" s="34"/>
    </row>
    <row r="899" spans="1:9" x14ac:dyDescent="0.25">
      <c r="A899" s="34"/>
      <c r="B899" t="s">
        <v>1089</v>
      </c>
      <c r="C899">
        <v>180.62</v>
      </c>
      <c r="D899" s="94">
        <v>14836173</v>
      </c>
      <c r="E899" s="73"/>
      <c r="F899" s="74"/>
      <c r="I899" s="34"/>
    </row>
    <row r="900" spans="1:9" x14ac:dyDescent="0.25">
      <c r="A900" s="34"/>
      <c r="B900" t="s">
        <v>1090</v>
      </c>
      <c r="C900">
        <v>182.21</v>
      </c>
      <c r="D900" s="94">
        <v>10586894</v>
      </c>
      <c r="E900" s="73"/>
      <c r="F900" s="74"/>
      <c r="I900" s="34"/>
    </row>
    <row r="901" spans="1:9" x14ac:dyDescent="0.25">
      <c r="A901" s="34"/>
      <c r="B901" t="s">
        <v>1091</v>
      </c>
      <c r="C901">
        <v>181.64</v>
      </c>
      <c r="D901" s="94">
        <v>12490094</v>
      </c>
      <c r="E901" s="73"/>
      <c r="F901" s="74"/>
      <c r="I901" s="34"/>
    </row>
    <row r="902" spans="1:9" x14ac:dyDescent="0.25">
      <c r="A902" s="34"/>
      <c r="B902" t="s">
        <v>1092</v>
      </c>
      <c r="C902">
        <v>182.12</v>
      </c>
      <c r="D902" s="94">
        <v>9936365</v>
      </c>
      <c r="E902" s="73"/>
      <c r="F902" s="74"/>
      <c r="I902" s="34"/>
    </row>
    <row r="903" spans="1:9" x14ac:dyDescent="0.25">
      <c r="A903" s="34"/>
      <c r="B903" t="s">
        <v>1093</v>
      </c>
      <c r="C903">
        <v>184.42</v>
      </c>
      <c r="D903" s="94">
        <v>19421004</v>
      </c>
      <c r="E903" s="73"/>
      <c r="F903" s="74"/>
      <c r="I903" s="34"/>
    </row>
    <row r="904" spans="1:9" x14ac:dyDescent="0.25">
      <c r="A904" s="34"/>
      <c r="B904" t="s">
        <v>1094</v>
      </c>
      <c r="C904">
        <v>184.46</v>
      </c>
      <c r="D904" s="94">
        <v>10735658</v>
      </c>
      <c r="E904" s="73"/>
      <c r="F904" s="74"/>
      <c r="I904" s="34"/>
    </row>
    <row r="905" spans="1:9" x14ac:dyDescent="0.25">
      <c r="A905" s="34"/>
      <c r="B905" t="s">
        <v>1095</v>
      </c>
      <c r="C905">
        <v>184.68</v>
      </c>
      <c r="D905" s="94">
        <v>7858486</v>
      </c>
      <c r="E905" s="73"/>
      <c r="F905" s="74"/>
      <c r="I905" s="34"/>
    </row>
    <row r="906" spans="1:9" x14ac:dyDescent="0.25">
      <c r="A906" s="34"/>
      <c r="B906" t="s">
        <v>1096</v>
      </c>
      <c r="C906">
        <v>186.18</v>
      </c>
      <c r="D906" s="94">
        <v>11190075</v>
      </c>
      <c r="E906" s="73"/>
      <c r="F906" s="74"/>
      <c r="I906" s="34"/>
    </row>
    <row r="907" spans="1:9" x14ac:dyDescent="0.25">
      <c r="A907" s="34"/>
      <c r="B907" t="s">
        <v>1097</v>
      </c>
      <c r="C907">
        <v>186.67</v>
      </c>
      <c r="D907" s="94">
        <v>18850939</v>
      </c>
      <c r="E907" s="73"/>
      <c r="F907" s="74"/>
      <c r="I907" s="34"/>
    </row>
    <row r="908" spans="1:9" x14ac:dyDescent="0.25">
      <c r="A908" s="34"/>
      <c r="B908" t="s">
        <v>1098</v>
      </c>
      <c r="C908">
        <v>184.42</v>
      </c>
      <c r="D908" s="94">
        <v>27692208</v>
      </c>
      <c r="E908" s="73"/>
      <c r="F908" s="74"/>
      <c r="I908" s="34"/>
    </row>
    <row r="909" spans="1:9" x14ac:dyDescent="0.25">
      <c r="A909" s="34"/>
      <c r="B909" t="s">
        <v>1099</v>
      </c>
      <c r="C909">
        <v>184.2</v>
      </c>
      <c r="D909" s="94">
        <v>15418634</v>
      </c>
      <c r="E909" s="73"/>
      <c r="F909" s="74"/>
      <c r="I909" s="34"/>
    </row>
    <row r="910" spans="1:9" x14ac:dyDescent="0.25">
      <c r="A910" s="34"/>
      <c r="B910" t="s">
        <v>1100</v>
      </c>
      <c r="C910">
        <v>185.26</v>
      </c>
      <c r="D910" s="94">
        <v>18155926</v>
      </c>
      <c r="E910" s="73"/>
      <c r="F910" s="74"/>
      <c r="I910" s="34"/>
    </row>
    <row r="911" spans="1:9" x14ac:dyDescent="0.25">
      <c r="A911" s="34"/>
      <c r="B911" t="s">
        <v>1101</v>
      </c>
      <c r="C911">
        <v>188.74</v>
      </c>
      <c r="D911" s="94">
        <v>20358146</v>
      </c>
      <c r="E911" s="73"/>
      <c r="F911" s="74"/>
      <c r="I911" s="34"/>
    </row>
    <row r="912" spans="1:9" x14ac:dyDescent="0.25">
      <c r="A912" s="34"/>
      <c r="B912" t="s">
        <v>1102</v>
      </c>
      <c r="C912">
        <v>189.14</v>
      </c>
      <c r="D912" s="94">
        <v>23581637</v>
      </c>
      <c r="E912" s="73"/>
      <c r="F912" s="74"/>
      <c r="I912" s="34"/>
    </row>
    <row r="913" spans="1:9" x14ac:dyDescent="0.25">
      <c r="A913" s="34"/>
      <c r="B913" t="s">
        <v>1103</v>
      </c>
      <c r="C913">
        <v>190.02</v>
      </c>
      <c r="D913" s="94">
        <v>47178466</v>
      </c>
      <c r="E913" s="73"/>
      <c r="F913" s="74"/>
      <c r="I913" s="34"/>
    </row>
    <row r="914" spans="1:9" x14ac:dyDescent="0.25">
      <c r="A914" s="34"/>
      <c r="B914" t="s">
        <v>1104</v>
      </c>
      <c r="C914">
        <v>184.15</v>
      </c>
      <c r="D914" s="94">
        <v>10998260</v>
      </c>
      <c r="E914" s="73"/>
      <c r="F914" s="74"/>
      <c r="I914" s="34"/>
    </row>
    <row r="915" spans="1:9" x14ac:dyDescent="0.25">
      <c r="A915" s="34"/>
      <c r="B915" t="s">
        <v>1105</v>
      </c>
      <c r="C915">
        <v>185.3</v>
      </c>
      <c r="D915" s="94">
        <v>18468527</v>
      </c>
      <c r="E915" s="73"/>
      <c r="F915" s="74"/>
      <c r="I915" s="34"/>
    </row>
    <row r="916" spans="1:9" x14ac:dyDescent="0.25">
      <c r="A916" s="34"/>
      <c r="B916" t="s">
        <v>1106</v>
      </c>
      <c r="C916">
        <v>183.01</v>
      </c>
      <c r="D916" s="94">
        <v>9674128</v>
      </c>
      <c r="E916" s="73"/>
      <c r="F916" s="74"/>
      <c r="I916" s="34"/>
    </row>
    <row r="917" spans="1:9" x14ac:dyDescent="0.25">
      <c r="A917" s="34"/>
      <c r="B917" t="s">
        <v>1107</v>
      </c>
      <c r="C917">
        <v>180.93</v>
      </c>
      <c r="D917" s="94">
        <v>14940336</v>
      </c>
      <c r="E917" s="73"/>
      <c r="F917" s="74"/>
      <c r="I917" s="34"/>
    </row>
    <row r="918" spans="1:9" x14ac:dyDescent="0.25">
      <c r="A918" s="34"/>
      <c r="B918" t="s">
        <v>1108</v>
      </c>
      <c r="C918">
        <v>181.9</v>
      </c>
      <c r="D918" s="94">
        <v>15603733</v>
      </c>
      <c r="E918" s="73"/>
      <c r="F918" s="74"/>
      <c r="I918" s="34"/>
    </row>
    <row r="919" spans="1:9" x14ac:dyDescent="0.25">
      <c r="A919" s="34"/>
      <c r="B919" t="s">
        <v>1109</v>
      </c>
      <c r="C919">
        <v>184.6</v>
      </c>
      <c r="D919" s="94">
        <v>14736840</v>
      </c>
      <c r="E919" s="73"/>
      <c r="F919" s="74"/>
      <c r="I919" s="34"/>
    </row>
    <row r="920" spans="1:9" x14ac:dyDescent="0.25">
      <c r="A920" s="34"/>
      <c r="B920" t="s">
        <v>1110</v>
      </c>
      <c r="C920">
        <v>184.2</v>
      </c>
      <c r="D920" s="94">
        <v>24436949</v>
      </c>
      <c r="E920" s="73"/>
      <c r="F920" s="74"/>
      <c r="I920" s="34"/>
    </row>
    <row r="921" spans="1:9" x14ac:dyDescent="0.25">
      <c r="A921" s="34"/>
      <c r="B921" t="s">
        <v>1111</v>
      </c>
      <c r="C921">
        <v>186.41</v>
      </c>
      <c r="D921" s="94">
        <v>47263771</v>
      </c>
      <c r="E921" s="73"/>
      <c r="F921" s="74"/>
      <c r="I921" s="34"/>
    </row>
    <row r="922" spans="1:9" x14ac:dyDescent="0.25">
      <c r="A922" s="34"/>
      <c r="B922" t="s">
        <v>1112</v>
      </c>
      <c r="C922">
        <v>187.51</v>
      </c>
      <c r="D922" s="94">
        <v>44526781</v>
      </c>
      <c r="E922" s="73"/>
      <c r="F922" s="74"/>
      <c r="I922" s="34"/>
    </row>
    <row r="923" spans="1:9" x14ac:dyDescent="0.25">
      <c r="A923" s="34"/>
      <c r="B923" t="s">
        <v>1113</v>
      </c>
      <c r="C923">
        <v>182.74</v>
      </c>
      <c r="D923" s="94">
        <v>18311537</v>
      </c>
      <c r="E923" s="73"/>
      <c r="F923" s="74"/>
      <c r="I923" s="34"/>
    </row>
    <row r="924" spans="1:9" x14ac:dyDescent="0.25">
      <c r="A924" s="34"/>
      <c r="B924" t="s">
        <v>1114</v>
      </c>
      <c r="C924">
        <v>182.57</v>
      </c>
      <c r="D924" s="94">
        <v>23656813</v>
      </c>
      <c r="E924" s="73"/>
      <c r="F924" s="74"/>
      <c r="I924" s="34"/>
    </row>
    <row r="925" spans="1:9" x14ac:dyDescent="0.25">
      <c r="A925" s="34"/>
      <c r="B925" t="s">
        <v>1115</v>
      </c>
      <c r="C925">
        <v>183.4</v>
      </c>
      <c r="D925" s="94">
        <v>16464973</v>
      </c>
      <c r="E925" s="73"/>
      <c r="F925" s="74"/>
      <c r="I925" s="34"/>
    </row>
    <row r="926" spans="1:9" x14ac:dyDescent="0.25">
      <c r="A926" s="34"/>
      <c r="B926" t="s">
        <v>1116</v>
      </c>
      <c r="C926">
        <v>183.54</v>
      </c>
      <c r="D926" s="94">
        <v>29019824</v>
      </c>
      <c r="E926" s="73"/>
      <c r="F926" s="74"/>
      <c r="I926" s="34"/>
    </row>
    <row r="927" spans="1:9" x14ac:dyDescent="0.25">
      <c r="A927" s="34"/>
      <c r="B927" t="s">
        <v>1117</v>
      </c>
      <c r="C927">
        <v>182.08</v>
      </c>
      <c r="D927" s="94">
        <v>28852257</v>
      </c>
      <c r="E927" s="73"/>
      <c r="F927" s="74"/>
      <c r="I927" s="34"/>
    </row>
    <row r="928" spans="1:9" x14ac:dyDescent="0.25">
      <c r="A928" s="34"/>
      <c r="B928" t="s">
        <v>1118</v>
      </c>
      <c r="C928">
        <v>180.18</v>
      </c>
      <c r="D928" s="94">
        <v>20480406</v>
      </c>
      <c r="E928" s="73"/>
      <c r="F928" s="74"/>
      <c r="I928" s="34"/>
    </row>
    <row r="929" spans="1:9" x14ac:dyDescent="0.25">
      <c r="A929" s="34"/>
      <c r="B929" t="s">
        <v>1119</v>
      </c>
      <c r="C929">
        <v>178.2</v>
      </c>
      <c r="D929" s="94">
        <v>10830411</v>
      </c>
      <c r="E929" s="73"/>
      <c r="F929" s="74"/>
      <c r="I929" s="34"/>
    </row>
    <row r="930" spans="1:9" x14ac:dyDescent="0.25">
      <c r="A930" s="34"/>
      <c r="B930" t="s">
        <v>1120</v>
      </c>
      <c r="C930">
        <v>177.53</v>
      </c>
      <c r="D930" s="94">
        <v>13085323</v>
      </c>
      <c r="E930" s="73"/>
      <c r="F930" s="74"/>
      <c r="I930" s="34"/>
    </row>
    <row r="931" spans="1:9" x14ac:dyDescent="0.25">
      <c r="A931" s="34"/>
      <c r="B931" t="s">
        <v>1121</v>
      </c>
      <c r="C931">
        <v>177.75</v>
      </c>
      <c r="D931" s="94">
        <v>11834045</v>
      </c>
      <c r="E931" s="73"/>
      <c r="F931" s="74"/>
      <c r="I931" s="34"/>
    </row>
    <row r="932" spans="1:9" x14ac:dyDescent="0.25">
      <c r="A932" s="34"/>
      <c r="B932" t="s">
        <v>1122</v>
      </c>
      <c r="C932">
        <v>178.33</v>
      </c>
      <c r="D932" s="94">
        <v>20925008</v>
      </c>
      <c r="E932" s="73"/>
      <c r="F932" s="74"/>
      <c r="I932" s="34"/>
    </row>
    <row r="933" spans="1:9" x14ac:dyDescent="0.25">
      <c r="A933" s="34"/>
      <c r="B933" t="s">
        <v>1123</v>
      </c>
      <c r="C933">
        <v>179.87</v>
      </c>
      <c r="D933" s="94">
        <v>17879443</v>
      </c>
      <c r="E933" s="73"/>
      <c r="F933" s="74"/>
      <c r="I933" s="34"/>
    </row>
    <row r="934" spans="1:9" x14ac:dyDescent="0.25">
      <c r="A934" s="34"/>
      <c r="B934" t="s">
        <v>1124</v>
      </c>
      <c r="C934">
        <v>178.77</v>
      </c>
      <c r="D934" s="94">
        <v>11088659</v>
      </c>
      <c r="E934" s="73"/>
      <c r="F934" s="74"/>
      <c r="I934" s="34"/>
    </row>
    <row r="935" spans="1:9" x14ac:dyDescent="0.25">
      <c r="A935" s="34"/>
      <c r="B935" t="s">
        <v>1125</v>
      </c>
      <c r="C935">
        <v>179.78</v>
      </c>
      <c r="D935" s="94">
        <v>10248249</v>
      </c>
      <c r="E935" s="73"/>
      <c r="F935" s="74"/>
      <c r="I935" s="34"/>
    </row>
    <row r="936" spans="1:9" x14ac:dyDescent="0.25">
      <c r="A936" s="34"/>
      <c r="B936" t="s">
        <v>1126</v>
      </c>
      <c r="C936">
        <v>178.68</v>
      </c>
      <c r="D936" s="94">
        <v>12698779</v>
      </c>
      <c r="E936" s="73"/>
      <c r="F936" s="74"/>
      <c r="I936" s="34"/>
    </row>
    <row r="937" spans="1:9" x14ac:dyDescent="0.25">
      <c r="A937" s="34"/>
      <c r="B937" t="s">
        <v>1127</v>
      </c>
      <c r="C937">
        <v>179.21</v>
      </c>
      <c r="D937" s="94">
        <v>10191296</v>
      </c>
      <c r="E937" s="73"/>
      <c r="F937" s="74"/>
      <c r="I937" s="34"/>
    </row>
    <row r="938" spans="1:9" x14ac:dyDescent="0.25">
      <c r="A938" s="34"/>
      <c r="B938" t="s">
        <v>1128</v>
      </c>
      <c r="C938">
        <v>178.95</v>
      </c>
      <c r="D938" s="94">
        <v>15942408</v>
      </c>
      <c r="E938" s="73"/>
      <c r="F938" s="74"/>
      <c r="I938" s="34"/>
    </row>
    <row r="939" spans="1:9" x14ac:dyDescent="0.25">
      <c r="A939" s="34"/>
      <c r="B939" t="s">
        <v>1129</v>
      </c>
      <c r="C939">
        <v>179.48</v>
      </c>
      <c r="D939" s="94">
        <v>13326068</v>
      </c>
      <c r="E939" s="73"/>
      <c r="F939" s="74"/>
      <c r="I939" s="34"/>
    </row>
    <row r="940" spans="1:9" x14ac:dyDescent="0.25">
      <c r="A940" s="34"/>
      <c r="B940" t="s">
        <v>1130</v>
      </c>
      <c r="C940">
        <v>179.74</v>
      </c>
      <c r="D940" s="94">
        <v>14627153</v>
      </c>
      <c r="E940" s="73"/>
      <c r="F940" s="74"/>
      <c r="I940" s="34"/>
    </row>
    <row r="941" spans="1:9" x14ac:dyDescent="0.25">
      <c r="A941" s="34"/>
      <c r="B941" t="s">
        <v>1131</v>
      </c>
      <c r="C941">
        <v>181.02</v>
      </c>
      <c r="D941" s="94">
        <v>13877208</v>
      </c>
      <c r="E941" s="73"/>
      <c r="F941" s="74"/>
      <c r="I941" s="34"/>
    </row>
    <row r="942" spans="1:9" x14ac:dyDescent="0.25">
      <c r="A942" s="34"/>
      <c r="B942" t="s">
        <v>1132</v>
      </c>
      <c r="C942">
        <v>179.43</v>
      </c>
      <c r="D942" s="94">
        <v>22435272</v>
      </c>
      <c r="E942" s="73"/>
      <c r="F942" s="74"/>
      <c r="I942" s="34"/>
    </row>
    <row r="943" spans="1:9" x14ac:dyDescent="0.25">
      <c r="A943" s="34"/>
      <c r="B943" t="s">
        <v>1133</v>
      </c>
      <c r="C943">
        <v>180.05</v>
      </c>
      <c r="D943" s="94">
        <v>12575210</v>
      </c>
      <c r="E943" s="73"/>
      <c r="F943" s="74"/>
      <c r="I943" s="34"/>
    </row>
    <row r="944" spans="1:9" x14ac:dyDescent="0.25">
      <c r="A944" s="34"/>
      <c r="B944" t="s">
        <v>1134</v>
      </c>
      <c r="C944">
        <v>181.06</v>
      </c>
      <c r="D944" s="94">
        <v>18042675</v>
      </c>
      <c r="E944" s="73"/>
      <c r="F944" s="74"/>
      <c r="I944" s="34"/>
    </row>
    <row r="945" spans="1:9" x14ac:dyDescent="0.25">
      <c r="A945" s="34"/>
      <c r="B945" t="s">
        <v>1135</v>
      </c>
      <c r="C945">
        <v>180.49</v>
      </c>
      <c r="D945" s="94">
        <v>19074685</v>
      </c>
      <c r="E945" s="73"/>
      <c r="F945" s="74"/>
      <c r="I945" s="34"/>
    </row>
    <row r="946" spans="1:9" x14ac:dyDescent="0.25">
      <c r="A946" s="34"/>
      <c r="B946" t="s">
        <v>1136</v>
      </c>
      <c r="C946">
        <v>180.58</v>
      </c>
      <c r="D946" s="94">
        <v>23567549</v>
      </c>
      <c r="E946" s="73"/>
      <c r="F946" s="74"/>
      <c r="I946" s="34"/>
    </row>
    <row r="947" spans="1:9" x14ac:dyDescent="0.25">
      <c r="A947" s="34"/>
      <c r="B947" t="s">
        <v>1137</v>
      </c>
      <c r="C947">
        <v>181.55</v>
      </c>
      <c r="D947" s="94">
        <v>21476893</v>
      </c>
      <c r="E947" s="73"/>
      <c r="F947" s="74"/>
      <c r="I947" s="34"/>
    </row>
    <row r="948" spans="1:9" x14ac:dyDescent="0.25">
      <c r="A948" s="34"/>
      <c r="B948" t="s">
        <v>1138</v>
      </c>
      <c r="C948">
        <v>183.49</v>
      </c>
      <c r="D948" s="94">
        <v>20104244</v>
      </c>
      <c r="E948" s="73"/>
      <c r="F948" s="74"/>
      <c r="I948" s="34"/>
    </row>
    <row r="949" spans="1:9" x14ac:dyDescent="0.25">
      <c r="A949" s="34"/>
      <c r="B949" t="s">
        <v>1139</v>
      </c>
      <c r="C949">
        <v>182.79</v>
      </c>
      <c r="D949" s="94">
        <v>14854294</v>
      </c>
      <c r="E949" s="73"/>
      <c r="F949" s="74"/>
      <c r="I949" s="34"/>
    </row>
    <row r="950" spans="1:9" x14ac:dyDescent="0.25">
      <c r="A950" s="34"/>
      <c r="B950" t="s">
        <v>1140</v>
      </c>
      <c r="C950">
        <v>183.01</v>
      </c>
      <c r="D950" s="94">
        <v>17677889</v>
      </c>
      <c r="E950" s="73"/>
      <c r="F950" s="74"/>
      <c r="I950" s="34"/>
    </row>
    <row r="951" spans="1:9" x14ac:dyDescent="0.25">
      <c r="A951" s="34"/>
      <c r="B951" t="s">
        <v>1141</v>
      </c>
      <c r="C951">
        <v>183.54</v>
      </c>
      <c r="D951" s="94">
        <v>21424291</v>
      </c>
      <c r="E951" s="73"/>
      <c r="F951" s="74"/>
      <c r="I951" s="34"/>
    </row>
    <row r="952" spans="1:9" x14ac:dyDescent="0.25">
      <c r="A952" s="34"/>
      <c r="B952" t="s">
        <v>1142</v>
      </c>
      <c r="C952">
        <v>184.77</v>
      </c>
      <c r="D952" s="94">
        <v>30719587</v>
      </c>
      <c r="E952" s="73"/>
      <c r="F952" s="74"/>
      <c r="I952" s="34"/>
    </row>
    <row r="953" spans="1:9" x14ac:dyDescent="0.25">
      <c r="A953" s="34"/>
      <c r="B953" t="s">
        <v>1143</v>
      </c>
      <c r="C953">
        <v>182.52</v>
      </c>
      <c r="D953" s="94">
        <v>24887924</v>
      </c>
      <c r="E953" s="73"/>
      <c r="F953" s="74"/>
      <c r="I953" s="34"/>
    </row>
    <row r="954" spans="1:9" x14ac:dyDescent="0.25">
      <c r="A954" s="34"/>
      <c r="B954" t="s">
        <v>1144</v>
      </c>
      <c r="C954">
        <v>183.51</v>
      </c>
      <c r="D954" s="94">
        <v>21261361</v>
      </c>
      <c r="E954" s="73"/>
      <c r="F954" s="74"/>
      <c r="I954" s="34"/>
    </row>
    <row r="955" spans="1:9" x14ac:dyDescent="0.25">
      <c r="A955" s="34"/>
      <c r="B955" t="s">
        <v>1145</v>
      </c>
      <c r="C955">
        <v>181.62</v>
      </c>
      <c r="D955" s="94">
        <v>31433280</v>
      </c>
      <c r="E955" s="73"/>
      <c r="F955" s="74"/>
      <c r="I955" s="34"/>
    </row>
    <row r="956" spans="1:9" x14ac:dyDescent="0.25">
      <c r="A956" s="34"/>
      <c r="B956" t="s">
        <v>1146</v>
      </c>
      <c r="C956">
        <v>179.3</v>
      </c>
      <c r="D956" s="94">
        <v>30126021</v>
      </c>
      <c r="E956" s="73"/>
      <c r="F956" s="74"/>
      <c r="I956" s="34"/>
    </row>
    <row r="957" spans="1:9" x14ac:dyDescent="0.25">
      <c r="A957" s="34"/>
      <c r="B957" t="s">
        <v>1147</v>
      </c>
      <c r="C957">
        <v>179.56</v>
      </c>
      <c r="D957" s="94">
        <v>46657520</v>
      </c>
      <c r="E957" s="73"/>
      <c r="F957" s="74"/>
      <c r="I957" s="34"/>
    </row>
    <row r="958" spans="1:9" x14ac:dyDescent="0.25">
      <c r="A958" s="34"/>
      <c r="B958" t="s">
        <v>1148</v>
      </c>
      <c r="C958">
        <v>179.51</v>
      </c>
      <c r="D958" s="94">
        <v>96654991</v>
      </c>
      <c r="E958" s="73"/>
      <c r="F958" s="74"/>
      <c r="I958" s="34"/>
    </row>
    <row r="959" spans="1:9" x14ac:dyDescent="0.25">
      <c r="A959" s="34"/>
      <c r="B959" t="s">
        <v>1149</v>
      </c>
      <c r="C959">
        <v>184.88</v>
      </c>
      <c r="D959" s="94">
        <v>38755111</v>
      </c>
      <c r="E959" s="73"/>
      <c r="F959" s="74"/>
      <c r="I959" s="34"/>
    </row>
    <row r="960" spans="1:9" x14ac:dyDescent="0.25">
      <c r="A960" s="34"/>
      <c r="B960" t="s">
        <v>1150</v>
      </c>
      <c r="C960">
        <v>186.04</v>
      </c>
      <c r="D960" s="94">
        <v>73039531</v>
      </c>
      <c r="E960" s="73"/>
      <c r="F960" s="74"/>
      <c r="I960" s="34"/>
    </row>
    <row r="961" spans="1:9" x14ac:dyDescent="0.25">
      <c r="A961" s="34"/>
      <c r="B961" t="s">
        <v>1151</v>
      </c>
      <c r="C961">
        <v>182.86</v>
      </c>
      <c r="D961" s="94">
        <v>25597550</v>
      </c>
      <c r="E961" s="73"/>
      <c r="F961" s="74"/>
      <c r="I961" s="34"/>
    </row>
    <row r="962" spans="1:9" x14ac:dyDescent="0.25">
      <c r="A962" s="34"/>
      <c r="B962" t="s">
        <v>1152</v>
      </c>
      <c r="C962">
        <v>181.36</v>
      </c>
      <c r="D962" s="94">
        <v>47554219</v>
      </c>
      <c r="E962" s="73"/>
      <c r="F962" s="74"/>
      <c r="I962" s="34"/>
    </row>
    <row r="963" spans="1:9" x14ac:dyDescent="0.25">
      <c r="A963" s="34"/>
      <c r="B963" t="s">
        <v>1153</v>
      </c>
      <c r="C963">
        <v>180.89</v>
      </c>
      <c r="D963" s="94">
        <v>17576137</v>
      </c>
      <c r="E963" s="73"/>
      <c r="F963" s="74"/>
      <c r="I963" s="34"/>
    </row>
    <row r="964" spans="1:9" x14ac:dyDescent="0.25">
      <c r="A964" s="34"/>
      <c r="B964" t="s">
        <v>1154</v>
      </c>
      <c r="C964">
        <v>181.15</v>
      </c>
      <c r="D964" s="94">
        <v>25334878</v>
      </c>
      <c r="E964" s="73"/>
      <c r="F964" s="74"/>
      <c r="I964" s="34"/>
    </row>
    <row r="965" spans="1:9" x14ac:dyDescent="0.25">
      <c r="A965" s="34"/>
      <c r="B965" t="s">
        <v>1155</v>
      </c>
      <c r="C965">
        <v>181.66</v>
      </c>
      <c r="D965" s="94">
        <v>28865798</v>
      </c>
      <c r="E965" s="73"/>
      <c r="F965" s="74"/>
      <c r="I965" s="34"/>
    </row>
    <row r="966" spans="1:9" x14ac:dyDescent="0.25">
      <c r="A966" s="34"/>
      <c r="B966" t="s">
        <v>1156</v>
      </c>
      <c r="C966">
        <v>179.56</v>
      </c>
      <c r="D966" s="94">
        <v>22638020</v>
      </c>
      <c r="E966" s="73"/>
      <c r="F966" s="74"/>
      <c r="I966" s="34"/>
    </row>
    <row r="967" spans="1:9" x14ac:dyDescent="0.25">
      <c r="A967" s="34"/>
      <c r="B967" t="s">
        <v>1157</v>
      </c>
      <c r="C967">
        <v>177.8</v>
      </c>
      <c r="D967" s="94">
        <v>20884367</v>
      </c>
      <c r="E967" s="73"/>
      <c r="F967" s="74"/>
      <c r="I967" s="34"/>
    </row>
    <row r="968" spans="1:9" x14ac:dyDescent="0.25">
      <c r="A968" s="34"/>
      <c r="B968" t="s">
        <v>1158</v>
      </c>
      <c r="C968">
        <v>178.44</v>
      </c>
      <c r="D968" s="94">
        <v>24405319</v>
      </c>
      <c r="E968" s="73"/>
      <c r="F968" s="74"/>
      <c r="I968" s="34"/>
    </row>
    <row r="969" spans="1:9" x14ac:dyDescent="0.25">
      <c r="A969" s="34"/>
      <c r="B969" t="s">
        <v>1159</v>
      </c>
      <c r="C969">
        <v>180.42</v>
      </c>
      <c r="D969" s="94">
        <v>30479551</v>
      </c>
      <c r="E969" s="73"/>
      <c r="F969" s="74"/>
      <c r="I969" s="34"/>
    </row>
    <row r="970" spans="1:9" x14ac:dyDescent="0.25">
      <c r="A970" s="34"/>
      <c r="B970" t="s">
        <v>1160</v>
      </c>
      <c r="C970">
        <v>182.61</v>
      </c>
      <c r="D970" s="94">
        <v>38001828</v>
      </c>
      <c r="E970" s="73"/>
      <c r="F970" s="74"/>
      <c r="I970" s="34"/>
    </row>
    <row r="971" spans="1:9" x14ac:dyDescent="0.25">
      <c r="A971" s="34"/>
      <c r="B971" t="s">
        <v>1161</v>
      </c>
      <c r="C971">
        <v>182.31</v>
      </c>
      <c r="D971" s="94">
        <v>61647120</v>
      </c>
      <c r="E971" s="73"/>
      <c r="F971" s="74"/>
      <c r="I971" s="34"/>
    </row>
    <row r="972" spans="1:9" x14ac:dyDescent="0.25">
      <c r="A972" s="34"/>
      <c r="B972" t="s">
        <v>1162</v>
      </c>
      <c r="C972">
        <v>174.58</v>
      </c>
      <c r="D972" s="94">
        <v>16537612</v>
      </c>
      <c r="E972" s="73"/>
      <c r="F972" s="74"/>
      <c r="I972" s="34"/>
    </row>
    <row r="973" spans="1:9" x14ac:dyDescent="0.25">
      <c r="A973" s="34"/>
      <c r="B973" t="s">
        <v>1163</v>
      </c>
      <c r="C973">
        <v>175.22</v>
      </c>
      <c r="D973" s="94">
        <v>13747541</v>
      </c>
      <c r="E973" s="73"/>
      <c r="F973" s="74"/>
      <c r="I973" s="34"/>
    </row>
    <row r="974" spans="1:9" x14ac:dyDescent="0.25">
      <c r="A974" s="34"/>
      <c r="B974" t="s">
        <v>1164</v>
      </c>
      <c r="C974">
        <v>176.55</v>
      </c>
      <c r="D974" s="94">
        <v>16295368</v>
      </c>
      <c r="E974" s="73"/>
      <c r="F974" s="74"/>
      <c r="I974" s="34"/>
    </row>
    <row r="975" spans="1:9" x14ac:dyDescent="0.25">
      <c r="A975" s="34"/>
      <c r="B975" t="s">
        <v>1165</v>
      </c>
      <c r="C975">
        <v>176.38</v>
      </c>
      <c r="D975" s="94">
        <v>19463495</v>
      </c>
      <c r="E975" s="73"/>
      <c r="F975" s="74"/>
      <c r="I975" s="34"/>
    </row>
    <row r="976" spans="1:9" x14ac:dyDescent="0.25">
      <c r="A976" s="34"/>
      <c r="B976" t="s">
        <v>1166</v>
      </c>
      <c r="C976">
        <v>174.15</v>
      </c>
      <c r="D976" s="94">
        <v>14320889</v>
      </c>
      <c r="E976" s="73"/>
      <c r="F976" s="74"/>
      <c r="I976" s="34"/>
    </row>
    <row r="977" spans="1:9" x14ac:dyDescent="0.25">
      <c r="A977" s="34"/>
      <c r="B977" t="s">
        <v>1167</v>
      </c>
      <c r="C977">
        <v>172.99</v>
      </c>
      <c r="D977" s="94">
        <v>13862655</v>
      </c>
      <c r="E977" s="73"/>
      <c r="F977" s="74"/>
      <c r="I977" s="34"/>
    </row>
    <row r="978" spans="1:9" x14ac:dyDescent="0.25">
      <c r="A978" s="34"/>
      <c r="B978" t="s">
        <v>1168</v>
      </c>
      <c r="C978">
        <v>171.44</v>
      </c>
      <c r="D978" s="94">
        <v>18259282</v>
      </c>
      <c r="E978" s="73"/>
      <c r="F978" s="74"/>
      <c r="I978" s="34"/>
    </row>
    <row r="979" spans="1:9" x14ac:dyDescent="0.25">
      <c r="A979" s="34"/>
      <c r="B979" t="s">
        <v>1169</v>
      </c>
      <c r="C979">
        <v>172.6</v>
      </c>
      <c r="D979" s="94">
        <v>20611626</v>
      </c>
      <c r="E979" s="73"/>
      <c r="F979" s="74"/>
      <c r="I979" s="34"/>
    </row>
    <row r="980" spans="1:9" x14ac:dyDescent="0.25">
      <c r="A980" s="34"/>
      <c r="B980" t="s">
        <v>1170</v>
      </c>
      <c r="C980">
        <v>174.02</v>
      </c>
      <c r="D980" s="94">
        <v>16495657</v>
      </c>
      <c r="E980" s="73"/>
      <c r="F980" s="74"/>
      <c r="I980" s="34"/>
    </row>
    <row r="981" spans="1:9" x14ac:dyDescent="0.25">
      <c r="A981" s="34"/>
      <c r="B981" t="s">
        <v>1171</v>
      </c>
      <c r="C981">
        <v>175.48</v>
      </c>
      <c r="D981" s="94">
        <v>13096755</v>
      </c>
      <c r="E981" s="73"/>
      <c r="F981" s="74"/>
      <c r="I981" s="34"/>
    </row>
    <row r="982" spans="1:9" x14ac:dyDescent="0.25">
      <c r="A982" s="34"/>
      <c r="B982" t="s">
        <v>1172</v>
      </c>
      <c r="C982">
        <v>176.51</v>
      </c>
      <c r="D982" s="94">
        <v>12708021</v>
      </c>
      <c r="E982" s="73"/>
      <c r="F982" s="74"/>
      <c r="I982" s="34"/>
    </row>
    <row r="983" spans="1:9" x14ac:dyDescent="0.25">
      <c r="A983" s="34"/>
      <c r="B983" t="s">
        <v>1173</v>
      </c>
      <c r="C983">
        <v>176.42</v>
      </c>
      <c r="D983" s="94">
        <v>11444814</v>
      </c>
      <c r="E983" s="73"/>
      <c r="F983" s="74"/>
      <c r="I983" s="34"/>
    </row>
    <row r="984" spans="1:9" x14ac:dyDescent="0.25">
      <c r="A984" s="34"/>
      <c r="B984" t="s">
        <v>1174</v>
      </c>
      <c r="C984">
        <v>176.34</v>
      </c>
      <c r="D984" s="94">
        <v>19886214</v>
      </c>
      <c r="E984" s="73"/>
      <c r="F984" s="74"/>
      <c r="I984" s="34"/>
    </row>
    <row r="985" spans="1:9" x14ac:dyDescent="0.25">
      <c r="A985" s="34"/>
      <c r="B985" t="s">
        <v>1175</v>
      </c>
      <c r="C985">
        <v>176.38</v>
      </c>
      <c r="D985" s="94">
        <v>19625381</v>
      </c>
      <c r="E985" s="73"/>
      <c r="F985" s="74"/>
      <c r="I985" s="34"/>
    </row>
    <row r="986" spans="1:9" x14ac:dyDescent="0.25">
      <c r="A986" s="34"/>
      <c r="B986" t="s">
        <v>1176</v>
      </c>
      <c r="C986">
        <v>176.85</v>
      </c>
      <c r="D986" s="94">
        <v>23139735</v>
      </c>
      <c r="E986" s="73"/>
      <c r="F986" s="74"/>
      <c r="I986" s="34"/>
    </row>
    <row r="987" spans="1:9" x14ac:dyDescent="0.25">
      <c r="A987" s="34"/>
      <c r="B987" t="s">
        <v>1177</v>
      </c>
      <c r="C987">
        <v>174.83</v>
      </c>
      <c r="D987" s="94">
        <v>21364882</v>
      </c>
      <c r="E987" s="73"/>
      <c r="F987" s="74"/>
      <c r="I987" s="34"/>
    </row>
    <row r="988" spans="1:9" x14ac:dyDescent="0.25">
      <c r="A988" s="34"/>
      <c r="B988" t="s">
        <v>1178</v>
      </c>
      <c r="C988">
        <v>176.59</v>
      </c>
      <c r="D988" s="94">
        <v>15792299</v>
      </c>
      <c r="E988" s="73"/>
      <c r="F988" s="74"/>
      <c r="I988" s="34"/>
    </row>
    <row r="989" spans="1:9" x14ac:dyDescent="0.25">
      <c r="A989" s="34"/>
      <c r="B989" t="s">
        <v>1179</v>
      </c>
      <c r="C989">
        <v>178.61</v>
      </c>
      <c r="D989" s="94">
        <v>13311926</v>
      </c>
      <c r="E989" s="73"/>
      <c r="F989" s="74"/>
      <c r="I989" s="34"/>
    </row>
    <row r="990" spans="1:9" x14ac:dyDescent="0.25">
      <c r="A990" s="34"/>
      <c r="B990" t="s">
        <v>1180</v>
      </c>
      <c r="C990">
        <v>177.54</v>
      </c>
      <c r="D990" s="94">
        <v>17530742</v>
      </c>
      <c r="E990" s="73"/>
      <c r="F990" s="74"/>
      <c r="I990" s="34"/>
    </row>
    <row r="991" spans="1:9" x14ac:dyDescent="0.25">
      <c r="A991" s="34"/>
      <c r="B991" t="s">
        <v>1181</v>
      </c>
      <c r="C991">
        <v>179.26</v>
      </c>
      <c r="D991" s="94">
        <v>20247639</v>
      </c>
      <c r="E991" s="73"/>
      <c r="F991" s="74"/>
      <c r="I991" s="34"/>
    </row>
    <row r="992" spans="1:9" x14ac:dyDescent="0.25">
      <c r="A992" s="34"/>
      <c r="B992" t="s">
        <v>1182</v>
      </c>
      <c r="C992">
        <v>176.34</v>
      </c>
      <c r="D992" s="94">
        <v>34511670</v>
      </c>
      <c r="E992" s="73"/>
      <c r="F992" s="74"/>
      <c r="I992" s="34"/>
    </row>
    <row r="993" spans="1:9" x14ac:dyDescent="0.25">
      <c r="A993" s="34"/>
      <c r="B993" t="s">
        <v>1183</v>
      </c>
      <c r="C993">
        <v>183.04</v>
      </c>
      <c r="D993" s="94">
        <v>16364247</v>
      </c>
      <c r="E993" s="73"/>
      <c r="F993" s="74"/>
      <c r="I993" s="34"/>
    </row>
    <row r="994" spans="1:9" x14ac:dyDescent="0.25">
      <c r="A994" s="34"/>
      <c r="B994" t="s">
        <v>1184</v>
      </c>
      <c r="C994">
        <v>183.17</v>
      </c>
      <c r="D994" s="94">
        <v>14116874</v>
      </c>
      <c r="E994" s="73"/>
      <c r="F994" s="74"/>
      <c r="I994" s="34"/>
    </row>
    <row r="995" spans="1:9" x14ac:dyDescent="0.25">
      <c r="A995" s="34"/>
      <c r="B995" t="s">
        <v>1185</v>
      </c>
      <c r="C995">
        <v>183.64</v>
      </c>
      <c r="D995" s="94">
        <v>15204883</v>
      </c>
      <c r="E995" s="73"/>
      <c r="F995" s="74"/>
      <c r="I995" s="34"/>
    </row>
    <row r="996" spans="1:9" x14ac:dyDescent="0.25">
      <c r="A996" s="34"/>
      <c r="B996" t="s">
        <v>1186</v>
      </c>
      <c r="C996">
        <v>182.65</v>
      </c>
      <c r="D996" s="94">
        <v>25674227</v>
      </c>
      <c r="E996" s="73"/>
      <c r="F996" s="74"/>
      <c r="I996" s="34"/>
    </row>
    <row r="997" spans="1:9" x14ac:dyDescent="0.25">
      <c r="A997" s="34"/>
      <c r="B997" t="s">
        <v>1187</v>
      </c>
      <c r="C997">
        <v>182.56</v>
      </c>
      <c r="D997" s="94">
        <v>31378045</v>
      </c>
      <c r="E997" s="73"/>
      <c r="F997" s="74"/>
      <c r="I997" s="34"/>
    </row>
    <row r="998" spans="1:9" x14ac:dyDescent="0.25">
      <c r="A998" s="34"/>
      <c r="B998" t="s">
        <v>1188</v>
      </c>
      <c r="C998">
        <v>189.01</v>
      </c>
      <c r="D998" s="94">
        <v>29062762</v>
      </c>
      <c r="E998" s="73"/>
      <c r="F998" s="74"/>
      <c r="I998" s="34"/>
    </row>
    <row r="999" spans="1:9" x14ac:dyDescent="0.25">
      <c r="A999" s="34"/>
      <c r="B999" t="s">
        <v>1189</v>
      </c>
      <c r="C999">
        <v>187.67</v>
      </c>
      <c r="D999" s="94">
        <v>36485322</v>
      </c>
      <c r="E999" s="73"/>
      <c r="F999" s="74"/>
      <c r="I999" s="34"/>
    </row>
    <row r="1000" spans="1:9" x14ac:dyDescent="0.25">
      <c r="A1000" s="34"/>
      <c r="B1000" t="s">
        <v>1190</v>
      </c>
      <c r="C1000">
        <v>184.28</v>
      </c>
      <c r="D1000" s="94">
        <v>27792033</v>
      </c>
      <c r="E1000" s="73"/>
      <c r="F1000" s="74"/>
      <c r="I1000" s="34"/>
    </row>
    <row r="1001" spans="1:9" x14ac:dyDescent="0.25">
      <c r="A1001" s="34"/>
      <c r="B1001" t="s">
        <v>1191</v>
      </c>
      <c r="C1001">
        <v>181.15</v>
      </c>
      <c r="D1001" s="94">
        <v>26079435</v>
      </c>
      <c r="E1001" s="73"/>
      <c r="F1001" s="74"/>
      <c r="I1001" s="34"/>
    </row>
    <row r="1002" spans="1:9" x14ac:dyDescent="0.25">
      <c r="A1002" s="34"/>
      <c r="B1002" t="s">
        <v>1192</v>
      </c>
      <c r="C1002">
        <v>181.75</v>
      </c>
      <c r="D1002" s="94">
        <v>40681282</v>
      </c>
      <c r="E1002" s="73"/>
      <c r="F1002" s="74"/>
      <c r="I1002" s="34"/>
    </row>
    <row r="1003" spans="1:9" x14ac:dyDescent="0.25">
      <c r="A1003" s="34"/>
      <c r="B1003" t="s">
        <v>1193</v>
      </c>
      <c r="C1003">
        <v>185.48</v>
      </c>
      <c r="D1003" s="94">
        <v>27609243</v>
      </c>
      <c r="E1003" s="73"/>
      <c r="F1003" s="74"/>
      <c r="I1003" s="34"/>
    </row>
    <row r="1004" spans="1:9" x14ac:dyDescent="0.25">
      <c r="A1004" s="34"/>
      <c r="B1004" t="s">
        <v>1194</v>
      </c>
      <c r="C1004">
        <v>190.85</v>
      </c>
      <c r="D1004" s="94">
        <v>41564683</v>
      </c>
      <c r="E1004" s="73"/>
      <c r="F1004" s="74"/>
      <c r="I1004" s="34"/>
    </row>
    <row r="1005" spans="1:9" x14ac:dyDescent="0.25">
      <c r="A1005" s="34"/>
      <c r="B1005" t="s">
        <v>1195</v>
      </c>
      <c r="C1005">
        <v>194.12</v>
      </c>
      <c r="D1005" s="94">
        <v>46050245</v>
      </c>
      <c r="E1005" s="73"/>
      <c r="F1005" s="74"/>
      <c r="I1005" s="34"/>
    </row>
    <row r="1006" spans="1:9" x14ac:dyDescent="0.25">
      <c r="A1006" s="34"/>
      <c r="B1006" t="s">
        <v>1196</v>
      </c>
      <c r="C1006">
        <v>191.5</v>
      </c>
      <c r="D1006" s="94">
        <v>134184994</v>
      </c>
      <c r="E1006" s="73"/>
      <c r="F1006" s="74"/>
      <c r="I1006" s="34"/>
    </row>
    <row r="1007" spans="1:9" x14ac:dyDescent="0.25">
      <c r="A1007" s="34"/>
      <c r="B1007" t="s">
        <v>1197</v>
      </c>
      <c r="C1007">
        <v>186.94</v>
      </c>
      <c r="D1007" s="94">
        <v>91993104</v>
      </c>
      <c r="E1007" s="73"/>
      <c r="F1007" s="74"/>
      <c r="I1007" s="34"/>
    </row>
    <row r="1008" spans="1:9" x14ac:dyDescent="0.25">
      <c r="A1008" s="34"/>
      <c r="B1008" t="s">
        <v>1198</v>
      </c>
      <c r="C1008">
        <v>180.89</v>
      </c>
      <c r="D1008" s="94">
        <v>78578698</v>
      </c>
      <c r="E1008" s="73"/>
      <c r="F1008" s="74"/>
      <c r="I1008" s="34"/>
    </row>
    <row r="1009" spans="1:9" x14ac:dyDescent="0.25">
      <c r="A1009" s="34"/>
      <c r="B1009" t="s">
        <v>1199</v>
      </c>
      <c r="C1009">
        <v>178.53</v>
      </c>
      <c r="D1009" s="94">
        <v>48763187</v>
      </c>
      <c r="E1009" s="73"/>
      <c r="F1009" s="74"/>
      <c r="I1009" s="34"/>
    </row>
    <row r="1010" spans="1:9" x14ac:dyDescent="0.25">
      <c r="A1010" s="34"/>
      <c r="B1010" t="s">
        <v>1200</v>
      </c>
      <c r="C1010">
        <v>176.47</v>
      </c>
      <c r="D1010" s="94">
        <v>41115805</v>
      </c>
      <c r="E1010" s="73"/>
      <c r="F1010" s="74"/>
      <c r="I1010" s="34"/>
    </row>
    <row r="1011" spans="1:9" x14ac:dyDescent="0.25">
      <c r="A1011" s="34"/>
      <c r="B1011" t="s">
        <v>1201</v>
      </c>
      <c r="C1011">
        <v>176.25</v>
      </c>
      <c r="D1011" s="94">
        <v>30787960</v>
      </c>
      <c r="E1011" s="73"/>
      <c r="F1011" s="74"/>
      <c r="I1011" s="34"/>
    </row>
    <row r="1012" spans="1:9" x14ac:dyDescent="0.25">
      <c r="A1012" s="34"/>
      <c r="B1012" t="s">
        <v>1202</v>
      </c>
      <c r="C1012">
        <v>177.37</v>
      </c>
      <c r="D1012" s="94">
        <v>19603214</v>
      </c>
      <c r="E1012" s="73"/>
      <c r="F1012" s="74"/>
      <c r="I1012" s="34"/>
    </row>
    <row r="1013" spans="1:9" x14ac:dyDescent="0.25">
      <c r="A1013" s="34"/>
      <c r="B1013" t="s">
        <v>1203</v>
      </c>
      <c r="C1013">
        <v>178.48</v>
      </c>
      <c r="D1013" s="94">
        <v>22593086</v>
      </c>
      <c r="E1013" s="73"/>
      <c r="F1013" s="74"/>
      <c r="I1013" s="34"/>
    </row>
    <row r="1014" spans="1:9" x14ac:dyDescent="0.25">
      <c r="A1014" s="34"/>
      <c r="B1014" t="s">
        <v>1204</v>
      </c>
      <c r="C1014">
        <v>178.66</v>
      </c>
      <c r="D1014" s="94">
        <v>22988740</v>
      </c>
      <c r="E1014" s="73"/>
      <c r="F1014" s="74"/>
      <c r="I1014" s="34"/>
    </row>
    <row r="1015" spans="1:9" x14ac:dyDescent="0.25">
      <c r="A1015" s="34"/>
      <c r="B1015" t="s">
        <v>1205</v>
      </c>
      <c r="C1015">
        <v>179.13</v>
      </c>
      <c r="D1015" s="94">
        <v>17323590</v>
      </c>
      <c r="E1015" s="73"/>
      <c r="F1015" s="74"/>
      <c r="I1015" s="34"/>
    </row>
    <row r="1016" spans="1:9" x14ac:dyDescent="0.25">
      <c r="A1016" s="34"/>
      <c r="B1016" t="s">
        <v>1206</v>
      </c>
      <c r="C1016">
        <v>180.12</v>
      </c>
      <c r="D1016" s="94">
        <v>24899212</v>
      </c>
      <c r="E1016" s="73"/>
      <c r="F1016" s="74"/>
      <c r="I1016" s="34"/>
    </row>
    <row r="1017" spans="1:9" x14ac:dyDescent="0.25">
      <c r="A1017" s="34"/>
      <c r="B1017" t="s">
        <v>1207</v>
      </c>
      <c r="C1017">
        <v>180.33</v>
      </c>
      <c r="D1017" s="94">
        <v>20846117</v>
      </c>
      <c r="E1017" s="73"/>
      <c r="F1017" s="74"/>
      <c r="I1017" s="34"/>
    </row>
    <row r="1018" spans="1:9" x14ac:dyDescent="0.25">
      <c r="A1018" s="34"/>
      <c r="B1018" t="s">
        <v>1208</v>
      </c>
      <c r="C1018">
        <v>180.29</v>
      </c>
      <c r="D1018" s="94">
        <v>25604169</v>
      </c>
      <c r="E1018" s="73"/>
      <c r="F1018" s="74"/>
      <c r="I1018" s="34"/>
    </row>
    <row r="1019" spans="1:9" x14ac:dyDescent="0.25">
      <c r="A1019" s="34"/>
      <c r="B1019" t="s">
        <v>1209</v>
      </c>
      <c r="C1019">
        <v>177.71</v>
      </c>
      <c r="D1019" s="94">
        <v>16225536</v>
      </c>
      <c r="E1019" s="73"/>
      <c r="F1019" s="74"/>
      <c r="I1019" s="34"/>
    </row>
    <row r="1020" spans="1:9" x14ac:dyDescent="0.25">
      <c r="A1020" s="34"/>
      <c r="B1020" t="s">
        <v>1210</v>
      </c>
      <c r="C1020">
        <v>175.09</v>
      </c>
      <c r="D1020" s="94">
        <v>43429293</v>
      </c>
      <c r="E1020" s="73"/>
      <c r="F1020" s="74"/>
      <c r="I1020" s="34"/>
    </row>
    <row r="1021" spans="1:9" x14ac:dyDescent="0.25">
      <c r="A1021" s="34"/>
      <c r="B1021" t="s">
        <v>1211</v>
      </c>
      <c r="C1021">
        <v>179.64</v>
      </c>
      <c r="D1021" s="94">
        <v>25954142</v>
      </c>
      <c r="E1021" s="73"/>
      <c r="F1021" s="74"/>
      <c r="I1021" s="34"/>
    </row>
    <row r="1022" spans="1:9" x14ac:dyDescent="0.25">
      <c r="A1022" s="34"/>
      <c r="B1022" t="s">
        <v>1212</v>
      </c>
      <c r="C1022">
        <v>179.39</v>
      </c>
      <c r="D1022" s="94">
        <v>13160617</v>
      </c>
      <c r="E1022" s="73"/>
      <c r="F1022" s="74"/>
      <c r="I1022" s="34"/>
    </row>
    <row r="1023" spans="1:9" x14ac:dyDescent="0.25">
      <c r="A1023" s="34"/>
      <c r="B1023" t="s">
        <v>1213</v>
      </c>
      <c r="C1023">
        <v>179.09</v>
      </c>
      <c r="D1023" s="94">
        <v>26675953</v>
      </c>
      <c r="E1023" s="73"/>
      <c r="F1023" s="74"/>
      <c r="I1023" s="34"/>
    </row>
    <row r="1024" spans="1:9" x14ac:dyDescent="0.25">
      <c r="A1024" s="34"/>
      <c r="B1024" t="s">
        <v>1214</v>
      </c>
      <c r="C1024">
        <v>177.84</v>
      </c>
      <c r="D1024" s="94">
        <v>51546288</v>
      </c>
      <c r="E1024" s="73"/>
      <c r="F1024" s="74"/>
      <c r="I1024" s="34"/>
    </row>
    <row r="1025" spans="1:9" x14ac:dyDescent="0.25">
      <c r="A1025" s="34"/>
      <c r="B1025" t="s">
        <v>1215</v>
      </c>
      <c r="C1025">
        <v>181.19</v>
      </c>
      <c r="D1025" s="94">
        <v>28125203</v>
      </c>
      <c r="E1025" s="73"/>
      <c r="F1025" s="74"/>
      <c r="I1025" s="34"/>
    </row>
    <row r="1026" spans="1:9" x14ac:dyDescent="0.25">
      <c r="A1026" s="34"/>
      <c r="B1026" t="s">
        <v>1216</v>
      </c>
      <c r="C1026">
        <v>183.62</v>
      </c>
      <c r="D1026" s="94">
        <v>24070563</v>
      </c>
      <c r="E1026" s="73"/>
      <c r="F1026" s="74"/>
      <c r="I1026" s="34"/>
    </row>
    <row r="1027" spans="1:9" x14ac:dyDescent="0.25">
      <c r="A1027" s="34"/>
      <c r="B1027" t="s">
        <v>1217</v>
      </c>
      <c r="C1027">
        <v>182.7</v>
      </c>
      <c r="D1027" s="94">
        <v>19850516</v>
      </c>
      <c r="E1027" s="73"/>
      <c r="F1027" s="74"/>
      <c r="I1027" s="34"/>
    </row>
    <row r="1028" spans="1:9" x14ac:dyDescent="0.25">
      <c r="A1028" s="34"/>
      <c r="B1028" t="s">
        <v>1218</v>
      </c>
      <c r="C1028">
        <v>183.12</v>
      </c>
      <c r="D1028" s="94">
        <v>29148891</v>
      </c>
      <c r="E1028" s="73"/>
      <c r="F1028" s="74"/>
      <c r="I1028" s="34"/>
    </row>
    <row r="1029" spans="1:9" x14ac:dyDescent="0.25">
      <c r="A1029" s="34"/>
      <c r="B1029" t="s">
        <v>1219</v>
      </c>
      <c r="C1029">
        <v>183.41</v>
      </c>
      <c r="D1029" s="94">
        <v>31776555</v>
      </c>
      <c r="E1029" s="73"/>
      <c r="F1029" s="74"/>
      <c r="I1029" s="34"/>
    </row>
    <row r="1030" spans="1:9" x14ac:dyDescent="0.25">
      <c r="A1030" s="34"/>
      <c r="B1030" t="s">
        <v>1220</v>
      </c>
      <c r="C1030">
        <v>182.45</v>
      </c>
      <c r="D1030" s="94">
        <v>110568108</v>
      </c>
      <c r="E1030" s="73"/>
      <c r="F1030" s="74"/>
      <c r="I1030" s="34"/>
    </row>
    <row r="1031" spans="1:9" x14ac:dyDescent="0.25">
      <c r="A1031" s="34"/>
      <c r="B1031" t="s">
        <v>1221</v>
      </c>
      <c r="C1031">
        <v>190</v>
      </c>
      <c r="D1031" s="94">
        <v>43631374</v>
      </c>
      <c r="E1031" s="73"/>
      <c r="F1031" s="74"/>
      <c r="I1031" s="34"/>
    </row>
    <row r="1032" spans="1:9" x14ac:dyDescent="0.25">
      <c r="A1032" s="34"/>
      <c r="B1032" t="s">
        <v>1222</v>
      </c>
      <c r="C1032">
        <v>190.92</v>
      </c>
      <c r="D1032" s="94">
        <v>47283127</v>
      </c>
      <c r="E1032" s="73"/>
      <c r="F1032" s="74"/>
      <c r="I1032" s="34"/>
    </row>
    <row r="1033" spans="1:9" x14ac:dyDescent="0.25">
      <c r="A1033" s="34"/>
      <c r="B1033" t="s">
        <v>1223</v>
      </c>
      <c r="C1033">
        <v>192.14</v>
      </c>
      <c r="D1033" s="94">
        <v>70655961</v>
      </c>
      <c r="E1033" s="73"/>
      <c r="F1033" s="74"/>
      <c r="I1033" s="34"/>
    </row>
    <row r="1034" spans="1:9" x14ac:dyDescent="0.25">
      <c r="A1034" s="34"/>
      <c r="B1034" t="s">
        <v>1224</v>
      </c>
      <c r="C1034">
        <v>195.58</v>
      </c>
      <c r="D1034" s="94">
        <v>41495834</v>
      </c>
      <c r="E1034" s="73"/>
      <c r="F1034" s="74"/>
      <c r="I1034" s="34"/>
    </row>
    <row r="1035" spans="1:9" x14ac:dyDescent="0.25">
      <c r="A1035" s="34"/>
      <c r="B1035" t="s">
        <v>1225</v>
      </c>
      <c r="C1035">
        <v>196.63</v>
      </c>
      <c r="D1035" s="94">
        <v>125490301</v>
      </c>
      <c r="E1035" s="73"/>
      <c r="F1035" s="74"/>
      <c r="I1035" s="34"/>
    </row>
    <row r="1036" spans="1:9" x14ac:dyDescent="0.25">
      <c r="A1036" s="34"/>
      <c r="B1036" t="s">
        <v>1226</v>
      </c>
      <c r="C1036">
        <v>192.94</v>
      </c>
      <c r="D1036" s="94">
        <v>105818897</v>
      </c>
      <c r="E1036" s="73"/>
      <c r="F1036" s="74"/>
      <c r="I1036" s="34"/>
    </row>
    <row r="1037" spans="1:9" x14ac:dyDescent="0.25">
      <c r="A1037" s="34"/>
      <c r="B1037" t="s">
        <v>1227</v>
      </c>
      <c r="C1037">
        <v>181.86</v>
      </c>
      <c r="D1037" s="94">
        <v>53643263</v>
      </c>
      <c r="E1037" s="73"/>
      <c r="F1037" s="74"/>
      <c r="I1037" s="34"/>
    </row>
    <row r="1038" spans="1:9" x14ac:dyDescent="0.25">
      <c r="A1038" s="34"/>
      <c r="B1038" t="s">
        <v>1228</v>
      </c>
      <c r="C1038">
        <v>183.08</v>
      </c>
      <c r="D1038" s="94">
        <v>48457781</v>
      </c>
      <c r="E1038" s="73"/>
      <c r="F1038" s="74"/>
      <c r="I1038" s="34"/>
    </row>
    <row r="1039" spans="1:9" x14ac:dyDescent="0.25">
      <c r="A1039" s="34"/>
      <c r="B1039" t="s">
        <v>1229</v>
      </c>
      <c r="C1039">
        <v>181.19</v>
      </c>
      <c r="D1039" s="94">
        <v>57744414</v>
      </c>
      <c r="E1039" s="73"/>
      <c r="F1039" s="74"/>
      <c r="I1039" s="34"/>
    </row>
    <row r="1040" spans="1:9" x14ac:dyDescent="0.25">
      <c r="A1040" s="34"/>
      <c r="B1040" t="s">
        <v>1230</v>
      </c>
      <c r="C1040">
        <v>170.53</v>
      </c>
      <c r="D1040" s="94">
        <v>23764654</v>
      </c>
      <c r="E1040" s="73"/>
      <c r="F1040" s="74"/>
      <c r="I1040" s="34"/>
    </row>
    <row r="1041" spans="1:9" x14ac:dyDescent="0.25">
      <c r="A1041" s="34"/>
      <c r="B1041" t="s">
        <v>1231</v>
      </c>
      <c r="C1041">
        <v>173.34</v>
      </c>
      <c r="D1041" s="94">
        <v>22131983</v>
      </c>
      <c r="E1041" s="73"/>
      <c r="F1041" s="74"/>
      <c r="I1041" s="34"/>
    </row>
    <row r="1042" spans="1:9" x14ac:dyDescent="0.25">
      <c r="A1042" s="34"/>
      <c r="B1042" t="s">
        <v>1232</v>
      </c>
      <c r="C1042">
        <v>176.74</v>
      </c>
      <c r="D1042" s="94">
        <v>48471357</v>
      </c>
      <c r="E1042" s="73"/>
      <c r="F1042" s="74"/>
      <c r="I1042" s="34"/>
    </row>
    <row r="1043" spans="1:9" x14ac:dyDescent="0.25">
      <c r="A1043" s="34"/>
      <c r="B1043" t="s">
        <v>1233</v>
      </c>
      <c r="C1043">
        <v>174.35</v>
      </c>
      <c r="D1043" s="94">
        <v>24967899</v>
      </c>
      <c r="E1043" s="73"/>
      <c r="F1043" s="74"/>
      <c r="I1043" s="34"/>
    </row>
    <row r="1044" spans="1:9" x14ac:dyDescent="0.25">
      <c r="A1044" s="34"/>
      <c r="B1044" t="s">
        <v>1234</v>
      </c>
      <c r="C1044">
        <v>176.78</v>
      </c>
      <c r="D1044" s="94">
        <v>24712182</v>
      </c>
      <c r="E1044" s="73"/>
      <c r="F1044" s="74"/>
      <c r="I1044" s="34"/>
    </row>
    <row r="1045" spans="1:9" x14ac:dyDescent="0.25">
      <c r="A1045" s="34"/>
      <c r="B1045" t="s">
        <v>1235</v>
      </c>
      <c r="C1045">
        <v>179.3</v>
      </c>
      <c r="D1045" s="94">
        <v>28999164</v>
      </c>
      <c r="E1045" s="73"/>
      <c r="F1045" s="74"/>
      <c r="I1045" s="34"/>
    </row>
    <row r="1046" spans="1:9" x14ac:dyDescent="0.25">
      <c r="A1046" s="34"/>
      <c r="B1046" t="s">
        <v>1236</v>
      </c>
      <c r="C1046">
        <v>182.62</v>
      </c>
      <c r="D1046" s="94">
        <v>44672447</v>
      </c>
      <c r="E1046" s="73"/>
      <c r="F1046" s="74"/>
      <c r="I1046" s="34"/>
    </row>
    <row r="1047" spans="1:9" x14ac:dyDescent="0.25">
      <c r="A1047" s="34"/>
      <c r="B1047" t="s">
        <v>1237</v>
      </c>
      <c r="C1047">
        <v>183.62</v>
      </c>
      <c r="D1047" s="94">
        <v>31785089</v>
      </c>
      <c r="E1047" s="73"/>
      <c r="F1047" s="74"/>
      <c r="I1047" s="34"/>
    </row>
    <row r="1048" spans="1:9" x14ac:dyDescent="0.25">
      <c r="A1048" s="34"/>
      <c r="B1048" t="s">
        <v>1238</v>
      </c>
      <c r="C1048">
        <v>184.38</v>
      </c>
      <c r="D1048" s="94">
        <v>67607822</v>
      </c>
      <c r="E1048" s="73"/>
      <c r="F1048" s="74"/>
      <c r="I1048" s="34"/>
    </row>
    <row r="1049" spans="1:9" x14ac:dyDescent="0.25">
      <c r="A1049" s="34"/>
      <c r="B1049" t="s">
        <v>1239</v>
      </c>
      <c r="C1049">
        <v>182.78</v>
      </c>
      <c r="D1049" s="94">
        <v>58321158</v>
      </c>
      <c r="E1049" s="73"/>
      <c r="F1049" s="74"/>
      <c r="I1049" s="34"/>
    </row>
    <row r="1050" spans="1:9" x14ac:dyDescent="0.25">
      <c r="A1050" s="34"/>
      <c r="B1050" t="s">
        <v>1240</v>
      </c>
      <c r="C1050">
        <v>179.68</v>
      </c>
      <c r="D1050" s="94">
        <v>48304263</v>
      </c>
      <c r="E1050" s="73"/>
      <c r="F1050" s="74"/>
      <c r="I1050" s="34"/>
    </row>
    <row r="1051" spans="1:9" x14ac:dyDescent="0.25">
      <c r="A1051" s="34"/>
      <c r="B1051" t="s">
        <v>1241</v>
      </c>
      <c r="C1051">
        <v>177.25</v>
      </c>
      <c r="D1051" s="94">
        <v>63925996</v>
      </c>
      <c r="E1051" s="73"/>
      <c r="F1051" s="74"/>
      <c r="I1051" s="34"/>
    </row>
    <row r="1052" spans="1:9" x14ac:dyDescent="0.25">
      <c r="A1052" s="34"/>
      <c r="B1052" t="s">
        <v>1242</v>
      </c>
      <c r="C1052">
        <v>173.22</v>
      </c>
      <c r="D1052" s="94">
        <v>35617404</v>
      </c>
      <c r="E1052" s="73"/>
      <c r="F1052" s="74"/>
      <c r="I1052" s="34"/>
    </row>
    <row r="1053" spans="1:9" x14ac:dyDescent="0.25">
      <c r="A1053" s="34"/>
      <c r="B1053" t="s">
        <v>1243</v>
      </c>
      <c r="C1053">
        <v>169.9</v>
      </c>
      <c r="D1053" s="94">
        <v>42970983</v>
      </c>
      <c r="E1053" s="73"/>
      <c r="F1053" s="74"/>
      <c r="I1053" s="34"/>
    </row>
    <row r="1054" spans="1:9" x14ac:dyDescent="0.25">
      <c r="A1054" s="34"/>
      <c r="B1054" t="s">
        <v>1244</v>
      </c>
      <c r="C1054">
        <v>169.07</v>
      </c>
      <c r="D1054" s="94">
        <v>56427360</v>
      </c>
      <c r="E1054" s="73"/>
      <c r="F1054" s="74"/>
      <c r="I1054" s="34"/>
    </row>
    <row r="1055" spans="1:9" x14ac:dyDescent="0.25">
      <c r="A1055" s="34"/>
      <c r="B1055" t="s">
        <v>1245</v>
      </c>
      <c r="C1055">
        <v>170.16</v>
      </c>
      <c r="D1055" s="94">
        <v>34952401</v>
      </c>
      <c r="E1055" s="73"/>
      <c r="F1055" s="74"/>
      <c r="I1055" s="34"/>
    </row>
    <row r="1056" spans="1:9" x14ac:dyDescent="0.25">
      <c r="A1056" s="34"/>
      <c r="B1056" t="s">
        <v>1246</v>
      </c>
      <c r="C1056">
        <v>172.34</v>
      </c>
      <c r="D1056" s="94">
        <v>49067837</v>
      </c>
      <c r="E1056" s="73"/>
      <c r="F1056" s="74"/>
      <c r="I1056" s="34"/>
    </row>
    <row r="1057" spans="1:9" x14ac:dyDescent="0.25">
      <c r="A1057" s="34"/>
      <c r="B1057" t="s">
        <v>1247</v>
      </c>
      <c r="C1057">
        <v>177.41</v>
      </c>
      <c r="D1057" s="94">
        <v>18024083</v>
      </c>
      <c r="E1057" s="73"/>
      <c r="F1057" s="74"/>
      <c r="I1057" s="34"/>
    </row>
    <row r="1058" spans="1:9" x14ac:dyDescent="0.25">
      <c r="A1058" s="34"/>
      <c r="B1058" t="s">
        <v>1248</v>
      </c>
      <c r="C1058">
        <v>179.05</v>
      </c>
      <c r="D1058" s="94">
        <v>26891799</v>
      </c>
      <c r="E1058" s="73"/>
      <c r="F1058" s="74"/>
      <c r="I1058" s="34"/>
    </row>
    <row r="1059" spans="1:9" x14ac:dyDescent="0.25">
      <c r="A1059" s="34"/>
      <c r="B1059" t="s">
        <v>1249</v>
      </c>
      <c r="C1059">
        <v>179.43</v>
      </c>
      <c r="D1059" s="94">
        <v>19527333</v>
      </c>
      <c r="E1059" s="73"/>
      <c r="F1059" s="74"/>
      <c r="I1059" s="34"/>
    </row>
    <row r="1060" spans="1:9" x14ac:dyDescent="0.25">
      <c r="A1060" s="34"/>
      <c r="B1060" t="s">
        <v>1250</v>
      </c>
      <c r="C1060">
        <v>175.36</v>
      </c>
      <c r="D1060" s="94">
        <v>18245270</v>
      </c>
      <c r="E1060" s="73"/>
      <c r="F1060" s="74"/>
      <c r="I1060" s="34"/>
    </row>
    <row r="1061" spans="1:9" x14ac:dyDescent="0.25">
      <c r="A1061" s="34"/>
      <c r="B1061" t="s">
        <v>1251</v>
      </c>
      <c r="C1061">
        <v>177.16</v>
      </c>
      <c r="D1061" s="94">
        <v>18925262</v>
      </c>
      <c r="E1061" s="73"/>
      <c r="F1061" s="74"/>
      <c r="I1061" s="34"/>
    </row>
    <row r="1062" spans="1:9" x14ac:dyDescent="0.25">
      <c r="A1062" s="34"/>
      <c r="B1062" t="s">
        <v>1252</v>
      </c>
      <c r="C1062">
        <v>177.5</v>
      </c>
      <c r="D1062" s="94">
        <v>26546469</v>
      </c>
      <c r="E1062" s="73"/>
      <c r="F1062" s="74"/>
      <c r="I1062" s="34"/>
    </row>
    <row r="1063" spans="1:9" x14ac:dyDescent="0.25">
      <c r="A1063" s="34"/>
      <c r="B1063" t="s">
        <v>1253</v>
      </c>
      <c r="C1063">
        <v>175.78</v>
      </c>
      <c r="D1063" s="94">
        <v>15741000</v>
      </c>
      <c r="E1063" s="73"/>
      <c r="F1063" s="74"/>
      <c r="I1063" s="34"/>
    </row>
    <row r="1064" spans="1:9" x14ac:dyDescent="0.25">
      <c r="A1064" s="34"/>
      <c r="B1064" t="s">
        <v>1254</v>
      </c>
      <c r="C1064">
        <v>175.02</v>
      </c>
      <c r="D1064" s="94">
        <v>22768284</v>
      </c>
      <c r="E1064" s="73"/>
      <c r="F1064" s="74"/>
      <c r="I1064" s="34"/>
    </row>
    <row r="1065" spans="1:9" x14ac:dyDescent="0.25">
      <c r="A1065" s="34"/>
      <c r="B1065" t="s">
        <v>1255</v>
      </c>
      <c r="C1065">
        <v>174.31</v>
      </c>
      <c r="D1065" s="94">
        <v>23695667</v>
      </c>
      <c r="E1065" s="73"/>
      <c r="F1065" s="74"/>
      <c r="I1065" s="34"/>
    </row>
    <row r="1066" spans="1:9" x14ac:dyDescent="0.25">
      <c r="A1066" s="34"/>
      <c r="B1066" t="s">
        <v>1256</v>
      </c>
      <c r="C1066">
        <v>170.66</v>
      </c>
      <c r="D1066" s="94">
        <v>40986353</v>
      </c>
      <c r="E1066" s="73"/>
      <c r="F1066" s="74"/>
      <c r="I1066" s="34"/>
    </row>
    <row r="1067" spans="1:9" x14ac:dyDescent="0.25">
      <c r="A1067" s="34"/>
      <c r="B1067" t="s">
        <v>1257</v>
      </c>
      <c r="C1067">
        <v>170.28</v>
      </c>
      <c r="D1067" s="94">
        <v>41834797</v>
      </c>
      <c r="E1067" s="73"/>
      <c r="F1067" s="74"/>
      <c r="I1067" s="34"/>
    </row>
    <row r="1068" spans="1:9" x14ac:dyDescent="0.25">
      <c r="A1068" s="34"/>
      <c r="B1068" t="s">
        <v>1258</v>
      </c>
      <c r="C1068">
        <v>179.97</v>
      </c>
      <c r="D1068" s="94">
        <v>23775053</v>
      </c>
      <c r="E1068" s="73"/>
      <c r="F1068" s="74"/>
      <c r="I1068" s="34"/>
    </row>
    <row r="1069" spans="1:9" x14ac:dyDescent="0.25">
      <c r="A1069" s="34"/>
      <c r="B1069" t="s">
        <v>1259</v>
      </c>
      <c r="C1069">
        <v>178.76</v>
      </c>
      <c r="D1069" s="94">
        <v>22386185</v>
      </c>
      <c r="E1069" s="73"/>
      <c r="F1069" s="74"/>
      <c r="I1069" s="34"/>
    </row>
    <row r="1070" spans="1:9" x14ac:dyDescent="0.25">
      <c r="A1070" s="34"/>
      <c r="B1070" t="s">
        <v>1260</v>
      </c>
      <c r="C1070">
        <v>179.55</v>
      </c>
      <c r="D1070" s="94">
        <v>19551630</v>
      </c>
      <c r="E1070" s="73"/>
      <c r="F1070" s="74"/>
      <c r="I1070" s="34"/>
    </row>
    <row r="1071" spans="1:9" x14ac:dyDescent="0.25">
      <c r="A1071" s="34"/>
      <c r="B1071" t="s">
        <v>1261</v>
      </c>
      <c r="C1071">
        <v>179.18</v>
      </c>
      <c r="D1071" s="94">
        <v>23255609</v>
      </c>
      <c r="E1071" s="73"/>
      <c r="F1071" s="74"/>
      <c r="I1071" s="34"/>
    </row>
    <row r="1072" spans="1:9" x14ac:dyDescent="0.25">
      <c r="A1072" s="34"/>
      <c r="B1072" t="s">
        <v>1262</v>
      </c>
      <c r="C1072">
        <v>181.15</v>
      </c>
      <c r="D1072" s="94">
        <v>26990063</v>
      </c>
      <c r="E1072" s="73"/>
      <c r="F1072" s="74"/>
      <c r="I1072" s="34"/>
    </row>
    <row r="1073" spans="1:9" x14ac:dyDescent="0.25">
      <c r="A1073" s="34"/>
      <c r="B1073" t="s">
        <v>1263</v>
      </c>
      <c r="C1073">
        <v>181.48</v>
      </c>
      <c r="D1073" s="94">
        <v>60322445</v>
      </c>
      <c r="E1073" s="73"/>
      <c r="F1073" s="74"/>
      <c r="I1073" s="34"/>
    </row>
    <row r="1074" spans="1:9" x14ac:dyDescent="0.25">
      <c r="A1074" s="34"/>
      <c r="B1074" t="s">
        <v>1264</v>
      </c>
      <c r="C1074">
        <v>178.46</v>
      </c>
      <c r="D1074" s="94">
        <v>65227495</v>
      </c>
      <c r="E1074" s="73"/>
      <c r="F1074" s="74"/>
      <c r="I1074" s="34"/>
    </row>
    <row r="1075" spans="1:9" x14ac:dyDescent="0.25">
      <c r="A1075" s="34"/>
      <c r="B1075" t="s">
        <v>1265</v>
      </c>
      <c r="C1075">
        <v>172.34</v>
      </c>
      <c r="D1075" s="94">
        <v>39684395</v>
      </c>
      <c r="E1075" s="73"/>
      <c r="F1075" s="74"/>
      <c r="I1075" s="34"/>
    </row>
    <row r="1076" spans="1:9" x14ac:dyDescent="0.25">
      <c r="A1076" s="34"/>
      <c r="B1076" t="s">
        <v>1266</v>
      </c>
      <c r="C1076">
        <v>169.86</v>
      </c>
      <c r="D1076" s="94">
        <v>30853963</v>
      </c>
      <c r="E1076" s="73"/>
      <c r="F1076" s="74"/>
      <c r="I1076" s="34"/>
    </row>
    <row r="1077" spans="1:9" x14ac:dyDescent="0.25">
      <c r="A1077" s="34"/>
      <c r="B1077" t="s">
        <v>1267</v>
      </c>
      <c r="C1077">
        <v>170.45</v>
      </c>
      <c r="D1077" s="94">
        <v>35693450</v>
      </c>
      <c r="E1077" s="73"/>
      <c r="F1077" s="74"/>
      <c r="I1077" s="34"/>
    </row>
    <row r="1078" spans="1:9" x14ac:dyDescent="0.25">
      <c r="A1078" s="34"/>
      <c r="B1078" t="s">
        <v>1268</v>
      </c>
      <c r="C1078">
        <v>166.3</v>
      </c>
      <c r="D1078" s="94">
        <v>22152332</v>
      </c>
      <c r="E1078" s="73"/>
      <c r="F1078" s="74"/>
      <c r="I1078" s="34"/>
    </row>
    <row r="1079" spans="1:9" x14ac:dyDescent="0.25">
      <c r="A1079" s="34"/>
      <c r="B1079" t="s">
        <v>1269</v>
      </c>
      <c r="C1079">
        <v>164.62</v>
      </c>
      <c r="D1079" s="94">
        <v>28009042</v>
      </c>
      <c r="E1079" s="73"/>
      <c r="F1079" s="74"/>
      <c r="I1079" s="34"/>
    </row>
    <row r="1080" spans="1:9" x14ac:dyDescent="0.25">
      <c r="A1080" s="34"/>
      <c r="B1080" t="s">
        <v>1270</v>
      </c>
      <c r="C1080">
        <v>164.41</v>
      </c>
      <c r="D1080" s="94">
        <v>28425948</v>
      </c>
      <c r="E1080" s="73"/>
      <c r="F1080" s="74"/>
      <c r="I1080" s="34"/>
    </row>
    <row r="1081" spans="1:9" x14ac:dyDescent="0.25">
      <c r="A1081" s="34"/>
      <c r="B1081" t="s">
        <v>1271</v>
      </c>
      <c r="C1081">
        <v>163.11000000000001</v>
      </c>
      <c r="D1081" s="94">
        <v>15893346</v>
      </c>
      <c r="E1081" s="73"/>
      <c r="F1081" s="74"/>
      <c r="I1081" s="34"/>
    </row>
    <row r="1082" spans="1:9" x14ac:dyDescent="0.25">
      <c r="A1082" s="34"/>
      <c r="B1082" t="s">
        <v>1272</v>
      </c>
      <c r="C1082">
        <v>162.47999999999999</v>
      </c>
      <c r="D1082" s="94">
        <v>31385396</v>
      </c>
      <c r="E1082" s="73"/>
      <c r="F1082" s="74"/>
      <c r="I1082" s="34"/>
    </row>
    <row r="1083" spans="1:9" x14ac:dyDescent="0.25">
      <c r="A1083" s="34"/>
      <c r="B1083" t="s">
        <v>1273</v>
      </c>
      <c r="C1083">
        <v>163.44</v>
      </c>
      <c r="D1083" s="94">
        <v>24222956</v>
      </c>
      <c r="E1083" s="73"/>
      <c r="F1083" s="74"/>
      <c r="I1083" s="34"/>
    </row>
    <row r="1084" spans="1:9" x14ac:dyDescent="0.25">
      <c r="A1084" s="34"/>
      <c r="B1084" t="s">
        <v>1274</v>
      </c>
      <c r="C1084">
        <v>162.65</v>
      </c>
      <c r="D1084" s="94">
        <v>41659179</v>
      </c>
      <c r="E1084" s="73"/>
      <c r="F1084" s="74"/>
      <c r="I1084" s="34"/>
    </row>
    <row r="1085" spans="1:9" x14ac:dyDescent="0.25">
      <c r="A1085" s="34"/>
      <c r="B1085" t="s">
        <v>1275</v>
      </c>
      <c r="C1085">
        <v>164.07</v>
      </c>
      <c r="D1085" s="94">
        <v>45411815</v>
      </c>
      <c r="E1085" s="73"/>
      <c r="F1085" s="74"/>
      <c r="I1085" s="34"/>
    </row>
    <row r="1086" spans="1:9" x14ac:dyDescent="0.25">
      <c r="A1086" s="34"/>
      <c r="B1086" t="s">
        <v>1276</v>
      </c>
      <c r="C1086">
        <v>160.13</v>
      </c>
      <c r="D1086" s="94">
        <v>23180456</v>
      </c>
      <c r="E1086" s="73"/>
      <c r="F1086" s="74"/>
      <c r="I1086" s="34"/>
    </row>
    <row r="1087" spans="1:9" x14ac:dyDescent="0.25">
      <c r="A1087" s="34"/>
      <c r="B1087" t="s">
        <v>1277</v>
      </c>
      <c r="C1087">
        <v>160.84</v>
      </c>
      <c r="D1087" s="94">
        <v>45307312</v>
      </c>
      <c r="E1087" s="73"/>
      <c r="F1087" s="74"/>
      <c r="I1087" s="34"/>
    </row>
    <row r="1088" spans="1:9" x14ac:dyDescent="0.25">
      <c r="A1088" s="34"/>
      <c r="B1088" t="s">
        <v>1278</v>
      </c>
      <c r="C1088">
        <v>157.65</v>
      </c>
      <c r="D1088" s="94">
        <v>48984610</v>
      </c>
      <c r="E1088" s="73"/>
      <c r="F1088" s="74"/>
      <c r="I1088" s="34"/>
    </row>
    <row r="1089" spans="1:9" x14ac:dyDescent="0.25">
      <c r="A1089" s="34"/>
      <c r="B1089" t="s">
        <v>1279</v>
      </c>
      <c r="C1089">
        <v>154.41999999999999</v>
      </c>
      <c r="D1089" s="94">
        <v>26595992</v>
      </c>
      <c r="E1089" s="73"/>
      <c r="F1089" s="74"/>
      <c r="I1089" s="34"/>
    </row>
    <row r="1090" spans="1:9" x14ac:dyDescent="0.25">
      <c r="A1090" s="34"/>
      <c r="B1090" t="s">
        <v>1280</v>
      </c>
      <c r="C1090">
        <v>157.19</v>
      </c>
      <c r="D1090" s="94">
        <v>20950589</v>
      </c>
      <c r="E1090" s="73"/>
      <c r="F1090" s="74"/>
      <c r="I1090" s="34"/>
    </row>
    <row r="1091" spans="1:9" x14ac:dyDescent="0.25">
      <c r="A1091" s="34"/>
      <c r="B1091" t="s">
        <v>1281</v>
      </c>
      <c r="C1091">
        <v>158.24</v>
      </c>
      <c r="D1091" s="94">
        <v>7767144</v>
      </c>
      <c r="E1091" s="73"/>
      <c r="F1091" s="74"/>
      <c r="I1091" s="34"/>
    </row>
    <row r="1092" spans="1:9" x14ac:dyDescent="0.25">
      <c r="A1092" s="34"/>
      <c r="B1092" t="s">
        <v>1282</v>
      </c>
      <c r="C1092">
        <v>156.97999999999999</v>
      </c>
      <c r="D1092" s="94">
        <v>28198725</v>
      </c>
      <c r="E1092" s="73"/>
      <c r="F1092" s="74"/>
      <c r="I1092" s="34"/>
    </row>
    <row r="1093" spans="1:9" x14ac:dyDescent="0.25">
      <c r="A1093" s="34"/>
      <c r="B1093" t="s">
        <v>1283</v>
      </c>
      <c r="C1093">
        <v>157.74</v>
      </c>
      <c r="D1093" s="94">
        <v>46367792</v>
      </c>
      <c r="E1093" s="73"/>
      <c r="F1093" s="74"/>
      <c r="I1093" s="34"/>
    </row>
    <row r="1094" spans="1:9" x14ac:dyDescent="0.25">
      <c r="A1094" s="34"/>
      <c r="B1094" t="s">
        <v>1284</v>
      </c>
      <c r="C1094">
        <v>155.47</v>
      </c>
      <c r="D1094" s="94">
        <v>63318644</v>
      </c>
      <c r="E1094" s="73"/>
      <c r="F1094" s="74"/>
      <c r="I1094" s="34"/>
    </row>
    <row r="1095" spans="1:9" x14ac:dyDescent="0.25">
      <c r="A1095" s="34"/>
      <c r="B1095" t="s">
        <v>1285</v>
      </c>
      <c r="C1095">
        <v>149.63999999999999</v>
      </c>
      <c r="D1095" s="94">
        <v>57459436</v>
      </c>
      <c r="E1095" s="73"/>
      <c r="F1095" s="74"/>
      <c r="I1095" s="34"/>
    </row>
    <row r="1096" spans="1:9" x14ac:dyDescent="0.25">
      <c r="A1096" s="34"/>
      <c r="B1096" t="s">
        <v>1286</v>
      </c>
      <c r="C1096">
        <v>144.99</v>
      </c>
      <c r="D1096" s="94">
        <v>35286484</v>
      </c>
      <c r="E1096" s="73"/>
      <c r="F1096" s="74"/>
      <c r="I1096" s="34"/>
    </row>
    <row r="1097" spans="1:9" x14ac:dyDescent="0.25">
      <c r="A1097" s="34"/>
      <c r="B1097" t="s">
        <v>1287</v>
      </c>
      <c r="C1097">
        <v>145.94999999999999</v>
      </c>
      <c r="D1097" s="94">
        <v>34252005</v>
      </c>
      <c r="E1097" s="73"/>
      <c r="F1097" s="74"/>
      <c r="I1097" s="34"/>
    </row>
    <row r="1098" spans="1:9" x14ac:dyDescent="0.25">
      <c r="A1098" s="34"/>
      <c r="B1098" t="s">
        <v>1288</v>
      </c>
      <c r="C1098">
        <v>146.62</v>
      </c>
      <c r="D1098" s="94">
        <v>26997641</v>
      </c>
      <c r="E1098" s="73"/>
      <c r="F1098" s="74"/>
      <c r="I1098" s="34"/>
    </row>
    <row r="1099" spans="1:9" x14ac:dyDescent="0.25">
      <c r="A1099" s="34"/>
      <c r="B1099" t="s">
        <v>1289</v>
      </c>
      <c r="C1099">
        <v>142.47</v>
      </c>
      <c r="D1099" s="94">
        <v>18808819</v>
      </c>
      <c r="E1099" s="73"/>
      <c r="F1099" s="74"/>
      <c r="I1099" s="34"/>
    </row>
    <row r="1100" spans="1:9" x14ac:dyDescent="0.25">
      <c r="A1100" s="34"/>
      <c r="B1100" t="s">
        <v>1290</v>
      </c>
      <c r="C1100">
        <v>142.72</v>
      </c>
      <c r="D1100" s="94">
        <v>22602903</v>
      </c>
      <c r="E1100" s="73"/>
      <c r="F1100" s="74"/>
      <c r="I1100" s="34"/>
    </row>
    <row r="1101" spans="1:9" x14ac:dyDescent="0.25">
      <c r="A1101" s="34"/>
      <c r="B1101" t="s">
        <v>1291</v>
      </c>
      <c r="C1101">
        <v>139.91</v>
      </c>
      <c r="D1101" s="94">
        <v>14370649</v>
      </c>
      <c r="E1101" s="73"/>
      <c r="F1101" s="74"/>
      <c r="I1101" s="34"/>
    </row>
    <row r="1102" spans="1:9" x14ac:dyDescent="0.25">
      <c r="A1102" s="34"/>
      <c r="B1102" t="s">
        <v>1292</v>
      </c>
      <c r="C1102">
        <v>138.65</v>
      </c>
      <c r="D1102" s="94">
        <v>16347325</v>
      </c>
      <c r="E1102" s="73"/>
      <c r="F1102" s="74"/>
      <c r="I1102" s="34"/>
    </row>
    <row r="1103" spans="1:9" x14ac:dyDescent="0.25">
      <c r="A1103" s="34"/>
      <c r="B1103" t="s">
        <v>1293</v>
      </c>
      <c r="C1103">
        <v>137.47999999999999</v>
      </c>
      <c r="D1103" s="94">
        <v>21007139</v>
      </c>
      <c r="E1103" s="73"/>
      <c r="F1103" s="74"/>
      <c r="I1103" s="34"/>
    </row>
    <row r="1104" spans="1:9" x14ac:dyDescent="0.25">
      <c r="A1104" s="34"/>
      <c r="B1104" t="s">
        <v>1294</v>
      </c>
      <c r="C1104">
        <v>138.86000000000001</v>
      </c>
      <c r="D1104" s="94">
        <v>16820774</v>
      </c>
      <c r="E1104" s="73"/>
      <c r="F1104" s="74"/>
      <c r="I1104" s="34"/>
    </row>
    <row r="1105" spans="1:9" x14ac:dyDescent="0.25">
      <c r="A1105" s="34"/>
      <c r="B1105" t="s">
        <v>1295</v>
      </c>
      <c r="C1105">
        <v>140.29</v>
      </c>
      <c r="D1105" s="94">
        <v>45885092</v>
      </c>
      <c r="E1105" s="73"/>
      <c r="F1105" s="74"/>
      <c r="I1105" s="34"/>
    </row>
    <row r="1106" spans="1:9" x14ac:dyDescent="0.25">
      <c r="A1106" s="34"/>
      <c r="B1106" t="s">
        <v>1296</v>
      </c>
      <c r="C1106">
        <v>141.41999999999999</v>
      </c>
      <c r="D1106" s="94">
        <v>16080575</v>
      </c>
      <c r="E1106" s="73"/>
      <c r="F1106" s="74"/>
      <c r="I1106" s="34"/>
    </row>
    <row r="1107" spans="1:9" x14ac:dyDescent="0.25">
      <c r="A1107" s="34"/>
      <c r="B1107" t="s">
        <v>1297</v>
      </c>
      <c r="C1107">
        <v>143.27000000000001</v>
      </c>
      <c r="D1107" s="94">
        <v>20145584</v>
      </c>
      <c r="E1107" s="73"/>
      <c r="F1107" s="74"/>
      <c r="I1107" s="34"/>
    </row>
    <row r="1108" spans="1:9" x14ac:dyDescent="0.25">
      <c r="A1108" s="34"/>
      <c r="B1108" t="s">
        <v>1298</v>
      </c>
      <c r="C1108">
        <v>141.41999999999999</v>
      </c>
      <c r="D1108" s="94">
        <v>22044107</v>
      </c>
      <c r="E1108" s="73"/>
      <c r="F1108" s="74"/>
      <c r="I1108" s="34"/>
    </row>
    <row r="1109" spans="1:9" x14ac:dyDescent="0.25">
      <c r="A1109" s="34"/>
      <c r="B1109" t="s">
        <v>1299</v>
      </c>
      <c r="C1109">
        <v>140.66</v>
      </c>
      <c r="D1109" s="94">
        <v>16478833</v>
      </c>
      <c r="E1109" s="73"/>
      <c r="F1109" s="74"/>
      <c r="I1109" s="34"/>
    </row>
    <row r="1110" spans="1:9" x14ac:dyDescent="0.25">
      <c r="A1110" s="34"/>
      <c r="B1110" t="s">
        <v>1300</v>
      </c>
      <c r="C1110">
        <v>140.5</v>
      </c>
      <c r="D1110" s="94">
        <v>16148741</v>
      </c>
      <c r="E1110" s="73"/>
      <c r="F1110" s="74"/>
      <c r="I1110" s="34"/>
    </row>
    <row r="1111" spans="1:9" x14ac:dyDescent="0.25">
      <c r="A1111" s="34"/>
      <c r="B1111" t="s">
        <v>1301</v>
      </c>
      <c r="C1111">
        <v>141.16999999999999</v>
      </c>
      <c r="D1111" s="94">
        <v>19016521</v>
      </c>
      <c r="E1111" s="73"/>
      <c r="F1111" s="74"/>
      <c r="I1111" s="34"/>
    </row>
    <row r="1112" spans="1:9" x14ac:dyDescent="0.25">
      <c r="A1112" s="34"/>
      <c r="B1112" t="s">
        <v>1302</v>
      </c>
      <c r="C1112">
        <v>139.03</v>
      </c>
      <c r="D1112" s="94">
        <v>20227056</v>
      </c>
      <c r="E1112" s="73"/>
      <c r="F1112" s="74"/>
      <c r="I1112" s="34"/>
    </row>
    <row r="1113" spans="1:9" x14ac:dyDescent="0.25">
      <c r="A1113" s="34"/>
      <c r="B1113" t="s">
        <v>1303</v>
      </c>
      <c r="C1113">
        <v>138.47999999999999</v>
      </c>
      <c r="D1113" s="94">
        <v>27116799</v>
      </c>
      <c r="E1113" s="73"/>
      <c r="F1113" s="74"/>
      <c r="I1113" s="34"/>
    </row>
    <row r="1114" spans="1:9" x14ac:dyDescent="0.25">
      <c r="A1114" s="34"/>
      <c r="B1114" t="s">
        <v>1304</v>
      </c>
      <c r="C1114">
        <v>140.79</v>
      </c>
      <c r="D1114" s="94">
        <v>38216229</v>
      </c>
      <c r="E1114" s="73"/>
      <c r="F1114" s="74"/>
      <c r="I1114" s="34"/>
    </row>
    <row r="1115" spans="1:9" x14ac:dyDescent="0.25">
      <c r="A1115" s="34"/>
      <c r="B1115" t="s">
        <v>1305</v>
      </c>
      <c r="C1115">
        <v>142.76</v>
      </c>
      <c r="D1115" s="94">
        <v>35684395</v>
      </c>
      <c r="E1115" s="73"/>
      <c r="F1115" s="74"/>
      <c r="I1115" s="34"/>
    </row>
    <row r="1116" spans="1:9" x14ac:dyDescent="0.25">
      <c r="A1116" s="34"/>
      <c r="B1116" t="s">
        <v>1306</v>
      </c>
      <c r="C1116">
        <v>144.47999999999999</v>
      </c>
      <c r="D1116" s="94">
        <v>66250422</v>
      </c>
      <c r="E1116" s="73"/>
      <c r="F1116" s="74"/>
      <c r="I1116" s="34"/>
    </row>
    <row r="1117" spans="1:9" x14ac:dyDescent="0.25">
      <c r="A1117" s="34"/>
      <c r="B1117" t="s">
        <v>1307</v>
      </c>
      <c r="C1117">
        <v>140.83000000000001</v>
      </c>
      <c r="D1117" s="94">
        <v>22373277</v>
      </c>
      <c r="E1117" s="73"/>
      <c r="F1117" s="74"/>
      <c r="I1117" s="34"/>
    </row>
    <row r="1118" spans="1:9" x14ac:dyDescent="0.25">
      <c r="A1118" s="34"/>
      <c r="B1118" t="s">
        <v>1308</v>
      </c>
      <c r="C1118">
        <v>140.24</v>
      </c>
      <c r="D1118" s="94">
        <v>25502126</v>
      </c>
      <c r="E1118" s="73"/>
      <c r="F1118" s="74"/>
      <c r="I1118" s="34"/>
    </row>
    <row r="1119" spans="1:9" x14ac:dyDescent="0.25">
      <c r="A1119" s="34"/>
      <c r="B1119" t="s">
        <v>1309</v>
      </c>
      <c r="C1119">
        <v>142.22</v>
      </c>
      <c r="D1119" s="94">
        <v>16286540</v>
      </c>
      <c r="E1119" s="73"/>
      <c r="F1119" s="74"/>
      <c r="I1119" s="34"/>
    </row>
    <row r="1120" spans="1:9" x14ac:dyDescent="0.25">
      <c r="A1120" s="34"/>
      <c r="B1120" t="s">
        <v>1310</v>
      </c>
      <c r="C1120">
        <v>142.55000000000001</v>
      </c>
      <c r="D1120" s="94">
        <v>21885190</v>
      </c>
      <c r="E1120" s="73"/>
      <c r="F1120" s="74"/>
      <c r="I1120" s="34"/>
    </row>
    <row r="1121" spans="1:9" x14ac:dyDescent="0.25">
      <c r="A1121" s="34"/>
      <c r="B1121" t="s">
        <v>1311</v>
      </c>
      <c r="C1121">
        <v>142.01</v>
      </c>
      <c r="D1121" s="94">
        <v>24298942</v>
      </c>
      <c r="E1121" s="73"/>
      <c r="F1121" s="74"/>
      <c r="I1121" s="34"/>
    </row>
    <row r="1122" spans="1:9" x14ac:dyDescent="0.25">
      <c r="A1122" s="34"/>
      <c r="B1122" t="s">
        <v>1312</v>
      </c>
      <c r="C1122">
        <v>143.35</v>
      </c>
      <c r="D1122" s="94">
        <v>19756417</v>
      </c>
      <c r="E1122" s="73"/>
      <c r="F1122" s="74"/>
      <c r="I1122" s="34"/>
    </row>
    <row r="1123" spans="1:9" x14ac:dyDescent="0.25">
      <c r="A1123" s="34"/>
      <c r="B1123" t="s">
        <v>1313</v>
      </c>
      <c r="C1123">
        <v>144.06</v>
      </c>
      <c r="D1123" s="94">
        <v>18481590</v>
      </c>
      <c r="E1123" s="73"/>
      <c r="F1123" s="74"/>
      <c r="I1123" s="34"/>
    </row>
    <row r="1124" spans="1:9" x14ac:dyDescent="0.25">
      <c r="A1124" s="34"/>
      <c r="B1124" t="s">
        <v>1314</v>
      </c>
      <c r="C1124">
        <v>142.13</v>
      </c>
      <c r="D1124" s="94">
        <v>25615786</v>
      </c>
      <c r="E1124" s="73"/>
      <c r="F1124" s="74"/>
      <c r="I1124" s="34"/>
    </row>
    <row r="1125" spans="1:9" x14ac:dyDescent="0.25">
      <c r="A1125" s="34"/>
      <c r="B1125" t="s">
        <v>1315</v>
      </c>
      <c r="C1125">
        <v>145.4</v>
      </c>
      <c r="D1125" s="94">
        <v>23194638</v>
      </c>
      <c r="E1125" s="73"/>
      <c r="F1125" s="74"/>
      <c r="I1125" s="34"/>
    </row>
    <row r="1126" spans="1:9" x14ac:dyDescent="0.25">
      <c r="A1126" s="34"/>
      <c r="B1126" t="s">
        <v>1316</v>
      </c>
      <c r="C1126">
        <v>143.27000000000001</v>
      </c>
      <c r="D1126" s="94">
        <v>26625318</v>
      </c>
      <c r="E1126" s="73"/>
      <c r="F1126" s="74"/>
      <c r="I1126" s="34"/>
    </row>
    <row r="1127" spans="1:9" x14ac:dyDescent="0.25">
      <c r="A1127" s="34"/>
      <c r="B1127" t="s">
        <v>1317</v>
      </c>
      <c r="C1127">
        <v>139.74</v>
      </c>
      <c r="D1127" s="94">
        <v>31486355</v>
      </c>
      <c r="E1127" s="73"/>
      <c r="F1127" s="74"/>
      <c r="I1127" s="34"/>
    </row>
    <row r="1128" spans="1:9" x14ac:dyDescent="0.25">
      <c r="A1128" s="34"/>
      <c r="B1128" t="s">
        <v>1318</v>
      </c>
      <c r="C1128">
        <v>144.72999999999999</v>
      </c>
      <c r="D1128" s="94">
        <v>61785000</v>
      </c>
      <c r="E1128" s="73"/>
      <c r="F1128" s="74"/>
      <c r="I1128" s="34"/>
    </row>
    <row r="1129" spans="1:9" x14ac:dyDescent="0.25">
      <c r="A1129" s="34"/>
      <c r="B1129" t="s">
        <v>1319</v>
      </c>
      <c r="C1129">
        <v>146.16</v>
      </c>
      <c r="D1129" s="94">
        <v>18529108</v>
      </c>
      <c r="E1129" s="73"/>
      <c r="F1129" s="74"/>
      <c r="I1129" s="34"/>
    </row>
    <row r="1130" spans="1:9" x14ac:dyDescent="0.25">
      <c r="A1130" s="34"/>
      <c r="B1130" t="s">
        <v>1320</v>
      </c>
      <c r="C1130">
        <v>147.46</v>
      </c>
      <c r="D1130" s="94">
        <v>23891325</v>
      </c>
      <c r="E1130" s="73"/>
      <c r="F1130" s="74"/>
      <c r="I1130" s="34"/>
    </row>
    <row r="1131" spans="1:9" x14ac:dyDescent="0.25">
      <c r="A1131" s="34"/>
      <c r="B1131" t="s">
        <v>1321</v>
      </c>
      <c r="C1131">
        <v>150.27000000000001</v>
      </c>
      <c r="D1131" s="94">
        <v>29782789</v>
      </c>
      <c r="E1131" s="73"/>
      <c r="F1131" s="74"/>
      <c r="I1131" s="34"/>
    </row>
    <row r="1132" spans="1:9" x14ac:dyDescent="0.25">
      <c r="A1132" s="34"/>
      <c r="B1132" t="s">
        <v>1322</v>
      </c>
      <c r="C1132">
        <v>149.85</v>
      </c>
      <c r="D1132" s="94">
        <v>33933262</v>
      </c>
      <c r="E1132" s="73"/>
      <c r="F1132" s="74"/>
      <c r="I1132" s="34"/>
    </row>
    <row r="1133" spans="1:9" x14ac:dyDescent="0.25">
      <c r="A1133" s="34"/>
      <c r="B1133" t="s">
        <v>1323</v>
      </c>
      <c r="C1133">
        <v>151.57</v>
      </c>
      <c r="D1133" s="94">
        <v>50641398</v>
      </c>
      <c r="E1133" s="73"/>
      <c r="F1133" s="74"/>
      <c r="I1133" s="34"/>
    </row>
    <row r="1134" spans="1:9" x14ac:dyDescent="0.25">
      <c r="A1134" s="34"/>
      <c r="B1134" t="s">
        <v>1324</v>
      </c>
      <c r="C1134">
        <v>152.54</v>
      </c>
      <c r="D1134" s="94">
        <v>30771790</v>
      </c>
      <c r="E1134" s="73"/>
      <c r="F1134" s="74"/>
      <c r="I1134" s="34"/>
    </row>
    <row r="1135" spans="1:9" x14ac:dyDescent="0.25">
      <c r="A1135" s="34"/>
      <c r="B1135" t="s">
        <v>1325</v>
      </c>
      <c r="C1135">
        <v>153.84</v>
      </c>
      <c r="D1135" s="94">
        <v>30992032</v>
      </c>
      <c r="E1135" s="73"/>
      <c r="F1135" s="74"/>
      <c r="I1135" s="34"/>
    </row>
    <row r="1136" spans="1:9" x14ac:dyDescent="0.25">
      <c r="A1136" s="34"/>
      <c r="B1136" t="s">
        <v>1326</v>
      </c>
      <c r="C1136">
        <v>154.34</v>
      </c>
      <c r="D1136" s="94">
        <v>19255948</v>
      </c>
      <c r="E1136" s="73"/>
      <c r="F1136" s="74"/>
      <c r="I1136" s="34"/>
    </row>
    <row r="1137" spans="1:9" x14ac:dyDescent="0.25">
      <c r="A1137" s="34"/>
      <c r="B1137" t="s">
        <v>1327</v>
      </c>
      <c r="C1137">
        <v>155.13999999999999</v>
      </c>
      <c r="D1137" s="94">
        <v>17784303</v>
      </c>
      <c r="E1137" s="73"/>
      <c r="F1137" s="74"/>
      <c r="I1137" s="34"/>
    </row>
    <row r="1138" spans="1:9" x14ac:dyDescent="0.25">
      <c r="A1138" s="34"/>
      <c r="B1138" t="s">
        <v>1328</v>
      </c>
      <c r="C1138">
        <v>154.21</v>
      </c>
      <c r="D1138" s="94">
        <v>27829564</v>
      </c>
      <c r="E1138" s="73"/>
      <c r="F1138" s="74"/>
      <c r="I1138" s="34"/>
    </row>
    <row r="1139" spans="1:9" x14ac:dyDescent="0.25">
      <c r="A1139" s="34"/>
      <c r="B1139" t="s">
        <v>1329</v>
      </c>
      <c r="C1139">
        <v>157.86000000000001</v>
      </c>
      <c r="D1139" s="94">
        <v>25589032</v>
      </c>
      <c r="E1139" s="73"/>
      <c r="F1139" s="74"/>
      <c r="I1139" s="34"/>
    </row>
    <row r="1140" spans="1:9" x14ac:dyDescent="0.25">
      <c r="A1140" s="34"/>
      <c r="B1140" t="s">
        <v>1330</v>
      </c>
      <c r="C1140">
        <v>158.66</v>
      </c>
      <c r="D1140" s="94">
        <v>32660563</v>
      </c>
      <c r="E1140" s="73"/>
      <c r="F1140" s="74"/>
      <c r="I1140" s="34"/>
    </row>
    <row r="1141" spans="1:9" x14ac:dyDescent="0.25">
      <c r="A1141" s="34"/>
      <c r="B1141" t="s">
        <v>1331</v>
      </c>
      <c r="C1141">
        <v>156.65</v>
      </c>
      <c r="D1141" s="94">
        <v>41389019</v>
      </c>
      <c r="E1141" s="73"/>
      <c r="F1141" s="74"/>
      <c r="I1141" s="34"/>
    </row>
    <row r="1142" spans="1:9" x14ac:dyDescent="0.25">
      <c r="A1142" s="34"/>
      <c r="B1142" t="s">
        <v>1332</v>
      </c>
      <c r="C1142">
        <v>160.76</v>
      </c>
      <c r="D1142" s="94">
        <v>15691462</v>
      </c>
      <c r="E1142" s="73"/>
      <c r="F1142" s="74"/>
      <c r="I1142" s="34"/>
    </row>
    <row r="1143" spans="1:9" x14ac:dyDescent="0.25">
      <c r="A1143" s="34"/>
      <c r="B1143" t="s">
        <v>1333</v>
      </c>
      <c r="C1143">
        <v>160.55000000000001</v>
      </c>
      <c r="D1143" s="94">
        <v>20585374</v>
      </c>
      <c r="E1143" s="73"/>
      <c r="F1143" s="74"/>
      <c r="I1143" s="34"/>
    </row>
    <row r="1144" spans="1:9" x14ac:dyDescent="0.25">
      <c r="A1144" s="34"/>
      <c r="B1144" t="s">
        <v>1334</v>
      </c>
      <c r="C1144">
        <v>159.58000000000001</v>
      </c>
      <c r="D1144" s="94">
        <v>39779151</v>
      </c>
      <c r="E1144" s="73"/>
      <c r="F1144" s="74"/>
      <c r="I1144" s="34"/>
    </row>
    <row r="1145" spans="1:9" x14ac:dyDescent="0.25">
      <c r="A1145" s="34"/>
      <c r="B1145" t="s">
        <v>1335</v>
      </c>
      <c r="C1145">
        <v>160.34</v>
      </c>
      <c r="D1145" s="94">
        <v>96994911</v>
      </c>
      <c r="E1145" s="73"/>
      <c r="F1145" s="74"/>
      <c r="I1145" s="34"/>
    </row>
    <row r="1146" spans="1:9" x14ac:dyDescent="0.25">
      <c r="A1146" s="34"/>
      <c r="B1146" t="s">
        <v>1336</v>
      </c>
      <c r="C1146">
        <v>164.07</v>
      </c>
      <c r="D1146" s="94">
        <v>34645487</v>
      </c>
      <c r="E1146" s="73"/>
      <c r="F1146" s="74"/>
      <c r="I1146" s="34"/>
    </row>
    <row r="1147" spans="1:9" x14ac:dyDescent="0.25">
      <c r="A1147" s="34"/>
      <c r="B1147" t="s">
        <v>1337</v>
      </c>
      <c r="C1147">
        <v>162.97999999999999</v>
      </c>
      <c r="D1147" s="94">
        <v>47212216</v>
      </c>
      <c r="E1147" s="73"/>
      <c r="F1147" s="74"/>
      <c r="I1147" s="34"/>
    </row>
    <row r="1148" spans="1:9" x14ac:dyDescent="0.25">
      <c r="A1148" s="34"/>
      <c r="B1148" t="s">
        <v>1338</v>
      </c>
      <c r="C1148">
        <v>163.57</v>
      </c>
      <c r="D1148" s="94">
        <v>22631175</v>
      </c>
      <c r="E1148" s="73"/>
      <c r="F1148" s="74"/>
      <c r="I1148" s="34"/>
    </row>
    <row r="1149" spans="1:9" x14ac:dyDescent="0.25">
      <c r="A1149" s="34"/>
      <c r="B1149" t="s">
        <v>1339</v>
      </c>
      <c r="C1149">
        <v>163.95</v>
      </c>
      <c r="D1149" s="94">
        <v>15199264</v>
      </c>
      <c r="E1149" s="73"/>
      <c r="F1149" s="74"/>
      <c r="I1149" s="34"/>
    </row>
    <row r="1150" spans="1:9" x14ac:dyDescent="0.25">
      <c r="A1150" s="34"/>
      <c r="B1150" t="s">
        <v>1340</v>
      </c>
      <c r="C1150">
        <v>165.04</v>
      </c>
      <c r="D1150" s="94">
        <v>14737317</v>
      </c>
      <c r="E1150" s="73"/>
      <c r="F1150" s="74"/>
      <c r="I1150" s="34"/>
    </row>
    <row r="1151" spans="1:9" x14ac:dyDescent="0.25">
      <c r="A1151" s="34"/>
      <c r="B1151" t="s">
        <v>1341</v>
      </c>
      <c r="C1151">
        <v>165.12</v>
      </c>
      <c r="D1151" s="94">
        <v>17233813</v>
      </c>
      <c r="E1151" s="73"/>
      <c r="F1151" s="74"/>
      <c r="I1151" s="34"/>
    </row>
    <row r="1152" spans="1:9" x14ac:dyDescent="0.25">
      <c r="A1152" s="34"/>
      <c r="B1152" t="s">
        <v>1342</v>
      </c>
      <c r="C1152">
        <v>164.28</v>
      </c>
      <c r="D1152" s="94">
        <v>16910449</v>
      </c>
      <c r="E1152" s="73"/>
      <c r="F1152" s="74"/>
      <c r="I1152" s="34"/>
    </row>
    <row r="1153" spans="1:9" x14ac:dyDescent="0.25">
      <c r="A1153" s="34"/>
      <c r="B1153" t="s">
        <v>1343</v>
      </c>
      <c r="C1153">
        <v>166.51</v>
      </c>
      <c r="D1153" s="94">
        <v>15474353</v>
      </c>
      <c r="E1153" s="73"/>
      <c r="F1153" s="74"/>
      <c r="I1153" s="34"/>
    </row>
    <row r="1154" spans="1:9" x14ac:dyDescent="0.25">
      <c r="A1154" s="34"/>
      <c r="B1154" t="s">
        <v>1344</v>
      </c>
      <c r="C1154">
        <v>166.59</v>
      </c>
      <c r="D1154" s="94">
        <v>12488159</v>
      </c>
      <c r="E1154" s="73"/>
      <c r="F1154" s="74"/>
      <c r="I1154" s="34"/>
    </row>
    <row r="1155" spans="1:9" x14ac:dyDescent="0.25">
      <c r="A1155" s="34"/>
      <c r="B1155" t="s">
        <v>1345</v>
      </c>
      <c r="C1155">
        <v>166.76</v>
      </c>
      <c r="D1155" s="94">
        <v>11740766</v>
      </c>
      <c r="E1155" s="73"/>
      <c r="F1155" s="74"/>
      <c r="I1155" s="34"/>
    </row>
    <row r="1156" spans="1:9" x14ac:dyDescent="0.25">
      <c r="A1156" s="34"/>
      <c r="B1156" t="s">
        <v>1346</v>
      </c>
      <c r="C1156">
        <v>164.79</v>
      </c>
      <c r="D1156" s="94">
        <v>28751298</v>
      </c>
      <c r="E1156" s="73"/>
      <c r="F1156" s="74"/>
      <c r="I1156" s="34"/>
    </row>
    <row r="1157" spans="1:9" x14ac:dyDescent="0.25">
      <c r="A1157" s="34"/>
      <c r="B1157" t="s">
        <v>1347</v>
      </c>
      <c r="C1157">
        <v>169.02</v>
      </c>
      <c r="D1157" s="94">
        <v>22698888</v>
      </c>
      <c r="E1157" s="73"/>
      <c r="F1157" s="74"/>
      <c r="I1157" s="34"/>
    </row>
    <row r="1158" spans="1:9" x14ac:dyDescent="0.25">
      <c r="A1158" s="34"/>
      <c r="B1158" t="s">
        <v>1348</v>
      </c>
      <c r="C1158">
        <v>171.33</v>
      </c>
      <c r="D1158" s="94">
        <v>21287010</v>
      </c>
      <c r="E1158" s="73"/>
      <c r="F1158" s="74"/>
      <c r="I1158" s="34"/>
    </row>
    <row r="1159" spans="1:9" x14ac:dyDescent="0.25">
      <c r="A1159" s="34"/>
      <c r="B1159" t="s">
        <v>1349</v>
      </c>
      <c r="C1159">
        <v>170.37</v>
      </c>
      <c r="D1159" s="94">
        <v>55142972</v>
      </c>
      <c r="E1159" s="73"/>
      <c r="F1159" s="74"/>
      <c r="I1159" s="34"/>
    </row>
    <row r="1160" spans="1:9" x14ac:dyDescent="0.25">
      <c r="A1160" s="34"/>
      <c r="B1160" t="s">
        <v>1350</v>
      </c>
      <c r="C1160">
        <v>166.84</v>
      </c>
      <c r="D1160" s="94">
        <v>16474505</v>
      </c>
      <c r="E1160" s="73"/>
      <c r="F1160" s="74"/>
      <c r="I1160" s="34"/>
    </row>
    <row r="1161" spans="1:9" x14ac:dyDescent="0.25">
      <c r="A1161" s="34"/>
      <c r="B1161" t="s">
        <v>1351</v>
      </c>
      <c r="C1161">
        <v>164.49</v>
      </c>
      <c r="D1161" s="94">
        <v>20911818</v>
      </c>
      <c r="E1161" s="73"/>
      <c r="F1161" s="74"/>
      <c r="I1161" s="34"/>
    </row>
    <row r="1162" spans="1:9" x14ac:dyDescent="0.25">
      <c r="A1162" s="34"/>
      <c r="B1162" t="s">
        <v>1352</v>
      </c>
      <c r="C1162">
        <v>163.91</v>
      </c>
      <c r="D1162" s="94">
        <v>17886089</v>
      </c>
      <c r="E1162" s="73"/>
      <c r="F1162" s="74"/>
      <c r="I1162" s="34"/>
    </row>
    <row r="1163" spans="1:9" x14ac:dyDescent="0.25">
      <c r="A1163" s="34"/>
      <c r="B1163" t="s">
        <v>1353</v>
      </c>
      <c r="C1163">
        <v>161.77000000000001</v>
      </c>
      <c r="D1163" s="94">
        <v>48768332</v>
      </c>
      <c r="E1163" s="73"/>
      <c r="F1163" s="74"/>
      <c r="I1163" s="34"/>
    </row>
    <row r="1164" spans="1:9" x14ac:dyDescent="0.25">
      <c r="A1164" s="34"/>
      <c r="B1164" t="s">
        <v>1354</v>
      </c>
      <c r="C1164">
        <v>162.47999999999999</v>
      </c>
      <c r="D1164" s="94">
        <v>17187619</v>
      </c>
      <c r="E1164" s="73"/>
      <c r="F1164" s="74"/>
      <c r="I1164" s="34"/>
    </row>
    <row r="1165" spans="1:9" x14ac:dyDescent="0.25">
      <c r="A1165" s="34"/>
      <c r="B1165" t="s">
        <v>1355</v>
      </c>
      <c r="C1165">
        <v>161.6</v>
      </c>
      <c r="D1165" s="94">
        <v>13265411</v>
      </c>
      <c r="E1165" s="73"/>
      <c r="F1165" s="74"/>
      <c r="I1165" s="34"/>
    </row>
    <row r="1166" spans="1:9" x14ac:dyDescent="0.25">
      <c r="A1166" s="34"/>
      <c r="B1166" t="s">
        <v>1356</v>
      </c>
      <c r="C1166">
        <v>162.9</v>
      </c>
      <c r="D1166" s="94">
        <v>16652851</v>
      </c>
      <c r="E1166" s="73"/>
      <c r="F1166" s="74"/>
      <c r="I1166" s="34"/>
    </row>
    <row r="1167" spans="1:9" x14ac:dyDescent="0.25">
      <c r="A1167" s="34"/>
      <c r="B1167" t="s">
        <v>1357</v>
      </c>
      <c r="C1167">
        <v>162.22999999999999</v>
      </c>
      <c r="D1167" s="94">
        <v>16315231</v>
      </c>
      <c r="E1167" s="73"/>
      <c r="F1167" s="74"/>
      <c r="I1167" s="34"/>
    </row>
    <row r="1168" spans="1:9" x14ac:dyDescent="0.25">
      <c r="A1168" s="34"/>
      <c r="B1168" t="s">
        <v>1358</v>
      </c>
      <c r="C1168">
        <v>165.04</v>
      </c>
      <c r="D1168" s="94">
        <v>14831635</v>
      </c>
      <c r="E1168" s="73"/>
      <c r="F1168" s="74"/>
      <c r="I1168" s="34"/>
    </row>
    <row r="1169" spans="1:9" x14ac:dyDescent="0.25">
      <c r="A1169" s="34"/>
      <c r="B1169" t="s">
        <v>1359</v>
      </c>
      <c r="C1169">
        <v>163.95</v>
      </c>
      <c r="D1169" s="94">
        <v>19287132</v>
      </c>
      <c r="E1169" s="73"/>
      <c r="F1169" s="74"/>
      <c r="I1169" s="34"/>
    </row>
    <row r="1170" spans="1:9" x14ac:dyDescent="0.25">
      <c r="A1170" s="34"/>
      <c r="B1170" t="s">
        <v>1360</v>
      </c>
      <c r="C1170">
        <v>164.79</v>
      </c>
      <c r="D1170" s="94">
        <v>22645697</v>
      </c>
      <c r="E1170" s="73"/>
      <c r="F1170" s="74"/>
      <c r="I1170" s="34"/>
    </row>
    <row r="1171" spans="1:9" x14ac:dyDescent="0.25">
      <c r="A1171" s="34"/>
      <c r="B1171" t="s">
        <v>1361</v>
      </c>
      <c r="C1171">
        <v>167.47</v>
      </c>
      <c r="D1171" s="94">
        <v>60183102</v>
      </c>
      <c r="E1171" s="73"/>
      <c r="F1171" s="74"/>
      <c r="I1171" s="34"/>
    </row>
    <row r="1172" spans="1:9" x14ac:dyDescent="0.25">
      <c r="A1172" s="34"/>
      <c r="B1172" t="s">
        <v>1362</v>
      </c>
      <c r="C1172">
        <v>168.39</v>
      </c>
      <c r="D1172" s="94">
        <v>31488108</v>
      </c>
      <c r="E1172" s="73"/>
      <c r="F1172" s="74"/>
      <c r="I1172" s="34"/>
    </row>
    <row r="1173" spans="1:9" x14ac:dyDescent="0.25">
      <c r="A1173" s="34"/>
      <c r="B1173" t="s">
        <v>1363</v>
      </c>
      <c r="C1173">
        <v>164.91</v>
      </c>
      <c r="D1173" s="94">
        <v>32572133</v>
      </c>
      <c r="E1173" s="73"/>
      <c r="F1173" s="74"/>
      <c r="I1173" s="34"/>
    </row>
    <row r="1174" spans="1:9" x14ac:dyDescent="0.25">
      <c r="A1174" s="34"/>
      <c r="B1174" t="s">
        <v>1364</v>
      </c>
      <c r="C1174">
        <v>161.30000000000001</v>
      </c>
      <c r="D1174" s="94">
        <v>28010715</v>
      </c>
      <c r="E1174" s="73"/>
      <c r="F1174" s="74"/>
      <c r="I1174" s="34"/>
    </row>
    <row r="1175" spans="1:9" x14ac:dyDescent="0.25">
      <c r="A1175" s="34"/>
      <c r="B1175" t="s">
        <v>1365</v>
      </c>
      <c r="C1175">
        <v>161.68</v>
      </c>
      <c r="D1175" s="94">
        <v>18914963</v>
      </c>
      <c r="E1175" s="73"/>
      <c r="F1175" s="74"/>
      <c r="I1175" s="34"/>
    </row>
    <row r="1176" spans="1:9" x14ac:dyDescent="0.25">
      <c r="A1176" s="34"/>
      <c r="B1176" t="s">
        <v>1366</v>
      </c>
      <c r="C1176">
        <v>162.81</v>
      </c>
      <c r="D1176" s="94">
        <v>14882294</v>
      </c>
      <c r="E1176" s="73"/>
      <c r="F1176" s="74"/>
      <c r="I1176" s="34"/>
    </row>
    <row r="1177" spans="1:9" x14ac:dyDescent="0.25">
      <c r="A1177" s="34"/>
      <c r="B1177" t="s">
        <v>1367</v>
      </c>
      <c r="C1177">
        <v>162.65</v>
      </c>
      <c r="D1177" s="94">
        <v>22144320</v>
      </c>
      <c r="E1177" s="73"/>
      <c r="F1177" s="74"/>
      <c r="I1177" s="34"/>
    </row>
    <row r="1178" spans="1:9" x14ac:dyDescent="0.25">
      <c r="A1178" s="34"/>
      <c r="B1178" t="s">
        <v>1368</v>
      </c>
      <c r="C1178">
        <v>166.72</v>
      </c>
      <c r="D1178" s="94">
        <v>23776757</v>
      </c>
      <c r="E1178" s="73"/>
      <c r="F1178" s="74"/>
      <c r="I1178" s="34"/>
    </row>
    <row r="1179" spans="1:9" x14ac:dyDescent="0.25">
      <c r="A1179" s="34"/>
      <c r="B1179" t="s">
        <v>1369</v>
      </c>
      <c r="C1179">
        <v>164.37</v>
      </c>
      <c r="D1179" s="94">
        <v>18474376</v>
      </c>
      <c r="E1179" s="73"/>
      <c r="F1179" s="74"/>
      <c r="I1179" s="34"/>
    </row>
    <row r="1180" spans="1:9" x14ac:dyDescent="0.25">
      <c r="A1180" s="34"/>
      <c r="B1180" t="s">
        <v>1370</v>
      </c>
      <c r="C1180">
        <v>165.75</v>
      </c>
      <c r="D1180" s="94">
        <v>20297515</v>
      </c>
      <c r="E1180" s="73"/>
      <c r="F1180" s="74"/>
      <c r="I1180" s="34"/>
    </row>
    <row r="1181" spans="1:9" x14ac:dyDescent="0.25">
      <c r="A1181" s="34"/>
      <c r="B1181" t="s">
        <v>1371</v>
      </c>
      <c r="C1181">
        <v>163.07</v>
      </c>
      <c r="D1181" s="94">
        <v>16191544</v>
      </c>
      <c r="E1181" s="73"/>
      <c r="F1181" s="74"/>
      <c r="I1181" s="34"/>
    </row>
    <row r="1182" spans="1:9" x14ac:dyDescent="0.25">
      <c r="A1182" s="34"/>
      <c r="B1182" t="s">
        <v>1372</v>
      </c>
      <c r="C1182">
        <v>163.99</v>
      </c>
      <c r="D1182" s="94">
        <v>18769502</v>
      </c>
      <c r="E1182" s="73"/>
      <c r="F1182" s="74"/>
      <c r="I1182" s="34"/>
    </row>
    <row r="1183" spans="1:9" x14ac:dyDescent="0.25">
      <c r="A1183" s="34"/>
      <c r="B1183" t="s">
        <v>1373</v>
      </c>
      <c r="C1183">
        <v>164.7</v>
      </c>
      <c r="D1183" s="94">
        <v>21274354</v>
      </c>
      <c r="E1183" s="73"/>
      <c r="F1183" s="74"/>
      <c r="I1183" s="34"/>
    </row>
    <row r="1184" spans="1:9" x14ac:dyDescent="0.25">
      <c r="A1184" s="34"/>
      <c r="B1184" t="s">
        <v>1374</v>
      </c>
      <c r="C1184">
        <v>162.97999999999999</v>
      </c>
      <c r="D1184" s="94">
        <v>31263172</v>
      </c>
      <c r="E1184" s="73"/>
      <c r="F1184" s="74"/>
      <c r="I1184" s="34"/>
    </row>
    <row r="1185" spans="1:9" x14ac:dyDescent="0.25">
      <c r="A1185" s="34"/>
      <c r="B1185" t="s">
        <v>1375</v>
      </c>
      <c r="C1185">
        <v>167.64</v>
      </c>
      <c r="D1185" s="94">
        <v>34710176</v>
      </c>
      <c r="E1185" s="73"/>
      <c r="F1185" s="74"/>
      <c r="I1185" s="34"/>
    </row>
    <row r="1186" spans="1:9" x14ac:dyDescent="0.25">
      <c r="A1186" s="34"/>
      <c r="B1186" t="s">
        <v>1376</v>
      </c>
      <c r="C1186">
        <v>165.63</v>
      </c>
      <c r="D1186" s="94">
        <v>37893277</v>
      </c>
      <c r="E1186" s="73"/>
      <c r="F1186" s="74"/>
      <c r="I1186" s="34"/>
    </row>
    <row r="1187" spans="1:9" x14ac:dyDescent="0.25">
      <c r="A1187" s="34"/>
      <c r="B1187" t="s">
        <v>1377</v>
      </c>
      <c r="C1187">
        <v>164.27</v>
      </c>
      <c r="D1187" s="94">
        <v>39320871</v>
      </c>
      <c r="E1187" s="73"/>
      <c r="F1187" s="74"/>
      <c r="I1187" s="34"/>
    </row>
    <row r="1188" spans="1:9" x14ac:dyDescent="0.25">
      <c r="A1188" s="34"/>
      <c r="B1188" t="s">
        <v>1378</v>
      </c>
      <c r="C1188">
        <v>161.91</v>
      </c>
      <c r="D1188" s="94">
        <v>44297953</v>
      </c>
      <c r="E1188" s="73"/>
      <c r="F1188" s="74"/>
      <c r="I1188" s="34"/>
    </row>
    <row r="1189" spans="1:9" x14ac:dyDescent="0.25">
      <c r="A1189" s="34"/>
      <c r="B1189" t="s">
        <v>1379</v>
      </c>
      <c r="C1189">
        <v>155.33000000000001</v>
      </c>
      <c r="D1189" s="94">
        <v>41210494</v>
      </c>
      <c r="E1189" s="73"/>
      <c r="F1189" s="74"/>
      <c r="I1189" s="34"/>
    </row>
    <row r="1190" spans="1:9" x14ac:dyDescent="0.25">
      <c r="A1190" s="34"/>
      <c r="B1190" t="s">
        <v>1380</v>
      </c>
      <c r="C1190">
        <v>157.41</v>
      </c>
      <c r="D1190" s="94">
        <v>91503336</v>
      </c>
      <c r="E1190" s="73"/>
      <c r="F1190" s="74"/>
      <c r="I1190" s="34"/>
    </row>
    <row r="1191" spans="1:9" x14ac:dyDescent="0.25">
      <c r="A1191" s="34"/>
      <c r="B1191" t="s">
        <v>1381</v>
      </c>
      <c r="C1191">
        <v>155.77000000000001</v>
      </c>
      <c r="D1191" s="94">
        <v>71956002</v>
      </c>
      <c r="E1191" s="73"/>
      <c r="F1191" s="74"/>
      <c r="I1191" s="34"/>
    </row>
    <row r="1192" spans="1:9" x14ac:dyDescent="0.25">
      <c r="A1192" s="34"/>
      <c r="B1192" t="s">
        <v>1382</v>
      </c>
      <c r="C1192">
        <v>161.28</v>
      </c>
      <c r="D1192" s="94">
        <v>75574255</v>
      </c>
      <c r="E1192" s="73"/>
      <c r="F1192" s="74"/>
      <c r="I1192" s="34"/>
    </row>
    <row r="1193" spans="1:9" x14ac:dyDescent="0.25">
      <c r="A1193" s="34"/>
      <c r="B1193" t="s">
        <v>1383</v>
      </c>
      <c r="C1193">
        <v>153.1</v>
      </c>
      <c r="D1193" s="94">
        <v>54652978</v>
      </c>
      <c r="E1193" s="73"/>
      <c r="F1193" s="74"/>
      <c r="I1193" s="34"/>
    </row>
    <row r="1194" spans="1:9" x14ac:dyDescent="0.25">
      <c r="A1194" s="34"/>
      <c r="B1194" t="s">
        <v>1384</v>
      </c>
      <c r="C1194">
        <v>148.31</v>
      </c>
      <c r="D1194" s="94">
        <v>26546793</v>
      </c>
      <c r="E1194" s="73"/>
      <c r="F1194" s="74"/>
      <c r="I1194" s="34"/>
    </row>
    <row r="1195" spans="1:9" x14ac:dyDescent="0.25">
      <c r="A1195" s="34"/>
      <c r="B1195" t="s">
        <v>1385</v>
      </c>
      <c r="C1195">
        <v>147.63</v>
      </c>
      <c r="D1195" s="94">
        <v>31395991</v>
      </c>
      <c r="E1195" s="73"/>
      <c r="F1195" s="74"/>
      <c r="I1195" s="34"/>
    </row>
    <row r="1196" spans="1:9" x14ac:dyDescent="0.25">
      <c r="A1196" s="34"/>
      <c r="B1196" t="s">
        <v>1386</v>
      </c>
      <c r="C1196">
        <v>146.87</v>
      </c>
      <c r="D1196" s="94">
        <v>30531449</v>
      </c>
      <c r="E1196" s="73"/>
      <c r="F1196" s="74"/>
      <c r="I1196" s="34"/>
    </row>
    <row r="1197" spans="1:9" x14ac:dyDescent="0.25">
      <c r="A1197" s="34"/>
      <c r="B1197" t="s">
        <v>1387</v>
      </c>
      <c r="C1197">
        <v>148.91</v>
      </c>
      <c r="D1197" s="94">
        <v>28887489</v>
      </c>
      <c r="E1197" s="73"/>
      <c r="F1197" s="74"/>
      <c r="I1197" s="34"/>
    </row>
    <row r="1198" spans="1:9" x14ac:dyDescent="0.25">
      <c r="A1198" s="34"/>
      <c r="B1198" t="s">
        <v>1388</v>
      </c>
      <c r="C1198">
        <v>144.6</v>
      </c>
      <c r="D1198" s="94">
        <v>24027295</v>
      </c>
      <c r="E1198" s="73"/>
      <c r="F1198" s="74"/>
      <c r="I1198" s="34"/>
    </row>
    <row r="1199" spans="1:9" x14ac:dyDescent="0.25">
      <c r="A1199" s="34"/>
      <c r="B1199" t="s">
        <v>1389</v>
      </c>
      <c r="C1199">
        <v>147.63</v>
      </c>
      <c r="D1199" s="94">
        <v>27636105</v>
      </c>
      <c r="E1199" s="73"/>
      <c r="F1199" s="74"/>
      <c r="I1199" s="34"/>
    </row>
    <row r="1200" spans="1:9" x14ac:dyDescent="0.25">
      <c r="A1200" s="34"/>
      <c r="B1200" t="s">
        <v>1390</v>
      </c>
      <c r="C1200">
        <v>149.38999999999999</v>
      </c>
      <c r="D1200" s="94">
        <v>24462536</v>
      </c>
      <c r="E1200" s="73"/>
      <c r="F1200" s="74"/>
      <c r="I1200" s="34"/>
    </row>
    <row r="1201" spans="1:9" x14ac:dyDescent="0.25">
      <c r="A1201" s="34"/>
      <c r="B1201" t="s">
        <v>1391</v>
      </c>
      <c r="C1201">
        <v>154.72999999999999</v>
      </c>
      <c r="D1201" s="94">
        <v>22562768</v>
      </c>
      <c r="E1201" s="73"/>
      <c r="F1201" s="74"/>
      <c r="I1201" s="34"/>
    </row>
    <row r="1202" spans="1:9" x14ac:dyDescent="0.25">
      <c r="A1202" s="34"/>
      <c r="B1202" t="s">
        <v>1392</v>
      </c>
      <c r="C1202">
        <v>155.01</v>
      </c>
      <c r="D1202" s="94">
        <v>19847133</v>
      </c>
      <c r="E1202" s="73"/>
      <c r="F1202" s="74"/>
      <c r="I1202" s="34"/>
    </row>
    <row r="1203" spans="1:9" x14ac:dyDescent="0.25">
      <c r="A1203" s="34"/>
      <c r="B1203" t="s">
        <v>1393</v>
      </c>
      <c r="C1203">
        <v>158.84</v>
      </c>
      <c r="D1203" s="94">
        <v>27199665</v>
      </c>
      <c r="E1203" s="73"/>
      <c r="F1203" s="74"/>
      <c r="I1203" s="34"/>
    </row>
    <row r="1204" spans="1:9" x14ac:dyDescent="0.25">
      <c r="A1204" s="34"/>
      <c r="B1204" t="s">
        <v>1394</v>
      </c>
      <c r="C1204">
        <v>158.4</v>
      </c>
      <c r="D1204" s="94">
        <v>39914264</v>
      </c>
      <c r="E1204" s="73"/>
      <c r="F1204" s="74"/>
      <c r="I1204" s="34"/>
    </row>
    <row r="1205" spans="1:9" x14ac:dyDescent="0.25">
      <c r="A1205" s="34"/>
      <c r="B1205" t="s">
        <v>1395</v>
      </c>
      <c r="C1205">
        <v>157.72999999999999</v>
      </c>
      <c r="D1205" s="94">
        <v>19551313</v>
      </c>
      <c r="E1205" s="73"/>
      <c r="F1205" s="74"/>
      <c r="I1205" s="34"/>
    </row>
    <row r="1206" spans="1:9" x14ac:dyDescent="0.25">
      <c r="A1206" s="34"/>
      <c r="B1206" t="s">
        <v>1396</v>
      </c>
      <c r="C1206">
        <v>159.6</v>
      </c>
      <c r="D1206" s="94">
        <v>14629659</v>
      </c>
      <c r="E1206" s="73"/>
      <c r="F1206" s="74"/>
      <c r="I1206" s="34"/>
    </row>
    <row r="1207" spans="1:9" x14ac:dyDescent="0.25">
      <c r="A1207" s="34"/>
      <c r="B1207" t="s">
        <v>1397</v>
      </c>
      <c r="C1207">
        <v>159.72</v>
      </c>
      <c r="D1207" s="94">
        <v>21996048</v>
      </c>
      <c r="E1207" s="73"/>
      <c r="F1207" s="74"/>
      <c r="I1207" s="34"/>
    </row>
    <row r="1208" spans="1:9" x14ac:dyDescent="0.25">
      <c r="A1208" s="34"/>
      <c r="B1208" t="s">
        <v>1398</v>
      </c>
      <c r="C1208">
        <v>156.97</v>
      </c>
      <c r="D1208" s="94">
        <v>18979188</v>
      </c>
      <c r="E1208" s="73"/>
      <c r="F1208" s="74"/>
      <c r="I1208" s="34"/>
    </row>
    <row r="1209" spans="1:9" x14ac:dyDescent="0.25">
      <c r="A1209" s="34"/>
      <c r="B1209" t="s">
        <v>1399</v>
      </c>
      <c r="C1209">
        <v>157.41</v>
      </c>
      <c r="D1209" s="94">
        <v>22631373</v>
      </c>
      <c r="E1209" s="73"/>
      <c r="F1209" s="74"/>
      <c r="I1209" s="34"/>
    </row>
    <row r="1210" spans="1:9" x14ac:dyDescent="0.25">
      <c r="A1210" s="34"/>
      <c r="B1210" t="s">
        <v>1400</v>
      </c>
      <c r="C1210">
        <v>160.04</v>
      </c>
      <c r="D1210" s="94">
        <v>28508405</v>
      </c>
      <c r="E1210" s="73"/>
      <c r="F1210" s="74"/>
      <c r="I1210" s="34"/>
    </row>
    <row r="1211" spans="1:9" x14ac:dyDescent="0.25">
      <c r="A1211" s="34"/>
      <c r="B1211" t="s">
        <v>1401</v>
      </c>
      <c r="C1211">
        <v>157.49</v>
      </c>
      <c r="D1211" s="94">
        <v>35834621</v>
      </c>
      <c r="E1211" s="73"/>
      <c r="F1211" s="74"/>
      <c r="I1211" s="34"/>
    </row>
    <row r="1212" spans="1:9" x14ac:dyDescent="0.25">
      <c r="A1212" s="34"/>
      <c r="B1212" t="s">
        <v>1402</v>
      </c>
      <c r="C1212">
        <v>152.13999999999999</v>
      </c>
      <c r="D1212" s="94">
        <v>24578072</v>
      </c>
      <c r="E1212" s="73"/>
      <c r="F1212" s="74"/>
      <c r="I1212" s="34"/>
    </row>
    <row r="1213" spans="1:9" x14ac:dyDescent="0.25">
      <c r="A1213" s="34"/>
      <c r="B1213" t="s">
        <v>1403</v>
      </c>
      <c r="C1213">
        <v>153.34</v>
      </c>
      <c r="D1213" s="94">
        <v>24546119</v>
      </c>
      <c r="E1213" s="73"/>
      <c r="F1213" s="74"/>
      <c r="I1213" s="34"/>
    </row>
    <row r="1214" spans="1:9" x14ac:dyDescent="0.25">
      <c r="A1214" s="34"/>
      <c r="B1214" t="s">
        <v>1404</v>
      </c>
      <c r="C1214">
        <v>152.97999999999999</v>
      </c>
      <c r="D1214" s="94">
        <v>53233404</v>
      </c>
      <c r="E1214" s="73"/>
      <c r="F1214" s="74"/>
      <c r="I1214" s="34"/>
    </row>
    <row r="1215" spans="1:9" x14ac:dyDescent="0.25">
      <c r="A1215" s="34"/>
      <c r="B1215" t="s">
        <v>1405</v>
      </c>
      <c r="C1215">
        <v>148.71</v>
      </c>
      <c r="D1215" s="94">
        <v>39013770</v>
      </c>
      <c r="E1215" s="73"/>
      <c r="F1215" s="74"/>
      <c r="I1215" s="34"/>
    </row>
    <row r="1216" spans="1:9" x14ac:dyDescent="0.25">
      <c r="A1216" s="34"/>
      <c r="B1216" t="s">
        <v>1406</v>
      </c>
      <c r="C1216">
        <v>150.78</v>
      </c>
      <c r="D1216" s="94">
        <v>58382197</v>
      </c>
      <c r="E1216" s="73"/>
      <c r="F1216" s="74"/>
      <c r="I1216" s="34"/>
    </row>
    <row r="1217" spans="1:17" x14ac:dyDescent="0.25">
      <c r="A1217" s="34"/>
      <c r="B1217" t="s">
        <v>1407</v>
      </c>
      <c r="C1217">
        <v>140.25</v>
      </c>
      <c r="D1217" s="94">
        <v>25320734</v>
      </c>
      <c r="E1217" s="73"/>
      <c r="F1217" s="74"/>
      <c r="I1217" s="34"/>
    </row>
    <row r="1218" spans="1:17" x14ac:dyDescent="0.25">
      <c r="A1218" s="34"/>
      <c r="B1218" t="s">
        <v>1408</v>
      </c>
      <c r="C1218">
        <v>136.26</v>
      </c>
      <c r="D1218" s="94">
        <v>20142171</v>
      </c>
      <c r="E1218" s="73"/>
      <c r="F1218" s="74"/>
      <c r="I1218" s="34"/>
    </row>
    <row r="1219" spans="1:17" x14ac:dyDescent="0.25">
      <c r="A1219" s="34"/>
      <c r="B1219" t="s">
        <v>1409</v>
      </c>
      <c r="C1219">
        <v>131.47</v>
      </c>
      <c r="D1219" s="94">
        <v>20801299</v>
      </c>
      <c r="E1219" s="73"/>
      <c r="F1219" s="74"/>
      <c r="I1219" s="34"/>
    </row>
    <row r="1220" spans="1:17" x14ac:dyDescent="0.25">
      <c r="A1220" s="34"/>
      <c r="B1220" t="s">
        <v>1410</v>
      </c>
      <c r="C1220">
        <v>131.38999999999999</v>
      </c>
      <c r="D1220" s="94">
        <v>14950243</v>
      </c>
      <c r="E1220" s="73"/>
      <c r="F1220" s="74"/>
      <c r="I1220" s="34"/>
    </row>
    <row r="1221" spans="1:17" x14ac:dyDescent="0.25">
      <c r="A1221" s="34"/>
      <c r="B1221" t="s">
        <v>1411</v>
      </c>
      <c r="C1221">
        <v>130.71</v>
      </c>
      <c r="D1221" s="94">
        <v>14949993</v>
      </c>
      <c r="E1221" s="73"/>
      <c r="F1221" s="74"/>
      <c r="I1221" s="34"/>
      <c r="Q1221" t="s">
        <v>133</v>
      </c>
    </row>
    <row r="1222" spans="1:17" x14ac:dyDescent="0.25">
      <c r="A1222" s="34"/>
      <c r="B1222" t="s">
        <v>1412</v>
      </c>
      <c r="C1222">
        <v>131.99</v>
      </c>
      <c r="D1222" s="94">
        <v>20015124</v>
      </c>
      <c r="E1222" s="73"/>
      <c r="F1222" s="74"/>
      <c r="I1222" s="34"/>
    </row>
    <row r="1223" spans="1:17" x14ac:dyDescent="0.25">
      <c r="A1223" s="34"/>
      <c r="B1223" t="s">
        <v>1413</v>
      </c>
      <c r="C1223">
        <v>131.71</v>
      </c>
      <c r="D1223" s="94">
        <v>21387527</v>
      </c>
      <c r="E1223" s="73"/>
      <c r="F1223" s="74"/>
      <c r="I1223" s="34"/>
    </row>
    <row r="1224" spans="1:17" x14ac:dyDescent="0.25">
      <c r="A1224" s="34"/>
      <c r="B1224" t="s">
        <v>1414</v>
      </c>
      <c r="C1224">
        <v>126.44</v>
      </c>
      <c r="D1224" s="94">
        <v>18095473</v>
      </c>
      <c r="E1224" s="73"/>
      <c r="F1224" s="74"/>
      <c r="I1224" s="34"/>
    </row>
    <row r="1225" spans="1:17" x14ac:dyDescent="0.25">
      <c r="A1225" s="34"/>
      <c r="B1225" t="s">
        <v>1415</v>
      </c>
      <c r="C1225">
        <v>126.28</v>
      </c>
      <c r="D1225" s="94">
        <v>25307015</v>
      </c>
      <c r="E1225" s="73"/>
      <c r="F1225" s="74"/>
      <c r="I1225" s="34"/>
    </row>
    <row r="1226" spans="1:17" x14ac:dyDescent="0.25">
      <c r="A1226" s="34"/>
      <c r="B1226" t="s">
        <v>1416</v>
      </c>
      <c r="C1226">
        <v>128.47999999999999</v>
      </c>
      <c r="D1226" s="94">
        <v>24249585</v>
      </c>
      <c r="E1226" s="73"/>
      <c r="F1226" s="74"/>
      <c r="I1226" s="34"/>
    </row>
    <row r="1227" spans="1:17" x14ac:dyDescent="0.25">
      <c r="A1227" s="34"/>
      <c r="B1227" t="s">
        <v>1417</v>
      </c>
      <c r="C1227">
        <v>130.79</v>
      </c>
      <c r="D1227" s="94">
        <v>65586734</v>
      </c>
      <c r="E1227" s="73"/>
      <c r="F1227" s="74"/>
      <c r="I1227" s="34"/>
    </row>
    <row r="1228" spans="1:17" x14ac:dyDescent="0.25">
      <c r="A1228" s="34"/>
      <c r="B1228" t="s">
        <v>1418</v>
      </c>
      <c r="C1228">
        <v>138.77000000000001</v>
      </c>
      <c r="D1228" s="94">
        <v>17707577</v>
      </c>
      <c r="E1228" s="73"/>
      <c r="F1228" s="74"/>
      <c r="I1228" s="34"/>
    </row>
    <row r="1229" spans="1:17" x14ac:dyDescent="0.25">
      <c r="A1229" s="34"/>
      <c r="B1229" t="s">
        <v>1419</v>
      </c>
      <c r="C1229">
        <v>138.88999999999999</v>
      </c>
      <c r="D1229" s="94">
        <v>30294317</v>
      </c>
      <c r="E1229" s="73"/>
      <c r="F1229" s="74"/>
      <c r="I1229" s="34"/>
    </row>
    <row r="1230" spans="1:17" x14ac:dyDescent="0.25">
      <c r="A1230" s="34"/>
      <c r="B1230" t="s">
        <v>1420</v>
      </c>
      <c r="C1230">
        <v>145.28</v>
      </c>
      <c r="D1230" s="94">
        <v>30164713</v>
      </c>
      <c r="E1230" s="73"/>
      <c r="F1230" s="74"/>
      <c r="I1230" s="34"/>
    </row>
    <row r="1231" spans="1:17" x14ac:dyDescent="0.25">
      <c r="A1231" s="34"/>
      <c r="B1231" t="s">
        <v>1421</v>
      </c>
      <c r="C1231">
        <v>145.36000000000001</v>
      </c>
      <c r="D1231" s="94">
        <v>21461067</v>
      </c>
      <c r="E1231" s="73"/>
      <c r="F1231" s="74"/>
      <c r="I1231" s="34"/>
    </row>
    <row r="1232" spans="1:17" x14ac:dyDescent="0.25">
      <c r="A1232" s="34"/>
      <c r="B1232" t="s">
        <v>1422</v>
      </c>
      <c r="C1232">
        <v>143.19999999999999</v>
      </c>
      <c r="D1232" s="94">
        <v>17802635</v>
      </c>
      <c r="E1232" s="73"/>
      <c r="F1232" s="74"/>
      <c r="I1232" s="34"/>
    </row>
    <row r="1233" spans="1:10" x14ac:dyDescent="0.25">
      <c r="A1233" s="34"/>
      <c r="B1233" t="s">
        <v>1423</v>
      </c>
      <c r="C1233">
        <v>143.52000000000001</v>
      </c>
      <c r="D1233" s="94">
        <v>13085703</v>
      </c>
      <c r="E1233" s="73"/>
      <c r="F1233" s="74"/>
      <c r="I1233" s="34"/>
    </row>
    <row r="1234" spans="1:10" x14ac:dyDescent="0.25">
      <c r="A1234" s="34"/>
      <c r="B1234" t="s">
        <v>1424</v>
      </c>
      <c r="C1234">
        <v>143.68</v>
      </c>
      <c r="D1234" s="94">
        <v>18049697</v>
      </c>
      <c r="E1234" s="73"/>
      <c r="F1234" s="74"/>
      <c r="I1234" s="34"/>
    </row>
    <row r="1235" spans="1:10" x14ac:dyDescent="0.25">
      <c r="A1235" s="34"/>
      <c r="B1235" t="s">
        <v>1425</v>
      </c>
      <c r="C1235">
        <v>144.08000000000001</v>
      </c>
      <c r="D1235" s="94">
        <v>32968029</v>
      </c>
      <c r="E1235" s="73"/>
      <c r="F1235" s="74"/>
      <c r="I1235" s="34"/>
    </row>
    <row r="1236" spans="1:10" x14ac:dyDescent="0.25">
      <c r="A1236" s="34"/>
      <c r="B1236" t="s">
        <v>1426</v>
      </c>
      <c r="C1236">
        <v>145.44</v>
      </c>
      <c r="D1236" s="94">
        <v>25163402</v>
      </c>
      <c r="E1236" s="73"/>
      <c r="F1236" s="74"/>
      <c r="I1236" s="34"/>
    </row>
    <row r="1237" spans="1:10" x14ac:dyDescent="0.25">
      <c r="A1237" s="34"/>
      <c r="B1237" t="s">
        <v>1427</v>
      </c>
      <c r="C1237">
        <v>143.32</v>
      </c>
      <c r="D1237" s="94">
        <v>23333661</v>
      </c>
      <c r="E1237" s="73"/>
      <c r="F1237" s="74"/>
      <c r="I1237" s="34"/>
    </row>
    <row r="1238" spans="1:10" x14ac:dyDescent="0.25">
      <c r="A1238" s="34"/>
      <c r="B1238" t="s">
        <v>1428</v>
      </c>
      <c r="C1238">
        <v>144.19999999999999</v>
      </c>
      <c r="D1238" s="94">
        <v>35764287</v>
      </c>
      <c r="E1238" s="73"/>
      <c r="F1238" s="74"/>
      <c r="I1238" s="34"/>
    </row>
    <row r="1239" spans="1:10" x14ac:dyDescent="0.25">
      <c r="A1239" s="34"/>
      <c r="B1239" t="s">
        <v>1429</v>
      </c>
      <c r="C1239">
        <v>150.1</v>
      </c>
      <c r="D1239" s="94">
        <v>26667421</v>
      </c>
      <c r="E1239" s="73"/>
      <c r="F1239" s="74"/>
      <c r="I1239" s="34"/>
    </row>
    <row r="1240" spans="1:10" x14ac:dyDescent="0.25">
      <c r="A1240" s="34"/>
      <c r="B1240" t="s">
        <v>1430</v>
      </c>
      <c r="C1240">
        <v>148.71</v>
      </c>
      <c r="D1240" s="94">
        <v>27080032</v>
      </c>
      <c r="E1240" s="73"/>
      <c r="F1240" s="74"/>
      <c r="I1240" s="34"/>
    </row>
    <row r="1241" spans="1:10" x14ac:dyDescent="0.25">
      <c r="A1241" s="34"/>
      <c r="B1241" t="s">
        <v>1431</v>
      </c>
      <c r="C1241">
        <v>151.1</v>
      </c>
      <c r="D1241" s="94">
        <v>49092699</v>
      </c>
      <c r="I1241" s="34"/>
    </row>
    <row r="1242" spans="1:10" x14ac:dyDescent="0.25">
      <c r="A1242" s="34"/>
      <c r="B1242" t="s">
        <v>1432</v>
      </c>
      <c r="C1242">
        <v>144.91999999999999</v>
      </c>
      <c r="D1242" s="94">
        <v>17744169</v>
      </c>
      <c r="I1242" s="34"/>
    </row>
    <row r="1243" spans="1:10" x14ac:dyDescent="0.25">
      <c r="A1243" s="34"/>
      <c r="B1243" s="39"/>
      <c r="I1243" s="34"/>
    </row>
    <row r="1244" spans="1:10" x14ac:dyDescent="0.25">
      <c r="I1244" s="34">
        <v>43896</v>
      </c>
      <c r="J1244" t="s">
        <v>132</v>
      </c>
    </row>
    <row r="1245" spans="1:10" x14ac:dyDescent="0.25">
      <c r="I1245" s="34">
        <v>43895</v>
      </c>
      <c r="J1245" t="s">
        <v>131</v>
      </c>
    </row>
  </sheetData>
  <mergeCells count="3">
    <mergeCell ref="M7:M8"/>
    <mergeCell ref="N7:N8"/>
    <mergeCell ref="O7:O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9FFB-16A1-45A5-9A80-D6EBCFA0953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Input Sheet</vt:lpstr>
      <vt:lpstr>Teaser</vt:lpstr>
      <vt:lpstr>Profit &amp; Loss</vt:lpstr>
      <vt:lpstr>Quarters</vt:lpstr>
      <vt:lpstr>Balance Sheet</vt:lpstr>
      <vt:lpstr>Cash Flow</vt:lpstr>
      <vt:lpstr>Customization</vt:lpstr>
      <vt:lpstr>Data Sheet</vt:lpstr>
      <vt:lpstr>Share Price</vt:lpstr>
      <vt:lpstr>Sheet1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Rohit Routh</cp:lastModifiedBy>
  <cp:lastPrinted>2025-03-30T19:50:37Z</cp:lastPrinted>
  <dcterms:created xsi:type="dcterms:W3CDTF">2012-08-17T09:55:37Z</dcterms:created>
  <dcterms:modified xsi:type="dcterms:W3CDTF">2025-04-11T20:30:05Z</dcterms:modified>
</cp:coreProperties>
</file>