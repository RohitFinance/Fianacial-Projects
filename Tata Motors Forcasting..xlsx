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FAC236A6-7E2D-4A23-AB97-429F62AD3591}" xr6:coauthVersionLast="47" xr6:coauthVersionMax="47" xr10:uidLastSave="{00000000-0000-0000-0000-000000000000}"/>
  <bookViews>
    <workbookView xWindow="-120" yWindow="-120" windowWidth="20730" windowHeight="11160" activeTab="6" xr2:uid="{00000000-000D-0000-FFFF-FFFF00000000}"/>
  </bookViews>
  <sheets>
    <sheet name="Financials&gt;" sheetId="7" r:id="rId1"/>
    <sheet name="HistoricalFS" sheetId="8" r:id="rId2"/>
    <sheet name="Ratio Analysis" sheetId="9" r:id="rId3"/>
    <sheet name="Data Sheet" sheetId="6" r:id="rId4"/>
    <sheet name="cheat Sheet " sheetId="10" r:id="rId5"/>
    <sheet name="cashflow Statement brought " sheetId="12" r:id="rId6"/>
    <sheet name="Forcasting" sheetId="13" r:id="rId7"/>
    <sheet name="Sheet1" sheetId="14" r:id="rId8"/>
  </sheets>
  <definedNames>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2" i="13" l="1"/>
  <c r="M5" i="13"/>
  <c r="M6" i="13" s="1"/>
  <c r="M7" i="13" s="1"/>
  <c r="M8" i="13" s="1"/>
  <c r="M9" i="13" s="1"/>
  <c r="M10" i="13" s="1"/>
  <c r="M11" i="13" s="1"/>
  <c r="M12" i="13" s="1"/>
  <c r="M13" i="13" s="1"/>
  <c r="M14" i="13" s="1"/>
  <c r="M15" i="13" s="1"/>
  <c r="M16" i="13" s="1"/>
  <c r="M17" i="13" s="1"/>
  <c r="M18" i="13" s="1"/>
  <c r="L5" i="13"/>
  <c r="L6" i="13" s="1"/>
  <c r="L7" i="13" s="1"/>
  <c r="L8" i="13" s="1"/>
  <c r="L9" i="13" s="1"/>
  <c r="L10" i="13" s="1"/>
  <c r="L11" i="13" s="1"/>
  <c r="L12" i="13" s="1"/>
  <c r="L13" i="13" s="1"/>
  <c r="L14" i="13" s="1"/>
  <c r="M4" i="13"/>
  <c r="C4" i="13"/>
  <c r="H4" i="13" s="1"/>
  <c r="H5" i="13" s="1"/>
  <c r="H6" i="13" s="1"/>
  <c r="H7" i="13" s="1"/>
  <c r="H8" i="13" s="1"/>
  <c r="H9" i="13" s="1"/>
  <c r="H10" i="13" s="1"/>
  <c r="H11" i="13" s="1"/>
  <c r="H12" i="13" s="1"/>
  <c r="H13" i="13" s="1"/>
  <c r="H14" i="13" s="1"/>
  <c r="H15" i="13" s="1"/>
  <c r="H16" i="13" s="1"/>
  <c r="H17" i="13" s="1"/>
  <c r="H18" i="13" s="1"/>
  <c r="B2" i="13"/>
  <c r="G2" i="13"/>
  <c r="G5" i="13"/>
  <c r="G6" i="13" s="1"/>
  <c r="G7" i="13" s="1"/>
  <c r="G8" i="13" s="1"/>
  <c r="G9" i="13" s="1"/>
  <c r="G10" i="13" s="1"/>
  <c r="G11" i="13" s="1"/>
  <c r="G12" i="13" s="1"/>
  <c r="G13" i="13" s="1"/>
  <c r="G14" i="13" s="1"/>
  <c r="D4" i="13" a="1"/>
  <c r="D4" i="13" s="1"/>
  <c r="B5" i="13"/>
  <c r="B6" i="13" s="1"/>
  <c r="B7" i="13" s="1"/>
  <c r="B8" i="13" s="1"/>
  <c r="B9" i="13" s="1"/>
  <c r="B10" i="13" s="1"/>
  <c r="B11" i="13" s="1"/>
  <c r="B12" i="13" s="1"/>
  <c r="B13" i="13" s="1"/>
  <c r="B14" i="13" s="1"/>
  <c r="B15" i="13" l="1"/>
  <c r="C5" i="13"/>
  <c r="C6" i="13" s="1"/>
  <c r="C7" i="13" s="1"/>
  <c r="C8" i="13" s="1"/>
  <c r="C9" i="13" s="1"/>
  <c r="C10" i="13" s="1"/>
  <c r="C11" i="13" s="1"/>
  <c r="C12" i="13" s="1"/>
  <c r="C13" i="13" s="1"/>
  <c r="C14" i="13" s="1"/>
  <c r="C15" i="13" s="1"/>
  <c r="C16" i="13" s="1"/>
  <c r="C17" i="13" s="1"/>
  <c r="C18" i="13" s="1"/>
  <c r="L15" i="13"/>
  <c r="G15" i="13"/>
  <c r="D7" i="13"/>
  <c r="E7" i="13" s="1"/>
  <c r="D10" i="13"/>
  <c r="D6" i="13"/>
  <c r="D11" i="13"/>
  <c r="E11" i="13" s="1"/>
  <c r="D13" i="13"/>
  <c r="E13" i="13" s="1"/>
  <c r="D9" i="13"/>
  <c r="D5" i="13"/>
  <c r="E5" i="13" s="1"/>
  <c r="D12" i="13"/>
  <c r="E12" i="13" s="1"/>
  <c r="D8" i="13"/>
  <c r="E8" i="13" s="1"/>
  <c r="D14" i="13" l="1"/>
  <c r="E14" i="13" s="1"/>
  <c r="E6" i="13"/>
  <c r="B16" i="13"/>
  <c r="D15" i="13"/>
  <c r="E9" i="13"/>
  <c r="E10" i="13"/>
  <c r="L16" i="13"/>
  <c r="G16" i="13"/>
  <c r="E15" i="13" l="1"/>
  <c r="B17" i="13"/>
  <c r="D16" i="13"/>
  <c r="E16" i="13" s="1"/>
  <c r="L17" i="13"/>
  <c r="G17" i="13"/>
  <c r="B18" i="13" l="1"/>
  <c r="D18" i="13" s="1"/>
  <c r="D17" i="13"/>
  <c r="E17" i="13" s="1"/>
  <c r="L18" i="13"/>
  <c r="G18" i="13"/>
  <c r="E18" i="13" l="1"/>
  <c r="D9" i="9" l="1"/>
  <c r="E9" i="9"/>
  <c r="F9" i="9"/>
  <c r="G9" i="9"/>
  <c r="H9" i="9"/>
  <c r="I9" i="9"/>
  <c r="J9" i="9"/>
  <c r="K9" i="9"/>
  <c r="L9" i="9"/>
  <c r="B2" i="9"/>
  <c r="L3" i="9"/>
  <c r="K3" i="9"/>
  <c r="J3" i="9"/>
  <c r="I3" i="9"/>
  <c r="H3" i="9"/>
  <c r="G3" i="9"/>
  <c r="F3" i="9"/>
  <c r="E3" i="9"/>
  <c r="D3" i="9"/>
  <c r="C3" i="9"/>
  <c r="O9" i="9" l="1"/>
  <c r="N9" i="9"/>
  <c r="D94" i="8"/>
  <c r="D102" i="8" s="1"/>
  <c r="E94" i="8"/>
  <c r="E102" i="8" s="1"/>
  <c r="F94" i="8"/>
  <c r="G94" i="8"/>
  <c r="H94" i="8"/>
  <c r="H102" i="8" s="1"/>
  <c r="I94" i="8"/>
  <c r="I102" i="8" s="1"/>
  <c r="J94" i="8"/>
  <c r="K94" i="8"/>
  <c r="L94" i="8"/>
  <c r="L102" i="8" s="1"/>
  <c r="D95" i="8"/>
  <c r="E95" i="8"/>
  <c r="F95" i="8"/>
  <c r="G95" i="8"/>
  <c r="H95" i="8"/>
  <c r="I95" i="8"/>
  <c r="J95" i="8"/>
  <c r="K95" i="8"/>
  <c r="L95" i="8"/>
  <c r="D96" i="8"/>
  <c r="E96" i="8"/>
  <c r="F96" i="8"/>
  <c r="F102" i="8" s="1"/>
  <c r="G96" i="8"/>
  <c r="G102" i="8" s="1"/>
  <c r="H96" i="8"/>
  <c r="I96" i="8"/>
  <c r="J96" i="8"/>
  <c r="J102" i="8" s="1"/>
  <c r="K96" i="8"/>
  <c r="K102" i="8" s="1"/>
  <c r="L96" i="8"/>
  <c r="D97" i="8"/>
  <c r="E97" i="8"/>
  <c r="F97" i="8"/>
  <c r="G97" i="8"/>
  <c r="H97" i="8"/>
  <c r="I97" i="8"/>
  <c r="J97" i="8"/>
  <c r="K97" i="8"/>
  <c r="L97" i="8"/>
  <c r="D98" i="8"/>
  <c r="E98" i="8"/>
  <c r="F98" i="8"/>
  <c r="G98" i="8"/>
  <c r="H98" i="8"/>
  <c r="I98" i="8"/>
  <c r="J98" i="8"/>
  <c r="K98" i="8"/>
  <c r="L98" i="8"/>
  <c r="D99" i="8"/>
  <c r="E99" i="8"/>
  <c r="F99" i="8"/>
  <c r="G99" i="8"/>
  <c r="H99" i="8"/>
  <c r="I99" i="8"/>
  <c r="J99" i="8"/>
  <c r="K99" i="8"/>
  <c r="L99" i="8"/>
  <c r="D100" i="8"/>
  <c r="E100" i="8"/>
  <c r="F100" i="8"/>
  <c r="G100" i="8"/>
  <c r="H100" i="8"/>
  <c r="I100" i="8"/>
  <c r="J100" i="8"/>
  <c r="K100" i="8"/>
  <c r="L100" i="8"/>
  <c r="D101" i="8"/>
  <c r="E101" i="8"/>
  <c r="F101" i="8"/>
  <c r="G101" i="8"/>
  <c r="H101" i="8"/>
  <c r="I101" i="8"/>
  <c r="J101" i="8"/>
  <c r="K101" i="8"/>
  <c r="L101" i="8"/>
  <c r="C95" i="8"/>
  <c r="C96" i="8"/>
  <c r="C97" i="8"/>
  <c r="C98" i="8"/>
  <c r="C99" i="8"/>
  <c r="C100" i="8"/>
  <c r="C101" i="8"/>
  <c r="C94" i="8"/>
  <c r="C102" i="8" s="1"/>
  <c r="B101" i="8"/>
  <c r="B95" i="8"/>
  <c r="B96" i="8"/>
  <c r="B97" i="8"/>
  <c r="B98" i="8"/>
  <c r="B99" i="8"/>
  <c r="B100" i="8"/>
  <c r="B94" i="8"/>
  <c r="D80" i="8"/>
  <c r="E80" i="8"/>
  <c r="F80" i="8"/>
  <c r="F91" i="8" s="1"/>
  <c r="G80" i="8"/>
  <c r="G91" i="8" s="1"/>
  <c r="H80" i="8"/>
  <c r="I80" i="8"/>
  <c r="J80" i="8"/>
  <c r="J91" i="8" s="1"/>
  <c r="K80" i="8"/>
  <c r="K91" i="8" s="1"/>
  <c r="L80" i="8"/>
  <c r="D81" i="8"/>
  <c r="E81" i="8"/>
  <c r="F81" i="8"/>
  <c r="G81" i="8"/>
  <c r="H81" i="8"/>
  <c r="I81" i="8"/>
  <c r="J81" i="8"/>
  <c r="K81" i="8"/>
  <c r="L81" i="8"/>
  <c r="D82" i="8"/>
  <c r="D91" i="8" s="1"/>
  <c r="E82" i="8"/>
  <c r="E91" i="8" s="1"/>
  <c r="F82" i="8"/>
  <c r="G82" i="8"/>
  <c r="H82" i="8"/>
  <c r="H91" i="8" s="1"/>
  <c r="I82" i="8"/>
  <c r="I91" i="8" s="1"/>
  <c r="J82" i="8"/>
  <c r="K82" i="8"/>
  <c r="L82" i="8"/>
  <c r="L91" i="8" s="1"/>
  <c r="D83" i="8"/>
  <c r="E83" i="8"/>
  <c r="F83" i="8"/>
  <c r="G83" i="8"/>
  <c r="H83" i="8"/>
  <c r="I83" i="8"/>
  <c r="J83" i="8"/>
  <c r="K83" i="8"/>
  <c r="L83" i="8"/>
  <c r="D84" i="8"/>
  <c r="E84" i="8"/>
  <c r="F84" i="8"/>
  <c r="G84" i="8"/>
  <c r="H84" i="8"/>
  <c r="I84" i="8"/>
  <c r="J84" i="8"/>
  <c r="K84" i="8"/>
  <c r="L84" i="8"/>
  <c r="D85" i="8"/>
  <c r="E85" i="8"/>
  <c r="F85" i="8"/>
  <c r="G85" i="8"/>
  <c r="H85" i="8"/>
  <c r="I85" i="8"/>
  <c r="J85" i="8"/>
  <c r="K85" i="8"/>
  <c r="L85" i="8"/>
  <c r="D86" i="8"/>
  <c r="E86" i="8"/>
  <c r="F86" i="8"/>
  <c r="G86" i="8"/>
  <c r="H86" i="8"/>
  <c r="I86" i="8"/>
  <c r="J86" i="8"/>
  <c r="K86" i="8"/>
  <c r="L86" i="8"/>
  <c r="D87" i="8"/>
  <c r="E87" i="8"/>
  <c r="F87" i="8"/>
  <c r="G87" i="8"/>
  <c r="H87" i="8"/>
  <c r="I87" i="8"/>
  <c r="J87" i="8"/>
  <c r="K87" i="8"/>
  <c r="L87" i="8"/>
  <c r="D88" i="8"/>
  <c r="E88" i="8"/>
  <c r="F88" i="8"/>
  <c r="G88" i="8"/>
  <c r="H88" i="8"/>
  <c r="I88" i="8"/>
  <c r="J88" i="8"/>
  <c r="K88" i="8"/>
  <c r="L88" i="8"/>
  <c r="D89" i="8"/>
  <c r="E89" i="8"/>
  <c r="F89" i="8"/>
  <c r="G89" i="8"/>
  <c r="H89" i="8"/>
  <c r="I89" i="8"/>
  <c r="J89" i="8"/>
  <c r="K89" i="8"/>
  <c r="L89" i="8"/>
  <c r="D90" i="8"/>
  <c r="E90" i="8"/>
  <c r="F90" i="8"/>
  <c r="G90" i="8"/>
  <c r="H90" i="8"/>
  <c r="I90" i="8"/>
  <c r="J90" i="8"/>
  <c r="K90" i="8"/>
  <c r="L90" i="8"/>
  <c r="C81" i="8"/>
  <c r="C91" i="8" s="1"/>
  <c r="C82" i="8"/>
  <c r="C83" i="8"/>
  <c r="C84" i="8"/>
  <c r="C85" i="8"/>
  <c r="C86" i="8"/>
  <c r="C87" i="8"/>
  <c r="C88" i="8"/>
  <c r="C89" i="8"/>
  <c r="C90" i="8"/>
  <c r="C80" i="8"/>
  <c r="B81" i="8"/>
  <c r="B82" i="8"/>
  <c r="B83" i="8"/>
  <c r="B84" i="8"/>
  <c r="B85" i="8"/>
  <c r="B86" i="8"/>
  <c r="B87" i="8"/>
  <c r="B88" i="8"/>
  <c r="B89" i="8"/>
  <c r="B90" i="8"/>
  <c r="B80" i="8"/>
  <c r="C70" i="8"/>
  <c r="D70" i="8"/>
  <c r="D77" i="8" s="1"/>
  <c r="E70" i="8"/>
  <c r="F70" i="8"/>
  <c r="G70" i="8"/>
  <c r="H70" i="8"/>
  <c r="H77" i="8" s="1"/>
  <c r="I70" i="8"/>
  <c r="J70" i="8"/>
  <c r="K70" i="8"/>
  <c r="L70" i="8"/>
  <c r="L77" i="8" s="1"/>
  <c r="C71" i="8"/>
  <c r="D71" i="8"/>
  <c r="E71" i="8"/>
  <c r="E77" i="8" s="1"/>
  <c r="F71" i="8"/>
  <c r="F77" i="8" s="1"/>
  <c r="G71" i="8"/>
  <c r="H71" i="8"/>
  <c r="I71" i="8"/>
  <c r="I77" i="8" s="1"/>
  <c r="J71" i="8"/>
  <c r="J77" i="8" s="1"/>
  <c r="K71" i="8"/>
  <c r="L71" i="8"/>
  <c r="C72" i="8"/>
  <c r="D72" i="8"/>
  <c r="E72" i="8"/>
  <c r="F72" i="8"/>
  <c r="G72" i="8"/>
  <c r="H72" i="8"/>
  <c r="I72" i="8"/>
  <c r="J72" i="8"/>
  <c r="K72" i="8"/>
  <c r="L72" i="8"/>
  <c r="C73" i="8"/>
  <c r="D73" i="8"/>
  <c r="E73" i="8"/>
  <c r="F73" i="8"/>
  <c r="G73" i="8"/>
  <c r="H73" i="8"/>
  <c r="I73" i="8"/>
  <c r="J73" i="8"/>
  <c r="K73" i="8"/>
  <c r="L73" i="8"/>
  <c r="C74" i="8"/>
  <c r="D74" i="8"/>
  <c r="E74" i="8"/>
  <c r="F74" i="8"/>
  <c r="G74" i="8"/>
  <c r="H74" i="8"/>
  <c r="I74" i="8"/>
  <c r="J74" i="8"/>
  <c r="K74" i="8"/>
  <c r="L74" i="8"/>
  <c r="C75" i="8"/>
  <c r="D75" i="8"/>
  <c r="E75" i="8"/>
  <c r="F75" i="8"/>
  <c r="G75" i="8"/>
  <c r="H75" i="8"/>
  <c r="I75" i="8"/>
  <c r="J75" i="8"/>
  <c r="K75" i="8"/>
  <c r="L75" i="8"/>
  <c r="C76" i="8"/>
  <c r="D76" i="8"/>
  <c r="E76" i="8"/>
  <c r="F76" i="8"/>
  <c r="G76" i="8"/>
  <c r="H76" i="8"/>
  <c r="I76" i="8"/>
  <c r="J76" i="8"/>
  <c r="K76" i="8"/>
  <c r="L76" i="8"/>
  <c r="D69" i="8"/>
  <c r="E69" i="8"/>
  <c r="F69" i="8"/>
  <c r="G69" i="8"/>
  <c r="G77" i="8" s="1"/>
  <c r="H69" i="8"/>
  <c r="I69" i="8"/>
  <c r="J69" i="8"/>
  <c r="K69" i="8"/>
  <c r="K77" i="8" s="1"/>
  <c r="L69" i="8"/>
  <c r="C69" i="8"/>
  <c r="C77" i="8" s="1"/>
  <c r="B70" i="8"/>
  <c r="B71" i="8"/>
  <c r="B72" i="8"/>
  <c r="B73" i="8"/>
  <c r="B74" i="8"/>
  <c r="B75" i="8"/>
  <c r="B76" i="8"/>
  <c r="B69" i="8"/>
  <c r="D55" i="8"/>
  <c r="E55" i="8"/>
  <c r="F55" i="8"/>
  <c r="G55" i="8"/>
  <c r="H55" i="8"/>
  <c r="I55" i="8"/>
  <c r="J55" i="8"/>
  <c r="K55" i="8"/>
  <c r="L55" i="8"/>
  <c r="C55" i="8"/>
  <c r="C58" i="8"/>
  <c r="D58" i="8"/>
  <c r="E58" i="8"/>
  <c r="F58" i="8"/>
  <c r="G58" i="8"/>
  <c r="H58" i="8"/>
  <c r="I58" i="8"/>
  <c r="J58" i="8"/>
  <c r="K58" i="8"/>
  <c r="L58" i="8"/>
  <c r="D59" i="8"/>
  <c r="E59" i="8"/>
  <c r="F59" i="8"/>
  <c r="G59" i="8"/>
  <c r="H59" i="8"/>
  <c r="I59" i="8"/>
  <c r="J59" i="8"/>
  <c r="K59" i="8"/>
  <c r="L59" i="8"/>
  <c r="D60" i="8"/>
  <c r="E60" i="8"/>
  <c r="F60" i="8"/>
  <c r="G60" i="8"/>
  <c r="H60" i="8"/>
  <c r="I60" i="8"/>
  <c r="J60" i="8"/>
  <c r="K60" i="8"/>
  <c r="L60" i="8"/>
  <c r="C59" i="8"/>
  <c r="C60" i="8"/>
  <c r="C50" i="8"/>
  <c r="D52" i="8"/>
  <c r="E52" i="8"/>
  <c r="F52" i="8"/>
  <c r="G52" i="8"/>
  <c r="H52" i="8"/>
  <c r="I52" i="8"/>
  <c r="J52" i="8"/>
  <c r="K52" i="8"/>
  <c r="L52" i="8"/>
  <c r="D53" i="8"/>
  <c r="E53" i="8"/>
  <c r="F53" i="8"/>
  <c r="G53" i="8"/>
  <c r="H53" i="8"/>
  <c r="I53" i="8"/>
  <c r="J53" i="8"/>
  <c r="K53" i="8"/>
  <c r="L53" i="8"/>
  <c r="D54" i="8"/>
  <c r="E54" i="8"/>
  <c r="F54" i="8"/>
  <c r="G54" i="8"/>
  <c r="H54" i="8"/>
  <c r="I54" i="8"/>
  <c r="J54" i="8"/>
  <c r="K54" i="8"/>
  <c r="L54" i="8"/>
  <c r="C53" i="8"/>
  <c r="C54" i="8"/>
  <c r="C52" i="8"/>
  <c r="D46" i="8"/>
  <c r="E46" i="8"/>
  <c r="F46" i="8"/>
  <c r="G46" i="8"/>
  <c r="H46" i="8"/>
  <c r="I46" i="8"/>
  <c r="J46" i="8"/>
  <c r="K46" i="8"/>
  <c r="L46" i="8"/>
  <c r="D47" i="8"/>
  <c r="E47" i="8"/>
  <c r="F47" i="8"/>
  <c r="G47" i="8"/>
  <c r="H47" i="8"/>
  <c r="I47" i="8"/>
  <c r="J47" i="8"/>
  <c r="K47" i="8"/>
  <c r="L47" i="8"/>
  <c r="D48" i="8"/>
  <c r="E48" i="8"/>
  <c r="F48" i="8"/>
  <c r="G48" i="8"/>
  <c r="H48" i="8"/>
  <c r="I48" i="8"/>
  <c r="J48" i="8"/>
  <c r="K48" i="8"/>
  <c r="L48" i="8"/>
  <c r="D49" i="8"/>
  <c r="E49" i="8"/>
  <c r="F49" i="8"/>
  <c r="G49" i="8"/>
  <c r="H49" i="8"/>
  <c r="I49" i="8"/>
  <c r="J49" i="8"/>
  <c r="K49" i="8"/>
  <c r="L49" i="8"/>
  <c r="D50" i="8"/>
  <c r="E50" i="8"/>
  <c r="F50" i="8"/>
  <c r="G50" i="8"/>
  <c r="H50" i="8"/>
  <c r="I50" i="8"/>
  <c r="J50" i="8"/>
  <c r="K50" i="8"/>
  <c r="L50" i="8"/>
  <c r="C47" i="8"/>
  <c r="C48" i="8"/>
  <c r="C49" i="8"/>
  <c r="C46" i="8"/>
  <c r="D14" i="8"/>
  <c r="E14" i="8"/>
  <c r="F14" i="8"/>
  <c r="G14" i="8"/>
  <c r="H14" i="8"/>
  <c r="I14" i="8"/>
  <c r="J14" i="8"/>
  <c r="K14" i="8"/>
  <c r="L14" i="8"/>
  <c r="C14" i="8"/>
  <c r="D8" i="8"/>
  <c r="E8" i="8"/>
  <c r="E7" i="9" s="1"/>
  <c r="F8" i="8"/>
  <c r="F7" i="9" s="1"/>
  <c r="G8" i="8"/>
  <c r="H8" i="8"/>
  <c r="H7" i="9" s="1"/>
  <c r="I8" i="8"/>
  <c r="I7" i="9" s="1"/>
  <c r="J8" i="8"/>
  <c r="J7" i="9" s="1"/>
  <c r="K8" i="8"/>
  <c r="L8" i="8"/>
  <c r="L7" i="9" s="1"/>
  <c r="C8" i="8"/>
  <c r="D35" i="8"/>
  <c r="D40" i="8" s="1"/>
  <c r="E35" i="8"/>
  <c r="E40" i="8" s="1"/>
  <c r="F35" i="8"/>
  <c r="F40" i="8" s="1"/>
  <c r="G35" i="8"/>
  <c r="G40" i="8" s="1"/>
  <c r="H35" i="8"/>
  <c r="H40" i="8" s="1"/>
  <c r="I35" i="8"/>
  <c r="I40" i="8" s="1"/>
  <c r="J35" i="8"/>
  <c r="J40" i="8" s="1"/>
  <c r="K35" i="8"/>
  <c r="K40" i="8" s="1"/>
  <c r="L35" i="8"/>
  <c r="L40" i="8" s="1"/>
  <c r="M35" i="8"/>
  <c r="C35" i="8"/>
  <c r="M29" i="8"/>
  <c r="D29" i="8"/>
  <c r="E29" i="8"/>
  <c r="F29" i="8"/>
  <c r="G29" i="8"/>
  <c r="H29" i="8"/>
  <c r="I29" i="8"/>
  <c r="J29" i="8"/>
  <c r="K29" i="8"/>
  <c r="L29" i="8"/>
  <c r="C29" i="8"/>
  <c r="M23" i="8"/>
  <c r="D23" i="8"/>
  <c r="E23" i="8"/>
  <c r="F23" i="8"/>
  <c r="G23" i="8"/>
  <c r="H23" i="8"/>
  <c r="I23" i="8"/>
  <c r="J23" i="8"/>
  <c r="K23" i="8"/>
  <c r="L23" i="8"/>
  <c r="C23" i="8"/>
  <c r="E41" i="9" l="1"/>
  <c r="E104" i="8"/>
  <c r="C41" i="9"/>
  <c r="C104" i="8"/>
  <c r="I41" i="9"/>
  <c r="I104" i="8"/>
  <c r="K41" i="9"/>
  <c r="K39" i="9"/>
  <c r="K104" i="8"/>
  <c r="G41" i="9"/>
  <c r="G104" i="8"/>
  <c r="J41" i="9"/>
  <c r="J39" i="9"/>
  <c r="J104" i="8"/>
  <c r="F41" i="9"/>
  <c r="F39" i="9"/>
  <c r="F104" i="8"/>
  <c r="L41" i="9"/>
  <c r="L104" i="8"/>
  <c r="H41" i="9"/>
  <c r="H104" i="8"/>
  <c r="D41" i="9"/>
  <c r="D104" i="8"/>
  <c r="J56" i="8"/>
  <c r="K61" i="8"/>
  <c r="G61" i="8"/>
  <c r="D7" i="9"/>
  <c r="C61" i="8"/>
  <c r="K7" i="9"/>
  <c r="G7" i="9"/>
  <c r="I61" i="8"/>
  <c r="E61" i="8"/>
  <c r="D56" i="8"/>
  <c r="I56" i="8"/>
  <c r="E56" i="8"/>
  <c r="E63" i="8" s="1"/>
  <c r="E65" i="8" s="1"/>
  <c r="L56" i="8"/>
  <c r="H56" i="8"/>
  <c r="J61" i="8"/>
  <c r="J63" i="8" s="1"/>
  <c r="F61" i="8"/>
  <c r="F56" i="8"/>
  <c r="L61" i="8"/>
  <c r="H61" i="8"/>
  <c r="D61" i="8"/>
  <c r="K56" i="8"/>
  <c r="K63" i="8" s="1"/>
  <c r="K65" i="8" s="1"/>
  <c r="G56" i="8"/>
  <c r="G63" i="8" s="1"/>
  <c r="G65" i="8" s="1"/>
  <c r="C56" i="8"/>
  <c r="C63" i="8" s="1"/>
  <c r="C65" i="8" s="1"/>
  <c r="M20" i="8"/>
  <c r="D20" i="8"/>
  <c r="E20" i="8"/>
  <c r="F20" i="8"/>
  <c r="G20" i="8"/>
  <c r="H20" i="8"/>
  <c r="I20" i="8"/>
  <c r="J20" i="8"/>
  <c r="K20" i="8"/>
  <c r="L20" i="8"/>
  <c r="C20" i="8"/>
  <c r="M17" i="8"/>
  <c r="M8" i="8"/>
  <c r="M6" i="8"/>
  <c r="D6" i="8"/>
  <c r="E6" i="8"/>
  <c r="F6" i="8"/>
  <c r="G6" i="8"/>
  <c r="H6" i="8"/>
  <c r="I6" i="8"/>
  <c r="J6" i="8"/>
  <c r="K6" i="8"/>
  <c r="L6" i="8"/>
  <c r="C6" i="8"/>
  <c r="J65" i="8" l="1"/>
  <c r="J40" i="9"/>
  <c r="I7" i="8"/>
  <c r="I27" i="9"/>
  <c r="I34" i="9" s="1"/>
  <c r="I28" i="9"/>
  <c r="I35" i="9" s="1"/>
  <c r="I30" i="9"/>
  <c r="I29" i="9"/>
  <c r="I36" i="9" s="1"/>
  <c r="I31" i="9"/>
  <c r="I5" i="9"/>
  <c r="H27" i="9"/>
  <c r="H34" i="9" s="1"/>
  <c r="H31" i="9"/>
  <c r="H29" i="9"/>
  <c r="H36" i="9" s="1"/>
  <c r="H28" i="9"/>
  <c r="H35" i="9" s="1"/>
  <c r="H30" i="9"/>
  <c r="H5" i="9"/>
  <c r="I63" i="8"/>
  <c r="E40" i="9"/>
  <c r="K27" i="9"/>
  <c r="K34" i="9" s="1"/>
  <c r="K37" i="9" s="1"/>
  <c r="K30" i="9"/>
  <c r="K28" i="9"/>
  <c r="K35" i="9" s="1"/>
  <c r="K31" i="9"/>
  <c r="K29" i="9"/>
  <c r="K36" i="9" s="1"/>
  <c r="K5" i="9"/>
  <c r="G27" i="9"/>
  <c r="G34" i="9" s="1"/>
  <c r="G30" i="9"/>
  <c r="G28" i="9"/>
  <c r="G35" i="9" s="1"/>
  <c r="G31" i="9"/>
  <c r="G29" i="9"/>
  <c r="G36" i="9" s="1"/>
  <c r="G5" i="9"/>
  <c r="C24" i="8"/>
  <c r="C18" i="9" s="1"/>
  <c r="C27" i="9"/>
  <c r="C28" i="9"/>
  <c r="C30" i="9"/>
  <c r="C29" i="9"/>
  <c r="C31" i="9"/>
  <c r="E27" i="9"/>
  <c r="E34" i="9" s="1"/>
  <c r="E28" i="9"/>
  <c r="E35" i="9" s="1"/>
  <c r="E30" i="9"/>
  <c r="E31" i="9"/>
  <c r="E29" i="9"/>
  <c r="E36" i="9" s="1"/>
  <c r="E5" i="9"/>
  <c r="N7" i="9"/>
  <c r="O7" i="9"/>
  <c r="L27" i="9"/>
  <c r="L34" i="9" s="1"/>
  <c r="L31" i="9"/>
  <c r="L28" i="9"/>
  <c r="L35" i="9" s="1"/>
  <c r="L30" i="9"/>
  <c r="L29" i="9"/>
  <c r="L36" i="9" s="1"/>
  <c r="L5" i="9"/>
  <c r="D24" i="8"/>
  <c r="D18" i="9" s="1"/>
  <c r="D27" i="9"/>
  <c r="D34" i="9" s="1"/>
  <c r="D31" i="9"/>
  <c r="D30" i="9"/>
  <c r="D29" i="9"/>
  <c r="D36" i="9" s="1"/>
  <c r="D37" i="9" s="1"/>
  <c r="D28" i="9"/>
  <c r="D35" i="9" s="1"/>
  <c r="D5" i="9"/>
  <c r="I39" i="9"/>
  <c r="N41" i="9"/>
  <c r="O41" i="9"/>
  <c r="G39" i="9"/>
  <c r="C39" i="9"/>
  <c r="J27" i="9"/>
  <c r="J34" i="9" s="1"/>
  <c r="J29" i="9"/>
  <c r="J36" i="9" s="1"/>
  <c r="J31" i="9"/>
  <c r="J30" i="9"/>
  <c r="J28" i="9"/>
  <c r="J35" i="9" s="1"/>
  <c r="J5" i="9"/>
  <c r="F27" i="9"/>
  <c r="F34" i="9" s="1"/>
  <c r="F29" i="9"/>
  <c r="F36" i="9" s="1"/>
  <c r="F28" i="9"/>
  <c r="F35" i="9" s="1"/>
  <c r="F37" i="9" s="1"/>
  <c r="F31" i="9"/>
  <c r="F30" i="9"/>
  <c r="F5" i="9"/>
  <c r="F63" i="8"/>
  <c r="L63" i="8"/>
  <c r="D39" i="9"/>
  <c r="H39" i="9"/>
  <c r="L39" i="9"/>
  <c r="G40" i="9"/>
  <c r="K40" i="9"/>
  <c r="C40" i="9"/>
  <c r="E39" i="9"/>
  <c r="H63" i="8"/>
  <c r="D63" i="8"/>
  <c r="F7" i="8"/>
  <c r="M7" i="8"/>
  <c r="K24" i="8"/>
  <c r="K18" i="9" s="1"/>
  <c r="K7" i="8"/>
  <c r="G24" i="8"/>
  <c r="G18" i="9" s="1"/>
  <c r="G7" i="8"/>
  <c r="G6" i="9" s="1"/>
  <c r="J24" i="8"/>
  <c r="J18" i="9" s="1"/>
  <c r="J7" i="8"/>
  <c r="J6" i="9" s="1"/>
  <c r="F24" i="8"/>
  <c r="F18" i="9" s="1"/>
  <c r="E24" i="8"/>
  <c r="E18" i="9" s="1"/>
  <c r="E7" i="8"/>
  <c r="M26" i="8"/>
  <c r="M27" i="8" s="1"/>
  <c r="L24" i="8"/>
  <c r="L18" i="9" s="1"/>
  <c r="L7" i="8"/>
  <c r="L6" i="9" s="1"/>
  <c r="H24" i="8"/>
  <c r="H18" i="9" s="1"/>
  <c r="H7" i="8"/>
  <c r="M11" i="8"/>
  <c r="M12" i="8" s="1"/>
  <c r="F15" i="8"/>
  <c r="F17" i="9" s="1"/>
  <c r="L15" i="8"/>
  <c r="L17" i="9" s="1"/>
  <c r="H15" i="8"/>
  <c r="H17" i="9" s="1"/>
  <c r="D15" i="8"/>
  <c r="D17" i="9" s="1"/>
  <c r="J11" i="8"/>
  <c r="J12" i="8" s="1"/>
  <c r="J11" i="9" s="1"/>
  <c r="J9" i="8"/>
  <c r="F9" i="8"/>
  <c r="F11" i="8"/>
  <c r="J15" i="8"/>
  <c r="J17" i="9" s="1"/>
  <c r="C15" i="8"/>
  <c r="C17" i="9" s="1"/>
  <c r="I15" i="8"/>
  <c r="I17" i="9" s="1"/>
  <c r="E15" i="8"/>
  <c r="E17" i="9" s="1"/>
  <c r="M9" i="8"/>
  <c r="L9" i="8"/>
  <c r="L8" i="9" s="1"/>
  <c r="H9" i="8"/>
  <c r="D9" i="8"/>
  <c r="K15" i="8"/>
  <c r="K17" i="9" s="1"/>
  <c r="G15" i="8"/>
  <c r="G17" i="9" s="1"/>
  <c r="M15" i="8"/>
  <c r="L21" i="8"/>
  <c r="H21" i="8"/>
  <c r="D21" i="8"/>
  <c r="K9" i="8"/>
  <c r="G9" i="8"/>
  <c r="G8" i="9" s="1"/>
  <c r="C11" i="8"/>
  <c r="I11" i="8"/>
  <c r="M21" i="8"/>
  <c r="I24" i="8"/>
  <c r="I18" i="9" s="1"/>
  <c r="D7" i="8"/>
  <c r="D6" i="9" s="1"/>
  <c r="C9" i="8"/>
  <c r="L11" i="8"/>
  <c r="H11" i="8"/>
  <c r="D11" i="8"/>
  <c r="J21" i="8"/>
  <c r="F21" i="8"/>
  <c r="M24" i="8"/>
  <c r="E11" i="8"/>
  <c r="M18" i="8"/>
  <c r="K21" i="8"/>
  <c r="G21" i="8"/>
  <c r="I9" i="8"/>
  <c r="I8" i="9" s="1"/>
  <c r="E9" i="8"/>
  <c r="E8" i="9" s="1"/>
  <c r="K11" i="8"/>
  <c r="G11" i="8"/>
  <c r="C21" i="8"/>
  <c r="I21" i="8"/>
  <c r="E21" i="8"/>
  <c r="B2" i="8"/>
  <c r="L3" i="8"/>
  <c r="J3" i="8"/>
  <c r="K3" i="8"/>
  <c r="I3" i="8"/>
  <c r="D3" i="8"/>
  <c r="E3" i="8"/>
  <c r="F3" i="8"/>
  <c r="G3" i="8"/>
  <c r="H3" i="8"/>
  <c r="C3" i="8"/>
  <c r="F6" i="9" l="1"/>
  <c r="O5" i="9"/>
  <c r="N5" i="9"/>
  <c r="O31" i="9"/>
  <c r="N31" i="9"/>
  <c r="O27" i="9"/>
  <c r="C34" i="9"/>
  <c r="N27" i="9"/>
  <c r="I6" i="9"/>
  <c r="N28" i="9"/>
  <c r="C35" i="9"/>
  <c r="O28" i="9"/>
  <c r="D8" i="9"/>
  <c r="K8" i="9"/>
  <c r="H8" i="9"/>
  <c r="F8" i="9"/>
  <c r="H6" i="9"/>
  <c r="K6" i="9"/>
  <c r="D65" i="8"/>
  <c r="D40" i="9"/>
  <c r="O40" i="9" s="1"/>
  <c r="J37" i="9"/>
  <c r="L37" i="9"/>
  <c r="E37" i="9"/>
  <c r="C36" i="9"/>
  <c r="O29" i="9"/>
  <c r="N29" i="9"/>
  <c r="N18" i="9"/>
  <c r="O18" i="9"/>
  <c r="I65" i="8"/>
  <c r="I40" i="9"/>
  <c r="F65" i="8"/>
  <c r="F40" i="9"/>
  <c r="N40" i="9" s="1"/>
  <c r="O17" i="9"/>
  <c r="N17" i="9"/>
  <c r="J8" i="9"/>
  <c r="E6" i="9"/>
  <c r="O6" i="9" s="1"/>
  <c r="H65" i="8"/>
  <c r="H40" i="9"/>
  <c r="L65" i="8"/>
  <c r="L40" i="9"/>
  <c r="N39" i="9"/>
  <c r="O39" i="9"/>
  <c r="N30" i="9"/>
  <c r="O30" i="9"/>
  <c r="G37" i="9"/>
  <c r="H37" i="9"/>
  <c r="I37" i="9"/>
  <c r="M30" i="8"/>
  <c r="M32" i="8"/>
  <c r="M33" i="8" s="1"/>
  <c r="K17" i="8"/>
  <c r="K12" i="8"/>
  <c r="K11" i="9" s="1"/>
  <c r="E17" i="8"/>
  <c r="E12" i="8"/>
  <c r="E11" i="9" s="1"/>
  <c r="H17" i="8"/>
  <c r="H12" i="8"/>
  <c r="H11" i="9" s="1"/>
  <c r="I17" i="8"/>
  <c r="I12" i="8"/>
  <c r="I11" i="9" s="1"/>
  <c r="L17" i="8"/>
  <c r="L12" i="8"/>
  <c r="L11" i="9" s="1"/>
  <c r="G17" i="8"/>
  <c r="G12" i="8"/>
  <c r="G11" i="9" s="1"/>
  <c r="D17" i="8"/>
  <c r="D12" i="8"/>
  <c r="D11" i="9" s="1"/>
  <c r="F17" i="8"/>
  <c r="F12" i="8"/>
  <c r="F11" i="9" s="1"/>
  <c r="C17" i="8"/>
  <c r="C12" i="8"/>
  <c r="C11" i="9" s="1"/>
  <c r="J17" i="8"/>
  <c r="B6" i="6"/>
  <c r="E1" i="6"/>
  <c r="J25" i="9" l="1"/>
  <c r="J21" i="9"/>
  <c r="G21" i="9"/>
  <c r="G25" i="9"/>
  <c r="I21" i="9"/>
  <c r="I25" i="9"/>
  <c r="E21" i="9"/>
  <c r="E25" i="9"/>
  <c r="O11" i="9"/>
  <c r="N11" i="9"/>
  <c r="N8" i="9"/>
  <c r="O8" i="9"/>
  <c r="I4" i="13" a="1"/>
  <c r="C21" i="9"/>
  <c r="C25" i="9"/>
  <c r="D25" i="9"/>
  <c r="D21" i="9"/>
  <c r="L25" i="9"/>
  <c r="L21" i="9"/>
  <c r="H25" i="9"/>
  <c r="H21" i="9"/>
  <c r="K25" i="9"/>
  <c r="K21" i="9"/>
  <c r="N6" i="9"/>
  <c r="N36" i="9"/>
  <c r="O36" i="9"/>
  <c r="F21" i="9"/>
  <c r="F25" i="9"/>
  <c r="C37" i="9"/>
  <c r="O35" i="9"/>
  <c r="N35" i="9"/>
  <c r="O34" i="9"/>
  <c r="N34" i="9"/>
  <c r="F18" i="8"/>
  <c r="F12" i="9" s="1"/>
  <c r="F26" i="8"/>
  <c r="F13" i="9" s="1"/>
  <c r="F19" i="9" s="1"/>
  <c r="G18" i="8"/>
  <c r="G12" i="9" s="1"/>
  <c r="G26" i="8"/>
  <c r="G13" i="9" s="1"/>
  <c r="G19" i="9" s="1"/>
  <c r="I18" i="8"/>
  <c r="I12" i="9" s="1"/>
  <c r="I26" i="8"/>
  <c r="I13" i="9" s="1"/>
  <c r="I19" i="9" s="1"/>
  <c r="J18" i="8"/>
  <c r="J12" i="9" s="1"/>
  <c r="J26" i="8"/>
  <c r="J13" i="9" s="1"/>
  <c r="J19" i="9" s="1"/>
  <c r="E18" i="8"/>
  <c r="E12" i="9" s="1"/>
  <c r="E26" i="8"/>
  <c r="E13" i="9" s="1"/>
  <c r="E19" i="9" s="1"/>
  <c r="D18" i="8"/>
  <c r="D12" i="9" s="1"/>
  <c r="D26" i="8"/>
  <c r="D13" i="9" s="1"/>
  <c r="D19" i="9" s="1"/>
  <c r="L18" i="8"/>
  <c r="L12" i="9" s="1"/>
  <c r="L26" i="8"/>
  <c r="L13" i="9" s="1"/>
  <c r="L19" i="9" s="1"/>
  <c r="H18" i="8"/>
  <c r="H12" i="9" s="1"/>
  <c r="H26" i="8"/>
  <c r="H13" i="9" s="1"/>
  <c r="H19" i="9" s="1"/>
  <c r="K18" i="8"/>
  <c r="K12" i="9" s="1"/>
  <c r="K26" i="8"/>
  <c r="K13" i="9" s="1"/>
  <c r="K19" i="9" s="1"/>
  <c r="C18" i="8"/>
  <c r="C12" i="9" s="1"/>
  <c r="C26" i="8"/>
  <c r="C13" i="9" s="1"/>
  <c r="C19" i="9" l="1"/>
  <c r="O13" i="9"/>
  <c r="N13" i="9"/>
  <c r="O12" i="9"/>
  <c r="N12" i="9"/>
  <c r="N25" i="9"/>
  <c r="O25" i="9"/>
  <c r="O37" i="9"/>
  <c r="N37" i="9"/>
  <c r="N21" i="9"/>
  <c r="O21" i="9"/>
  <c r="I4" i="13"/>
  <c r="I13" i="13"/>
  <c r="I7" i="13"/>
  <c r="I9" i="13"/>
  <c r="I12" i="13"/>
  <c r="J12" i="13" s="1"/>
  <c r="I10" i="13"/>
  <c r="I5" i="13"/>
  <c r="I8" i="13"/>
  <c r="J8" i="13" s="1"/>
  <c r="I6" i="13"/>
  <c r="J6" i="13" s="1"/>
  <c r="I11" i="13"/>
  <c r="J11" i="13" s="1"/>
  <c r="D32" i="8"/>
  <c r="D23" i="9" s="1"/>
  <c r="D30" i="8"/>
  <c r="D27" i="8"/>
  <c r="D14" i="9" s="1"/>
  <c r="J30" i="8"/>
  <c r="J27" i="8"/>
  <c r="J14" i="9" s="1"/>
  <c r="J32" i="8"/>
  <c r="J23" i="9" s="1"/>
  <c r="G30" i="8"/>
  <c r="G27" i="8"/>
  <c r="G14" i="9" s="1"/>
  <c r="G32" i="8"/>
  <c r="G23" i="9" s="1"/>
  <c r="H32" i="8"/>
  <c r="H23" i="9" s="1"/>
  <c r="H30" i="8"/>
  <c r="H27" i="8"/>
  <c r="H14" i="9" s="1"/>
  <c r="L32" i="8"/>
  <c r="L23" i="9" s="1"/>
  <c r="L30" i="8"/>
  <c r="L27" i="8"/>
  <c r="L14" i="9" s="1"/>
  <c r="E27" i="8"/>
  <c r="E14" i="9" s="1"/>
  <c r="E32" i="8"/>
  <c r="E23" i="9" s="1"/>
  <c r="E30" i="8"/>
  <c r="F30" i="8"/>
  <c r="F27" i="8"/>
  <c r="F14" i="9" s="1"/>
  <c r="F32" i="8"/>
  <c r="F23" i="9" s="1"/>
  <c r="K30" i="8"/>
  <c r="K27" i="8"/>
  <c r="K14" i="9" s="1"/>
  <c r="K32" i="8"/>
  <c r="K23" i="9" s="1"/>
  <c r="I32" i="8"/>
  <c r="I23" i="9" s="1"/>
  <c r="I30" i="8"/>
  <c r="I27" i="8"/>
  <c r="I14" i="9" s="1"/>
  <c r="C32" i="8"/>
  <c r="C23" i="9" s="1"/>
  <c r="C30" i="8"/>
  <c r="C27" i="8"/>
  <c r="C14" i="9" s="1"/>
  <c r="O14" i="9" l="1"/>
  <c r="N14" i="9"/>
  <c r="J9" i="13"/>
  <c r="I14" i="13"/>
  <c r="J14" i="13" s="1"/>
  <c r="I15" i="13"/>
  <c r="I16" i="13"/>
  <c r="J16" i="13" s="1"/>
  <c r="I17" i="13"/>
  <c r="J17" i="13" s="1"/>
  <c r="I18" i="13"/>
  <c r="J18" i="13" s="1"/>
  <c r="J5" i="13"/>
  <c r="J7" i="13"/>
  <c r="O23" i="9"/>
  <c r="N23" i="9"/>
  <c r="J10" i="13"/>
  <c r="J13" i="13"/>
  <c r="N19" i="9"/>
  <c r="O19" i="9"/>
  <c r="I33" i="8"/>
  <c r="I15" i="9" s="1"/>
  <c r="I37" i="8"/>
  <c r="E33" i="8"/>
  <c r="E15" i="9" s="1"/>
  <c r="E37" i="8"/>
  <c r="G33" i="8"/>
  <c r="G15" i="9" s="1"/>
  <c r="G37" i="8"/>
  <c r="C33" i="8"/>
  <c r="C15" i="9" s="1"/>
  <c r="C37" i="8"/>
  <c r="K33" i="8"/>
  <c r="K15" i="9" s="1"/>
  <c r="K37" i="8"/>
  <c r="H33" i="8"/>
  <c r="H15" i="9" s="1"/>
  <c r="H37" i="8"/>
  <c r="J33" i="8"/>
  <c r="J15" i="9" s="1"/>
  <c r="J37" i="8"/>
  <c r="F33" i="8"/>
  <c r="F15" i="9" s="1"/>
  <c r="F37" i="8"/>
  <c r="L33" i="8"/>
  <c r="L15" i="9" s="1"/>
  <c r="L37" i="8"/>
  <c r="D33" i="8"/>
  <c r="D15" i="9" s="1"/>
  <c r="D37" i="8"/>
  <c r="N15" i="9" l="1"/>
  <c r="O15" i="9"/>
  <c r="N4" i="13" a="1"/>
  <c r="J15" i="13"/>
  <c r="E41" i="8"/>
  <c r="E43" i="8" s="1"/>
  <c r="E22" i="9" s="1"/>
  <c r="E24" i="9" s="1"/>
  <c r="E38" i="8"/>
  <c r="F38" i="8"/>
  <c r="F41" i="8"/>
  <c r="F43" i="8" s="1"/>
  <c r="F22" i="9" s="1"/>
  <c r="F24" i="9" s="1"/>
  <c r="H38" i="8"/>
  <c r="H41" i="8"/>
  <c r="H43" i="8" s="1"/>
  <c r="H22" i="9" s="1"/>
  <c r="H24" i="9" s="1"/>
  <c r="D41" i="8"/>
  <c r="D43" i="8" s="1"/>
  <c r="D22" i="9" s="1"/>
  <c r="D38" i="8"/>
  <c r="L38" i="8"/>
  <c r="L41" i="8"/>
  <c r="L43" i="8" s="1"/>
  <c r="L22" i="9" s="1"/>
  <c r="L24" i="9" s="1"/>
  <c r="G38" i="8"/>
  <c r="G41" i="8"/>
  <c r="G43" i="8" s="1"/>
  <c r="G22" i="9" s="1"/>
  <c r="G24" i="9" s="1"/>
  <c r="J38" i="8"/>
  <c r="J41" i="8"/>
  <c r="J43" i="8" s="1"/>
  <c r="J22" i="9" s="1"/>
  <c r="J24" i="9" s="1"/>
  <c r="K38" i="8"/>
  <c r="K41" i="8"/>
  <c r="K43" i="8" s="1"/>
  <c r="K22" i="9" s="1"/>
  <c r="K24" i="9" s="1"/>
  <c r="I38" i="8"/>
  <c r="I41" i="8"/>
  <c r="I43" i="8" s="1"/>
  <c r="I22" i="9" s="1"/>
  <c r="I24" i="9" s="1"/>
  <c r="O22" i="9" l="1"/>
  <c r="N22" i="9"/>
  <c r="D24" i="9"/>
  <c r="N4" i="13"/>
  <c r="N11" i="13"/>
  <c r="O11" i="13" s="1"/>
  <c r="N5" i="13"/>
  <c r="N8" i="13"/>
  <c r="N6" i="13"/>
  <c r="O6" i="13" s="1"/>
  <c r="N7" i="13"/>
  <c r="O7" i="13" s="1"/>
  <c r="N13" i="13"/>
  <c r="N10" i="13"/>
  <c r="N9" i="13"/>
  <c r="O9" i="13" s="1"/>
  <c r="N12" i="13"/>
  <c r="O12" i="13" s="1"/>
  <c r="N14" i="13" l="1"/>
  <c r="O14" i="13" s="1"/>
  <c r="N15" i="13"/>
  <c r="O15" i="13" s="1"/>
  <c r="N16" i="13"/>
  <c r="N17" i="13"/>
  <c r="O17" i="13" s="1"/>
  <c r="N18" i="13"/>
  <c r="O10" i="13"/>
  <c r="O8" i="13"/>
  <c r="O24" i="9"/>
  <c r="N24" i="9"/>
  <c r="O13" i="13"/>
  <c r="O5" i="13"/>
  <c r="O16" i="13" l="1"/>
  <c r="O18" i="13"/>
</calcChain>
</file>

<file path=xl/sharedStrings.xml><?xml version="1.0" encoding="utf-8"?>
<sst xmlns="http://schemas.openxmlformats.org/spreadsheetml/2006/main" count="279" uniqueCount="238">
  <si>
    <t>COMPANY NAME</t>
  </si>
  <si>
    <t>Sales</t>
  </si>
  <si>
    <t>Expenses</t>
  </si>
  <si>
    <t>Operating Profit</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</si>
  <si>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</si>
  <si>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</si>
  <si>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</si>
  <si>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</si>
  <si>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</si>
  <si>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</si>
  <si>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</si>
  <si>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</si>
  <si>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</si>
  <si>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</si>
  <si>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</si>
  <si>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</si>
  <si>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</si>
  <si>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</si>
  <si>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</si>
  <si>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</si>
  <si>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</si>
  <si>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</si>
  <si>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</si>
  <si>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</si>
  <si>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</si>
  <si>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</si>
  <si>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</si>
  <si>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</si>
  <si>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</si>
  <si>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</si>
  <si>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</si>
  <si>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</si>
  <si>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TATA MOTORS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</si>
  <si>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</si>
  <si>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</si>
  <si>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</si>
  <si>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</si>
  <si>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</si>
  <si>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</si>
  <si>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</si>
  <si>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</si>
  <si>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</si>
  <si>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</si>
  <si>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</si>
  <si>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</si>
  <si>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</si>
  <si>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</si>
  <si>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</si>
  <si>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</si>
  <si>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</si>
  <si>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</si>
  <si>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</si>
  <si>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</si>
  <si>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</si>
  <si>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start with formatinf</t>
  </si>
  <si>
    <t>step1-</t>
  </si>
  <si>
    <t>and removing grid line(alt+w+vg) and then starting it with2nd colume and first columesize(1.5) by (alt+h+o+w)</t>
  </si>
  <si>
    <t>step2=</t>
  </si>
  <si>
    <t xml:space="preserve">second mae heading diyae " de kae start kiyae  -"&amp; name of company so that it help us in future if we change the file tommorowwe don’t have to change everything automatically name of company </t>
  </si>
  <si>
    <t>would change</t>
  </si>
  <si>
    <t>step3=</t>
  </si>
  <si>
    <t>Years</t>
  </si>
  <si>
    <t>LTM</t>
  </si>
  <si>
    <t>Income Statement</t>
  </si>
  <si>
    <t xml:space="preserve">     </t>
  </si>
  <si>
    <t>formating kiyae uskae baed ltm mae nichae quarter wala jo report hai data sheet mae uska last 4month ka total le lena .</t>
  </si>
  <si>
    <t>Sales Growth</t>
  </si>
  <si>
    <t>step4= sales growth(cy/py-1)</t>
  </si>
  <si>
    <t xml:space="preserve">Thora differtiate kar kae dhikana hoga  </t>
  </si>
  <si>
    <t>COGS</t>
  </si>
  <si>
    <t xml:space="preserve">step5= </t>
  </si>
  <si>
    <t>ltm mae last 4 month ka expense as cogs le lo</t>
  </si>
  <si>
    <t>Gross Profit</t>
  </si>
  <si>
    <t>step6= we are not taking other income now as it is quiet volatile kabhi upar to kabhi bhaut nichae,</t>
  </si>
  <si>
    <t>Selling &amp; Genral Expense</t>
  </si>
  <si>
    <t>step7=in ltm we have not taken seeling &amp;genral as we have taken expense for cogs</t>
  </si>
  <si>
    <t>step8=</t>
  </si>
  <si>
    <t>S&amp;G Exp % Sales</t>
  </si>
  <si>
    <t>Cogs  % Sales</t>
  </si>
  <si>
    <t>EBITDA</t>
  </si>
  <si>
    <t>,,, EBITDA of Ltm Must Be Taken From Data sheet.</t>
  </si>
  <si>
    <t>EBITDA Margins</t>
  </si>
  <si>
    <t>margin and %of sale both are same always remember.</t>
  </si>
  <si>
    <t>Intrest</t>
  </si>
  <si>
    <t>Intrest % of Sale</t>
  </si>
  <si>
    <t xml:space="preserve">Depriciation </t>
  </si>
  <si>
    <t>Depriciation % of Sale</t>
  </si>
  <si>
    <t>step9= ebitda it is an important metrcis because it helps to understand the profit earned from core business activity befor deducating intrest or depriciation as help to understand how efficently business is performing.</t>
  </si>
  <si>
    <t>#</t>
  </si>
  <si>
    <t>Gross Margins</t>
  </si>
  <si>
    <t>Earning Befor Tax</t>
  </si>
  <si>
    <t>Ebt % of Sale</t>
  </si>
  <si>
    <t>Effective Tax Rate</t>
  </si>
  <si>
    <t>Net Profit</t>
  </si>
  <si>
    <t>Net Margin</t>
  </si>
  <si>
    <t>step10-after net profit we are going to take equity shares</t>
  </si>
  <si>
    <t>No of Equity Share</t>
  </si>
  <si>
    <t>EPS</t>
  </si>
  <si>
    <t>eps bhi nikalengae</t>
  </si>
  <si>
    <t>step11-</t>
  </si>
  <si>
    <t>fir hamlog divident pershare bhi nikalengae</t>
  </si>
  <si>
    <t>Divident Per Share</t>
  </si>
  <si>
    <t xml:space="preserve"> Earning per Growth</t>
  </si>
  <si>
    <t>Divident payoot ratio</t>
  </si>
  <si>
    <t>Retained Earning</t>
  </si>
  <si>
    <t>step12= retained earning =1-dividentpayoutratio</t>
  </si>
  <si>
    <t>as you know retained earning is 100% kui ho raha hai as kui ki wo divident bata nahi na us month mae)</t>
  </si>
  <si>
    <t>and see if error mae if ka function use kar kae perform kiyae function</t>
  </si>
  <si>
    <t>Balance Sheet</t>
  </si>
  <si>
    <t>Total Liabilites</t>
  </si>
  <si>
    <t xml:space="preserve"> Fixed Asset Net Block</t>
  </si>
  <si>
    <t>Total Non Current Asset</t>
  </si>
  <si>
    <t>Total Current Asset</t>
  </si>
  <si>
    <t>Total Assets</t>
  </si>
  <si>
    <t xml:space="preserve">step13=yaed rakhna yae jo other asset hai na balance sheet mae usmae included hai kya </t>
  </si>
  <si>
    <t>wo current asset wala samjae eisi liyae non current asset aur total liabilites match kar gaya.</t>
  </si>
  <si>
    <t xml:space="preserve">Check </t>
  </si>
  <si>
    <t>step14= aur last mae check kar lengae by total liab=total asset</t>
  </si>
  <si>
    <t>step15-we cannot take cash flow in it we ahave to take it roughly</t>
  </si>
  <si>
    <t>as understand jo excel mae unbuild le kae aey thae wo bhaut chota hai</t>
  </si>
  <si>
    <t>so we are taking it from screener</t>
  </si>
  <si>
    <t>Profit from operations</t>
  </si>
  <si>
    <t>Payables</t>
  </si>
  <si>
    <t>Loans Advances</t>
  </si>
  <si>
    <t>Other WC items</t>
  </si>
  <si>
    <t>Working capital changes</t>
  </si>
  <si>
    <t>Direct taxes</t>
  </si>
  <si>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</si>
  <si>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</si>
  <si>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</si>
  <si>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</si>
  <si>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</si>
  <si>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</si>
  <si>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</si>
  <si>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</si>
  <si>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</si>
  <si>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</si>
  <si>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</si>
  <si>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t>Proceeds from shares</t>
  </si>
  <si>
    <t>Redemption of debentures</t>
  </si>
  <si>
    <t>Proceeds from borrowings</t>
  </si>
  <si>
    <t>Repayment of borrowings</t>
  </si>
  <si>
    <t>Interest paid fin</t>
  </si>
  <si>
    <t>Dividends paid</t>
  </si>
  <si>
    <t>Financial liabilities</t>
  </si>
  <si>
    <t>Other financing items</t>
  </si>
  <si>
    <t>Cash Flow</t>
  </si>
  <si>
    <t>Operating Activites</t>
  </si>
  <si>
    <t>Cash from Operating Activity -</t>
  </si>
  <si>
    <t>Cash from Investing Activity -</t>
  </si>
  <si>
    <t>Cash from Financing Activity -</t>
  </si>
  <si>
    <t>Cash From Operating Activites</t>
  </si>
  <si>
    <t>Investing  Activites</t>
  </si>
  <si>
    <t>Cash From Investing Activites</t>
  </si>
  <si>
    <t>Financing Activites</t>
  </si>
  <si>
    <t>Cash From Financing Activites</t>
  </si>
  <si>
    <t>Ratio analysis</t>
  </si>
  <si>
    <t>step1=</t>
  </si>
  <si>
    <t>we will perform rati analysis of last 10 years and not of ltm</t>
  </si>
  <si>
    <t>step2= starting with all the growth matrices</t>
  </si>
  <si>
    <t>EBITDA Growth</t>
  </si>
  <si>
    <t>EBIT Growth</t>
  </si>
  <si>
    <t>Net Profit Growth</t>
  </si>
  <si>
    <t>Dividend Growth</t>
  </si>
  <si>
    <t xml:space="preserve">why we basically use if erroer always remember jabhi bhi ham usko screener mae upload karengae aur jabhi bhi kisi aisa company ka financial model nikal rahe </t>
  </si>
  <si>
    <t>hai tab (#na) na dhikay as it will creat to much problem samjha .</t>
  </si>
  <si>
    <r>
      <t xml:space="preserve">step3= </t>
    </r>
    <r>
      <rPr>
        <sz val="11"/>
        <color rgb="FFFF0000"/>
        <rFont val="Calibri"/>
        <family val="2"/>
        <scheme val="minor"/>
      </rPr>
      <t>yaed rakhna growth kisi company ka nikal rahe ho tab kya karengae cy/py-1</t>
    </r>
  </si>
  <si>
    <t xml:space="preserve">&amp; how to copy and properly shiftclick down button and after that ctrl+c then shiftclick hold and right arrow after </t>
  </si>
  <si>
    <t>reaching ctrl+v)</t>
  </si>
  <si>
    <t>Step4= then we should take all the margins</t>
  </si>
  <si>
    <t>Gross Margin</t>
  </si>
  <si>
    <t>EBITDA Margin</t>
  </si>
  <si>
    <t>EBIT Margin</t>
  </si>
  <si>
    <t>EBT Margin</t>
  </si>
  <si>
    <t>Net Profit Margin</t>
  </si>
  <si>
    <t>and weather you are doing write or not hoiw will you understand just by seeing all the margins are in a decreasing oder.</t>
  </si>
  <si>
    <t>and if they are in decreasing oder then you doing right.</t>
  </si>
  <si>
    <t>step5= expenses AS % of SALE</t>
  </si>
  <si>
    <t>Depriciation% Sales</t>
  </si>
  <si>
    <t>Sales Expenses% Sales</t>
  </si>
  <si>
    <t>OperatingIncome%Sales</t>
  </si>
  <si>
    <t>Return on Capital Employed</t>
  </si>
  <si>
    <t>Retained Earning%</t>
  </si>
  <si>
    <t>Return on Equity%</t>
  </si>
  <si>
    <t>Self Sustained Growth Rate</t>
  </si>
  <si>
    <t>Intrest Coverage Ratio</t>
  </si>
  <si>
    <t xml:space="preserve">baet samjo na what we do in margin are similar to what we do in % of sale dono hi samillar hai </t>
  </si>
  <si>
    <t>ebit = operating income both are same only if you see</t>
  </si>
  <si>
    <t>ebitda=operting cash earned</t>
  </si>
  <si>
    <t>Debtor Turnover Ratio</t>
  </si>
  <si>
    <t>Creditor Turnover Ratio</t>
  </si>
  <si>
    <t>Inventory Turnover</t>
  </si>
  <si>
    <t xml:space="preserve">Fixed Turnover </t>
  </si>
  <si>
    <t>Capital Turnover Ratio</t>
  </si>
  <si>
    <t>Debtor Days</t>
  </si>
  <si>
    <t>Payabel Days</t>
  </si>
  <si>
    <t>Inventory Days</t>
  </si>
  <si>
    <t>CFO/Sales</t>
  </si>
  <si>
    <t>CFO/Total Asset</t>
  </si>
  <si>
    <t>CFO/Total Debt</t>
  </si>
  <si>
    <t>step6= return &amp; capital employed are the money left befor giving any of its stake holder.</t>
  </si>
  <si>
    <t>against money taken from the  stake holder and and one is pre tax and post tax  any why we are calculating pre tax just because intrest is an tax shield expense</t>
  </si>
  <si>
    <t>step7= yae jo equity</t>
  </si>
  <si>
    <t>share capital+reserv kya hota shareholder fund always remember</t>
  </si>
  <si>
    <t>step8= return on equity=net nprofit/ shareholder fund(eqity+resev)</t>
  </si>
  <si>
    <t xml:space="preserve">step9= self sustained growth aur kuch nahi hai khudka kamaya wa paisa sae kitna grow kar raha hai  andalways remember it is always told to when company roce is more than wacc it is always recommended </t>
  </si>
  <si>
    <t xml:space="preserve">to re invest in business but if your wacc is more than roce it is stupidity to retain </t>
  </si>
  <si>
    <t>therefor it is nessary for self sustaibned growth to have(retained earmning and return on equity)</t>
  </si>
  <si>
    <t>formula is RETURN ON EQUITY*RETAINED EARNING</t>
  </si>
  <si>
    <t>Step 10=</t>
  </si>
  <si>
    <t>intrest coverage expense=ebit /intrest expense)</t>
  </si>
  <si>
    <t>jitna jada hoga acha</t>
  </si>
  <si>
    <t>it will be in x nopt in % or any thing</t>
  </si>
  <si>
    <t>step11= debtor days kya hota hai pata hai matlab for much time debtors ko diya jata hai for clear its due on an average</t>
  </si>
  <si>
    <t xml:space="preserve">formula=365days/debtor turnover it will provie the number of days which is required </t>
  </si>
  <si>
    <t>or given by us to pay bacjk the debt</t>
  </si>
  <si>
    <t>step12= through inventory days what we get matlab aj agar producation band ho gaya to merae pas (for ex 40) din goods Hai jo ham bech saktae hai</t>
  </si>
  <si>
    <t>step 13= cash conversion cycel matlab how much time it is been taken to rotate the money how we calculate it sumof 9DEBTOR DAYS+INVENTORY DAYS )-creditor days</t>
  </si>
  <si>
    <t>matlab how much time it takes to convert the invested amount into cash  more it is less it is good it shows how efficently the operation is working.</t>
  </si>
  <si>
    <t xml:space="preserve">we also have to write days with it </t>
  </si>
  <si>
    <t>how to do custom mae jae kae 0"days"</t>
  </si>
  <si>
    <t>step 14= CFO is Nothing but cash flow operation.</t>
  </si>
  <si>
    <t>step15= total debt is always taken as long term bvorrowing and not the total liabilites</t>
  </si>
  <si>
    <t>Cash Conversion Cycle(in days)</t>
  </si>
  <si>
    <t>step 16= then adding trend line to the chart</t>
  </si>
  <si>
    <t>Median</t>
  </si>
  <si>
    <t xml:space="preserve">step17= Then Finding MEAN AND MEDIAN APPLYING AVERAGE FORMULKA IN MEAN </t>
  </si>
  <si>
    <t>Mean</t>
  </si>
  <si>
    <t>what is TRIM Mean?</t>
  </si>
  <si>
    <t>Trend</t>
  </si>
  <si>
    <t>Year weight</t>
  </si>
  <si>
    <t xml:space="preserve">Year </t>
  </si>
  <si>
    <t>STEP18= in forcasting page mae sab kuch automate karengae but hardcode karengae kya year colume.</t>
  </si>
  <si>
    <t xml:space="preserve">YEAR KO DATA SHEET SAE THIK KIYAE FIR NUMBER FORM MAE AYA USKO CTRL+SHIFT+3 DATE FORM </t>
  </si>
  <si>
    <t>FIR CUSTOM MAE JAKAE YYYY"A"ANDYYYY"E".</t>
  </si>
  <si>
    <t>STEP19= Inoder to automate yaed rakhna first sales colume ko select karo A WALA TAK FIR CLICK F2 FIR TRANSPOSE FIRDONT CLICK ENTER CLICK CTRL+SHIFT+ENTER.</t>
  </si>
  <si>
    <t>STEP20= BHAUTR SUNDAR SAE FORCAST KIYAE Ebitda Margin Ka .</t>
  </si>
  <si>
    <t>GAP BETWEEN THE FORCASTING MUST BE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</si>
</sst>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409]mmm\-yy;@"/>
    <numFmt numFmtId="166" formatCode="&quot;₹&quot;\ #,##0.00"/>
    <numFmt numFmtId="167" formatCode="&quot;₹&quot;\ #,##0.0;\(&quot;₹&quot;\ #,##0.0\)"/>
    <numFmt numFmtId="168" formatCode="0.00&quot;x&quot;"/>
    <numFmt numFmtId="169" formatCode="yyyy&quot;A&quot;"/>
    <numFmt numFmtId="170" formatCode="yyyy&quot;E&quot;"/>
    <numFmt numFmtId="171" formatCode="0.0"/>
  </numFmts>
  <fonts count="1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0" tint="-0.34998626667073579"/>
      <name val="Calibri"/>
      <family val="2"/>
      <scheme val="minor"/>
    </font>
    <font>
      <i/>
      <sz val="11"/>
      <color theme="1"/>
      <name val="Calibri"/>
      <family val="2"/>
      <scheme val="minor"/>
    </font>
    <font>
      <sz val="11"/>
      <color rgb="FFFF0000"/>
      <name val="Ff"/>
    </font>
    <font>
      <sz val="11"/>
      <color rgb="FFFF0000"/>
      <name val="Calibri"/>
      <family val="2"/>
      <scheme val="minor"/>
    </font>
  </fonts>
  <fills count="10">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FFFF00"/>
        <bgColor indexed="64"/>
      </patternFill>
    </fill>
    <fill>
      <patternFill patternType="solid">
        <fgColor theme="7"/>
        <bgColor indexed="64"/>
      </patternFill>
    </fill>
    <fill>
      <patternFill patternType="solid">
        <fgColor theme="4" tint="0.59999389629810485"/>
        <bgColor indexed="64"/>
      </patternFill>
    </fill>
    <fill>
      <patternFill patternType="solid">
        <fgColor rgb="FF002060"/>
        <bgColor indexed="64"/>
      </patternFill>
    </fill>
    <fill>
      <patternFill patternType="solid">
        <fgColor rgb="FFFFC000"/>
        <bgColor indexed="64"/>
      </patternFill>
    </fill>
    <fill>
      <patternFill patternType="solid">
        <fgColor theme="0" tint="-0.34998626667073579"/>
        <bgColor indexed="64"/>
      </patternFill>
    </fill>
  </fills>
  <borders count="4">
    <border>
      <left/>
      <right/>
      <top/>
      <bottom/>
      <diagonal/>
    </border>
    <border>
      <left/>
      <right/>
      <top style="hair">
        <color auto="1"/>
      </top>
      <bottom style="hair">
        <color auto="1"/>
      </bottom>
      <diagonal/>
    </border>
    <border>
      <left/>
      <right/>
      <top style="hair">
        <color rgb="FF002060"/>
      </top>
      <bottom/>
      <diagonal/>
    </border>
    <border>
      <left/>
      <right/>
      <top/>
      <bottom style="hair">
        <color rgb="FF002060"/>
      </bottom>
      <diagonal/>
    </border>
  </borders>
  <cellStyleXfs count="5">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63">
    <xf numFmtId="0" fontId="0" fillId="0" borderId="0" xfId="0"/>
    <xf numFmtId="43" fontId="1" fillId="0" borderId="0" xfId="1" applyFont="1" applyBorder="1"/>
    <xf numFmtId="43" fontId="0" fillId="0" borderId="0" xfId="1" applyFont="1" applyBorder="1"/>
    <xf numFmtId="43"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164" fontId="0" fillId="0" borderId="0" xfId="1" applyNumberFormat="1" applyFont="1" applyBorder="1"/>
    <xf numFmtId="0" fontId="0" fillId="4" borderId="0" xfId="0" applyFill="1"/>
    <xf numFmtId="17" fontId="2" fillId="5" borderId="0" xfId="0" applyNumberFormat="1" applyFont="1" applyFill="1"/>
    <xf numFmtId="17" fontId="2" fillId="5" borderId="0" xfId="0" applyNumberFormat="1" applyFont="1" applyFill="1" applyAlignment="1">
      <alignment horizontal="right"/>
    </xf>
    <xf numFmtId="0" fontId="7" fillId="0" borderId="0" xfId="0" applyFont="1"/>
    <xf numFmtId="10" fontId="7" fillId="0" borderId="0" xfId="4" applyNumberFormat="1" applyFont="1"/>
    <xf numFmtId="0" fontId="1" fillId="0" borderId="0" xfId="0" applyFont="1"/>
    <xf numFmtId="166" fontId="0" fillId="0" borderId="0" xfId="0" applyNumberFormat="1"/>
    <xf numFmtId="0" fontId="8" fillId="0" borderId="0" xfId="0" applyFont="1"/>
    <xf numFmtId="9" fontId="0" fillId="0" borderId="0" xfId="4" applyFont="1"/>
    <xf numFmtId="0" fontId="2" fillId="5" borderId="0" xfId="0" applyFont="1" applyFill="1" applyAlignment="1">
      <alignment horizontal="left"/>
    </xf>
    <xf numFmtId="0" fontId="0" fillId="6" borderId="0" xfId="0" applyFill="1"/>
    <xf numFmtId="167" fontId="0" fillId="0" borderId="0" xfId="0" applyNumberFormat="1"/>
    <xf numFmtId="167" fontId="7" fillId="0" borderId="0" xfId="0" applyNumberFormat="1" applyFont="1"/>
    <xf numFmtId="167" fontId="7" fillId="0" borderId="0" xfId="4" applyNumberFormat="1" applyFont="1"/>
    <xf numFmtId="0" fontId="7" fillId="0" borderId="0" xfId="0" applyFont="1" applyAlignment="1">
      <alignment vertical="center"/>
    </xf>
    <xf numFmtId="0" fontId="9" fillId="0" borderId="0" xfId="0" applyFont="1"/>
    <xf numFmtId="166" fontId="1" fillId="0" borderId="0" xfId="0" applyNumberFormat="1" applyFont="1"/>
    <xf numFmtId="17" fontId="0" fillId="0" borderId="0" xfId="0" applyNumberFormat="1"/>
    <xf numFmtId="3" fontId="0" fillId="0" borderId="0" xfId="0" applyNumberFormat="1"/>
    <xf numFmtId="43" fontId="1" fillId="0" borderId="1" xfId="1" applyFont="1" applyBorder="1"/>
    <xf numFmtId="166" fontId="1" fillId="0" borderId="1" xfId="0" applyNumberFormat="1" applyFont="1" applyBorder="1"/>
    <xf numFmtId="0" fontId="1" fillId="0" borderId="1" xfId="0" applyFont="1" applyBorder="1"/>
    <xf numFmtId="167" fontId="1" fillId="0" borderId="1" xfId="0" applyNumberFormat="1" applyFont="1" applyBorder="1"/>
    <xf numFmtId="3" fontId="1" fillId="0" borderId="1" xfId="0" applyNumberFormat="1" applyFont="1" applyBorder="1"/>
    <xf numFmtId="10" fontId="0" fillId="0" borderId="0" xfId="4" applyNumberFormat="1" applyFont="1"/>
    <xf numFmtId="0" fontId="10" fillId="0" borderId="0" xfId="0" applyFont="1"/>
    <xf numFmtId="0" fontId="0" fillId="0" borderId="2" xfId="0" applyBorder="1"/>
    <xf numFmtId="10" fontId="0" fillId="0" borderId="2" xfId="4" applyNumberFormat="1" applyFont="1" applyBorder="1"/>
    <xf numFmtId="10" fontId="0" fillId="0" borderId="0" xfId="4" applyNumberFormat="1" applyFont="1" applyBorder="1"/>
    <xf numFmtId="0" fontId="0" fillId="0" borderId="3" xfId="0" applyBorder="1"/>
    <xf numFmtId="10" fontId="0" fillId="0" borderId="3" xfId="4" applyNumberFormat="1" applyFont="1" applyBorder="1"/>
    <xf numFmtId="10" fontId="0" fillId="0" borderId="0" xfId="0" applyNumberFormat="1"/>
    <xf numFmtId="168" fontId="0" fillId="0" borderId="3" xfId="0" applyNumberFormat="1" applyBorder="1"/>
    <xf numFmtId="168" fontId="0" fillId="0" borderId="2" xfId="0" applyNumberFormat="1" applyBorder="1"/>
    <xf numFmtId="168" fontId="0" fillId="0" borderId="0" xfId="0" applyNumberFormat="1"/>
    <xf numFmtId="1" fontId="0" fillId="0" borderId="2" xfId="0" applyNumberFormat="1" applyBorder="1"/>
    <xf numFmtId="1" fontId="0" fillId="0" borderId="0" xfId="0" applyNumberFormat="1"/>
    <xf numFmtId="1" fontId="0" fillId="0" borderId="3" xfId="0" applyNumberFormat="1" applyBorder="1"/>
    <xf numFmtId="10" fontId="0" fillId="0" borderId="3" xfId="0" applyNumberFormat="1" applyBorder="1"/>
    <xf numFmtId="17" fontId="2" fillId="5" borderId="0" xfId="0" applyNumberFormat="1" applyFont="1" applyFill="1" applyAlignment="1">
      <alignment horizontal="center"/>
    </xf>
    <xf numFmtId="0" fontId="2" fillId="7" borderId="0" xfId="0" applyFont="1" applyFill="1"/>
    <xf numFmtId="0" fontId="2" fillId="7" borderId="0" xfId="0" applyFont="1" applyFill="1" applyAlignment="1">
      <alignment horizontal="center"/>
    </xf>
    <xf numFmtId="0" fontId="0" fillId="0" borderId="0" xfId="0" applyAlignment="1">
      <alignment horizontal="left"/>
    </xf>
    <xf numFmtId="169" fontId="0" fillId="0" borderId="0" xfId="0" applyNumberFormat="1" applyAlignment="1">
      <alignment horizontal="center"/>
    </xf>
    <xf numFmtId="170" fontId="0" fillId="0" borderId="0" xfId="0" applyNumberFormat="1" applyAlignment="1">
      <alignment horizontal="center"/>
    </xf>
    <xf numFmtId="0" fontId="0" fillId="8" borderId="0" xfId="0" applyFill="1"/>
    <xf numFmtId="171" fontId="0" fillId="0" borderId="0" xfId="0" applyNumberFormat="1"/>
    <xf numFmtId="0" fontId="0" fillId="9" borderId="0" xfId="0" applyFill="1" applyAlignment="1">
      <alignment horizontal="left"/>
    </xf>
    <xf numFmtId="170" fontId="0" fillId="9" borderId="0" xfId="0" applyNumberFormat="1" applyFill="1" applyAlignment="1">
      <alignment horizontal="center"/>
    </xf>
    <xf numFmtId="171" fontId="0" fillId="9" borderId="0" xfId="0" applyNumberFormat="1" applyFill="1"/>
    <xf numFmtId="10" fontId="0" fillId="9" borderId="0" xfId="4" applyNumberFormat="1" applyFont="1" applyFill="1"/>
    <xf numFmtId="0" fontId="2" fillId="5" borderId="0" xfId="0" applyFont="1" applyFill="1" applyAlignment="1">
      <alignment horizontal="center"/>
    </xf>
    <xf numFmtId="43" fontId="4" fillId="0" borderId="0" xfId="2" applyNumberFormat="1" applyBorder="1" applyAlignment="1" applyProtection="1">
      <alignment horizontal="center"/>
    </xf>
    <xf numFmtId="43" fontId="2" fillId="2" borderId="0" xfId="3" applyNumberFormat="1" applyFont="1" applyBorder="1" applyAlignment="1">
      <alignment horizontal="center"/>
    </xf>
    <xf numFmtId="0" fontId="0" fillId="0" borderId="0" xfId="0" applyAlignment="1">
      <alignment horizontal="center"/>
    </xf>
  </cellXfs>
  <cellStyles count="5">
    <cellStyle name="Accent6" xfId="3" builtinId="49"/>
    <cellStyle name="Comma" xfId="1" builtinId="3"/>
    <cellStyle name="Hyperlink" xfId="2" builtinId="8"/>
    <cellStyle name="Normal" xfId="0" builtinId="0"/>
    <cellStyle name="Percent" xfId="4" builtinId="5"/>
  </cellStyles>
  <dxfs count="1">
    <dxf>
      <font>
        <b/>
        <i val="0"/>
        <color theme="0"/>
      </font>
      <fill>
        <patternFill>
          <bgColor theme="5"/>
        </patternFill>
      </fill>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
  <sheetViews>
    <sheetView workbookViewId="0">
      <selection activeCell="D17" sqref="D17"/>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2:M104"/>
  <sheetViews>
    <sheetView showGridLines="0" workbookViewId="0">
      <pane xSplit="1" ySplit="3" topLeftCell="B21" activePane="bottomRight" state="frozen"/>
      <selection pane="topRight" activeCell="B1" sqref="B1"/>
      <selection pane="bottomLeft" activeCell="A4" sqref="A4"/>
      <selection pane="bottomRight" activeCell="K44" sqref="K44"/>
    </sheetView>
  </sheetViews>
  <sheetFormatPr defaultRowHeight="15"/>
  <cols>
    <col min="1" max="1" width="2.28515625" customWidth="1"/>
    <col min="2" max="2" width="31.28515625" customWidth="1"/>
    <col min="3" max="13" width="14.7109375" customWidth="1"/>
  </cols>
  <sheetData>
    <row r="2" spans="1:13">
      <c r="B2" s="59" t="str">
        <f>"Historical Financial Statement- "&amp;'Data Sheet'!B1</f>
        <v>Historical Financial Statement- TATA MOTORS LTD</v>
      </c>
      <c r="C2" s="59"/>
      <c r="D2" s="59"/>
      <c r="E2" s="59"/>
      <c r="F2" s="59"/>
      <c r="G2" s="59"/>
      <c r="H2" s="59"/>
      <c r="I2" s="59"/>
      <c r="J2" s="59"/>
      <c r="K2" s="59"/>
      <c r="L2" s="59"/>
      <c r="M2" s="59"/>
    </row>
    <row r="3" spans="1:13">
      <c r="B3" s="17" t="s">
        <v>61</v>
      </c>
      <c r="C3" s="9">
        <f>'Data Sheet'!B16</f>
        <v>42094</v>
      </c>
      <c r="D3" s="9">
        <f>'Data Sheet'!C16</f>
        <v>42460</v>
      </c>
      <c r="E3" s="9">
        <f>'Data Sheet'!D16</f>
        <v>42825</v>
      </c>
      <c r="F3" s="9">
        <f>'Data Sheet'!E16</f>
        <v>43190</v>
      </c>
      <c r="G3" s="9">
        <f>'Data Sheet'!F16</f>
        <v>43555</v>
      </c>
      <c r="H3" s="9">
        <f>'Data Sheet'!G16</f>
        <v>43921</v>
      </c>
      <c r="I3" s="9">
        <f>'Data Sheet'!H16</f>
        <v>44286</v>
      </c>
      <c r="J3" s="9">
        <f>'Data Sheet'!I16</f>
        <v>44651</v>
      </c>
      <c r="K3" s="9">
        <f>'Data Sheet'!J16</f>
        <v>45016</v>
      </c>
      <c r="L3" s="9">
        <f>'Data Sheet'!K16</f>
        <v>45382</v>
      </c>
      <c r="M3" s="10" t="s">
        <v>62</v>
      </c>
    </row>
    <row r="5" spans="1:13">
      <c r="A5" t="s">
        <v>88</v>
      </c>
      <c r="B5" s="18" t="s">
        <v>63</v>
      </c>
      <c r="C5" s="18"/>
      <c r="D5" s="18"/>
      <c r="E5" s="18"/>
      <c r="F5" s="18"/>
      <c r="G5" s="18"/>
      <c r="H5" s="18"/>
      <c r="I5" s="18"/>
      <c r="J5" s="18"/>
      <c r="K5" s="18"/>
      <c r="L5" s="18"/>
      <c r="M5" s="18"/>
    </row>
    <row r="6" spans="1:13">
      <c r="B6" t="s">
        <v>1</v>
      </c>
      <c r="C6" s="19">
        <f>IFERROR('Data Sheet'!B17,0)</f>
        <v>263158.98</v>
      </c>
      <c r="D6" s="19">
        <f>IFERROR('Data Sheet'!C17,0)</f>
        <v>273045.59999999998</v>
      </c>
      <c r="E6" s="19">
        <f>IFERROR('Data Sheet'!D17,0)</f>
        <v>269692.51</v>
      </c>
      <c r="F6" s="19">
        <f>IFERROR('Data Sheet'!E17,0)</f>
        <v>291550.48</v>
      </c>
      <c r="G6" s="19">
        <f>IFERROR('Data Sheet'!F17,0)</f>
        <v>301938.40000000002</v>
      </c>
      <c r="H6" s="19">
        <f>IFERROR('Data Sheet'!G17,0)</f>
        <v>261067.97</v>
      </c>
      <c r="I6" s="19">
        <f>IFERROR('Data Sheet'!H17,0)</f>
        <v>249794.75</v>
      </c>
      <c r="J6" s="19">
        <f>IFERROR('Data Sheet'!I17,0)</f>
        <v>278453.62</v>
      </c>
      <c r="K6" s="19">
        <f>IFERROR('Data Sheet'!J17,0)</f>
        <v>345966.97</v>
      </c>
      <c r="L6" s="19">
        <f>IFERROR('Data Sheet'!K17,0)</f>
        <v>437927.77</v>
      </c>
      <c r="M6" s="19">
        <f>IFERROR(SUM('Data Sheet'!H42:K42),0)</f>
        <v>440061.14</v>
      </c>
    </row>
    <row r="7" spans="1:13">
      <c r="B7" s="11" t="s">
        <v>66</v>
      </c>
      <c r="C7" s="20"/>
      <c r="D7" s="12">
        <f>D6/C6-1</f>
        <v>3.75690010654397E-2</v>
      </c>
      <c r="E7" s="12">
        <f t="shared" ref="E7:M7" si="0">E6/D6-1</f>
        <v>-1.2280329732469508E-2</v>
      </c>
      <c r="F7" s="12">
        <f>F6/E6-1</f>
        <v>8.104774581985974E-2</v>
      </c>
      <c r="G7" s="12">
        <f t="shared" si="0"/>
        <v>3.5629919045237157E-2</v>
      </c>
      <c r="H7" s="12">
        <f t="shared" si="0"/>
        <v>-0.135360159555724</v>
      </c>
      <c r="I7" s="12">
        <f t="shared" si="0"/>
        <v>-4.3181168490336042E-2</v>
      </c>
      <c r="J7" s="12">
        <f t="shared" si="0"/>
        <v>0.11472967306158344</v>
      </c>
      <c r="K7" s="12">
        <f t="shared" si="0"/>
        <v>0.24245815155859707</v>
      </c>
      <c r="L7" s="12">
        <f t="shared" si="0"/>
        <v>0.26580803363974326</v>
      </c>
      <c r="M7" s="12">
        <f t="shared" si="0"/>
        <v>4.8715111170045677E-3</v>
      </c>
    </row>
    <row r="8" spans="1:13">
      <c r="B8" t="s">
        <v>69</v>
      </c>
      <c r="C8" s="19">
        <f>IFERROR(SUM('Data Sheet'!B18:B18,'Data Sheet'!B20:B22)-1*'Data Sheet'!B19,0)</f>
        <v>202856.88</v>
      </c>
      <c r="D8" s="19">
        <f>IFERROR(SUM('Data Sheet'!C18:C18,'Data Sheet'!C20:C22)-1*'Data Sheet'!C19,0)</f>
        <v>205509.07</v>
      </c>
      <c r="E8" s="19">
        <f>IFERROR(SUM('Data Sheet'!D18:D18,'Data Sheet'!D20:D22)-1*'Data Sheet'!D19,0)</f>
        <v>205454.23999999996</v>
      </c>
      <c r="F8" s="19">
        <f>IFERROR(SUM('Data Sheet'!E18:E18,'Data Sheet'!E20:E22)-1*'Data Sheet'!E19,0)</f>
        <v>228429.83</v>
      </c>
      <c r="G8" s="19">
        <f>IFERROR(SUM('Data Sheet'!F18:F18,'Data Sheet'!F20:F22)-1*'Data Sheet'!F19,0)</f>
        <v>242845.53</v>
      </c>
      <c r="H8" s="19">
        <f>IFERROR(SUM('Data Sheet'!G18:G18,'Data Sheet'!G20:G22)-1*'Data Sheet'!G19,0)</f>
        <v>210376.07000000004</v>
      </c>
      <c r="I8" s="19">
        <f>IFERROR(SUM('Data Sheet'!H18:H18,'Data Sheet'!H20:H22)-1*'Data Sheet'!H19,0)</f>
        <v>195326.04</v>
      </c>
      <c r="J8" s="19">
        <f>IFERROR(SUM('Data Sheet'!I18:I18,'Data Sheet'!I20:I22)-1*'Data Sheet'!I19,0)</f>
        <v>223300.00999999998</v>
      </c>
      <c r="K8" s="19">
        <f>IFERROR(SUM('Data Sheet'!J18:J18,'Data Sheet'!J20:J22)-1*'Data Sheet'!J19,0)</f>
        <v>274403.64</v>
      </c>
      <c r="L8" s="19">
        <f>IFERROR(SUM('Data Sheet'!K18:K18,'Data Sheet'!K20:K22)-1*'Data Sheet'!K19,0)</f>
        <v>334551.78999999998</v>
      </c>
      <c r="M8" s="19">
        <f>SUM('Data Sheet'!H43:K43)</f>
        <v>379563.77</v>
      </c>
    </row>
    <row r="9" spans="1:13">
      <c r="B9" s="11" t="s">
        <v>78</v>
      </c>
      <c r="C9" s="12">
        <f>C8/C6</f>
        <v>0.77085296500237244</v>
      </c>
      <c r="D9" s="12">
        <f t="shared" ref="D9:M9" si="1">D8/D6</f>
        <v>0.75265475803309057</v>
      </c>
      <c r="E9" s="12">
        <f t="shared" si="1"/>
        <v>0.76180921746770036</v>
      </c>
      <c r="F9" s="12">
        <f t="shared" si="1"/>
        <v>0.78350009919380004</v>
      </c>
      <c r="G9" s="12">
        <f t="shared" si="1"/>
        <v>0.80428832503583503</v>
      </c>
      <c r="H9" s="12">
        <f t="shared" si="1"/>
        <v>0.80582872728508226</v>
      </c>
      <c r="I9" s="12">
        <f t="shared" si="1"/>
        <v>0.7819461377791167</v>
      </c>
      <c r="J9" s="12">
        <f t="shared" si="1"/>
        <v>0.80192891728252624</v>
      </c>
      <c r="K9" s="12">
        <f t="shared" si="1"/>
        <v>0.79314982005363122</v>
      </c>
      <c r="L9" s="12">
        <f t="shared" si="1"/>
        <v>0.76394285295038489</v>
      </c>
      <c r="M9" s="12">
        <f t="shared" si="1"/>
        <v>0.86252508003774209</v>
      </c>
    </row>
    <row r="10" spans="1:13">
      <c r="C10" s="19"/>
      <c r="D10" s="19"/>
      <c r="E10" s="19"/>
      <c r="F10" s="19"/>
      <c r="G10" s="19"/>
      <c r="H10" s="19"/>
      <c r="I10" s="19"/>
      <c r="J10" s="19"/>
      <c r="K10" s="19"/>
      <c r="L10" s="19"/>
      <c r="M10" s="19"/>
    </row>
    <row r="11" spans="1:13">
      <c r="B11" s="29" t="s">
        <v>72</v>
      </c>
      <c r="C11" s="30">
        <f>C6-C8</f>
        <v>60302.099999999977</v>
      </c>
      <c r="D11" s="30">
        <f t="shared" ref="D11:M11" si="2">D6-D8</f>
        <v>67536.52999999997</v>
      </c>
      <c r="E11" s="30">
        <f t="shared" si="2"/>
        <v>64238.270000000048</v>
      </c>
      <c r="F11" s="30">
        <f t="shared" si="2"/>
        <v>63120.649999999994</v>
      </c>
      <c r="G11" s="30">
        <f t="shared" si="2"/>
        <v>59092.870000000024</v>
      </c>
      <c r="H11" s="30">
        <f t="shared" si="2"/>
        <v>50691.899999999965</v>
      </c>
      <c r="I11" s="30">
        <f t="shared" si="2"/>
        <v>54468.709999999992</v>
      </c>
      <c r="J11" s="30">
        <f t="shared" si="2"/>
        <v>55153.610000000015</v>
      </c>
      <c r="K11" s="30">
        <f t="shared" si="2"/>
        <v>71563.329999999958</v>
      </c>
      <c r="L11" s="30">
        <f t="shared" si="2"/>
        <v>103375.98000000004</v>
      </c>
      <c r="M11" s="30">
        <f t="shared" si="2"/>
        <v>60497.369999999995</v>
      </c>
    </row>
    <row r="12" spans="1:13">
      <c r="B12" s="11" t="s">
        <v>89</v>
      </c>
      <c r="C12" s="12">
        <f>C11/C6</f>
        <v>0.22914703499762759</v>
      </c>
      <c r="D12" s="12">
        <f t="shared" ref="D12:M12" si="3">D11/D6</f>
        <v>0.24734524196690946</v>
      </c>
      <c r="E12" s="12">
        <f t="shared" si="3"/>
        <v>0.23819078253229964</v>
      </c>
      <c r="F12" s="12">
        <f t="shared" si="3"/>
        <v>0.21649990080619999</v>
      </c>
      <c r="G12" s="12">
        <f t="shared" si="3"/>
        <v>0.19571167496416494</v>
      </c>
      <c r="H12" s="12">
        <f t="shared" si="3"/>
        <v>0.19417127271491774</v>
      </c>
      <c r="I12" s="12">
        <f t="shared" si="3"/>
        <v>0.2180538622208833</v>
      </c>
      <c r="J12" s="12">
        <f t="shared" si="3"/>
        <v>0.19807108271747378</v>
      </c>
      <c r="K12" s="12">
        <f t="shared" si="3"/>
        <v>0.20685017994636876</v>
      </c>
      <c r="L12" s="12">
        <f t="shared" si="3"/>
        <v>0.23605714704961514</v>
      </c>
      <c r="M12" s="12">
        <f t="shared" si="3"/>
        <v>0.13747491996225797</v>
      </c>
    </row>
    <row r="13" spans="1:13">
      <c r="C13" s="19"/>
      <c r="D13" s="19"/>
      <c r="E13" s="19"/>
      <c r="F13" s="19"/>
      <c r="G13" s="19"/>
      <c r="H13" s="19"/>
      <c r="I13" s="19"/>
      <c r="J13" s="19"/>
      <c r="K13" s="19"/>
      <c r="L13" s="19"/>
      <c r="M13" s="19"/>
    </row>
    <row r="14" spans="1:13">
      <c r="B14" t="s">
        <v>74</v>
      </c>
      <c r="C14" s="19">
        <f>IFERROR(SUM('Data Sheet'!B23:B24),0)</f>
        <v>21063.449999999997</v>
      </c>
      <c r="D14" s="19">
        <f>IFERROR(SUM('Data Sheet'!C23:C24),0)</f>
        <v>29141.280000000002</v>
      </c>
      <c r="E14" s="19">
        <f>IFERROR(SUM('Data Sheet'!D23:D24),0)</f>
        <v>34649.58</v>
      </c>
      <c r="F14" s="19">
        <f>IFERROR(SUM('Data Sheet'!E23:E24),0)</f>
        <v>31662.97</v>
      </c>
      <c r="G14" s="19">
        <f>IFERROR(SUM('Data Sheet'!F23:F24),0)</f>
        <v>34428.54</v>
      </c>
      <c r="H14" s="19">
        <f>IFERROR(SUM('Data Sheet'!G23:G24),0)</f>
        <v>32704.83</v>
      </c>
      <c r="I14" s="19">
        <f>IFERROR(SUM('Data Sheet'!H23:H24),0)</f>
        <v>22181.280000000002</v>
      </c>
      <c r="J14" s="19">
        <f>IFERROR(SUM('Data Sheet'!I23:I24),0)</f>
        <v>30433.52</v>
      </c>
      <c r="K14" s="19">
        <f>IFERROR(SUM('Data Sheet'!J23:J24),0)</f>
        <v>39747.53</v>
      </c>
      <c r="L14" s="19">
        <f>IFERROR(SUM('Data Sheet'!K23:K24),0)</f>
        <v>43837.64</v>
      </c>
      <c r="M14" s="19"/>
    </row>
    <row r="15" spans="1:13">
      <c r="B15" s="11" t="s">
        <v>77</v>
      </c>
      <c r="C15" s="12">
        <f>C14/C6</f>
        <v>8.0040779911823637E-2</v>
      </c>
      <c r="D15" s="12">
        <f t="shared" ref="D15:M15" si="4">D14/D6</f>
        <v>0.10672678849247161</v>
      </c>
      <c r="E15" s="12">
        <f t="shared" si="4"/>
        <v>0.12847809529452636</v>
      </c>
      <c r="F15" s="12">
        <f t="shared" si="4"/>
        <v>0.10860201636437025</v>
      </c>
      <c r="G15" s="12">
        <f t="shared" si="4"/>
        <v>0.11402504616835751</v>
      </c>
      <c r="H15" s="12">
        <f t="shared" si="4"/>
        <v>0.12527323822987554</v>
      </c>
      <c r="I15" s="12">
        <f t="shared" si="4"/>
        <v>8.8798023177028354E-2</v>
      </c>
      <c r="J15" s="12">
        <f t="shared" si="4"/>
        <v>0.10929475436519734</v>
      </c>
      <c r="K15" s="12">
        <f t="shared" si="4"/>
        <v>0.11488822184383672</v>
      </c>
      <c r="L15" s="12">
        <f t="shared" si="4"/>
        <v>0.10010244383451636</v>
      </c>
      <c r="M15" s="12">
        <f t="shared" si="4"/>
        <v>0</v>
      </c>
    </row>
    <row r="16" spans="1:13">
      <c r="C16" s="19"/>
      <c r="D16" s="19"/>
      <c r="E16" s="19"/>
      <c r="F16" s="19"/>
      <c r="G16" s="19"/>
      <c r="H16" s="19"/>
      <c r="I16" s="19"/>
      <c r="J16" s="19"/>
      <c r="K16" s="19"/>
      <c r="L16" s="19"/>
      <c r="M16" s="19"/>
    </row>
    <row r="17" spans="2:13">
      <c r="B17" s="29" t="s">
        <v>79</v>
      </c>
      <c r="C17" s="30">
        <f>C11-C14</f>
        <v>39238.64999999998</v>
      </c>
      <c r="D17" s="30">
        <f t="shared" ref="D17:L17" si="5">D11-D14</f>
        <v>38395.249999999971</v>
      </c>
      <c r="E17" s="30">
        <f t="shared" si="5"/>
        <v>29588.690000000046</v>
      </c>
      <c r="F17" s="30">
        <f t="shared" si="5"/>
        <v>31457.679999999993</v>
      </c>
      <c r="G17" s="30">
        <f t="shared" si="5"/>
        <v>24664.330000000024</v>
      </c>
      <c r="H17" s="30">
        <f t="shared" si="5"/>
        <v>17987.069999999963</v>
      </c>
      <c r="I17" s="30">
        <f t="shared" si="5"/>
        <v>32287.429999999989</v>
      </c>
      <c r="J17" s="30">
        <f t="shared" si="5"/>
        <v>24720.090000000015</v>
      </c>
      <c r="K17" s="30">
        <f t="shared" si="5"/>
        <v>31815.799999999959</v>
      </c>
      <c r="L17" s="30">
        <f t="shared" si="5"/>
        <v>59538.34000000004</v>
      </c>
      <c r="M17" s="30">
        <f>IFERROR(SUM('Data Sheet'!H50:K50),0)</f>
        <v>60497.37</v>
      </c>
    </row>
    <row r="18" spans="2:13">
      <c r="B18" s="11" t="s">
        <v>81</v>
      </c>
      <c r="C18" s="12">
        <f>C17/C6</f>
        <v>0.14910625508580397</v>
      </c>
      <c r="D18" s="12">
        <f t="shared" ref="D18:M18" si="6">D17/D6</f>
        <v>0.14061845347443788</v>
      </c>
      <c r="E18" s="12">
        <f t="shared" si="6"/>
        <v>0.10971268723777329</v>
      </c>
      <c r="F18" s="12">
        <f t="shared" si="6"/>
        <v>0.10789788444182975</v>
      </c>
      <c r="G18" s="12">
        <f t="shared" si="6"/>
        <v>8.1686628795807431E-2</v>
      </c>
      <c r="H18" s="12">
        <f t="shared" si="6"/>
        <v>6.8898034485042198E-2</v>
      </c>
      <c r="I18" s="12">
        <f t="shared" si="6"/>
        <v>0.12925583904385496</v>
      </c>
      <c r="J18" s="12">
        <f t="shared" si="6"/>
        <v>8.877632835227646E-2</v>
      </c>
      <c r="K18" s="12">
        <f t="shared" si="6"/>
        <v>9.1961958102532049E-2</v>
      </c>
      <c r="L18" s="12">
        <f t="shared" si="6"/>
        <v>0.13595470321509878</v>
      </c>
      <c r="M18" s="12">
        <f t="shared" si="6"/>
        <v>0.13747491996225797</v>
      </c>
    </row>
    <row r="19" spans="2:13">
      <c r="C19" s="19"/>
      <c r="D19" s="19"/>
      <c r="E19" s="19"/>
      <c r="F19" s="19"/>
      <c r="G19" s="19"/>
      <c r="H19" s="19"/>
      <c r="I19" s="19"/>
      <c r="J19" s="19"/>
      <c r="K19" s="19"/>
      <c r="L19" s="19"/>
      <c r="M19" s="19"/>
    </row>
    <row r="20" spans="2:13">
      <c r="B20" t="s">
        <v>83</v>
      </c>
      <c r="C20" s="19">
        <f>'Data Sheet'!B27</f>
        <v>4861.49</v>
      </c>
      <c r="D20" s="19">
        <f>'Data Sheet'!C27</f>
        <v>4889.08</v>
      </c>
      <c r="E20" s="19">
        <f>'Data Sheet'!D27</f>
        <v>4238.01</v>
      </c>
      <c r="F20" s="19">
        <f>'Data Sheet'!E27</f>
        <v>4681.79</v>
      </c>
      <c r="G20" s="19">
        <f>'Data Sheet'!F27</f>
        <v>5758.6</v>
      </c>
      <c r="H20" s="19">
        <f>'Data Sheet'!G27</f>
        <v>7243.33</v>
      </c>
      <c r="I20" s="19">
        <f>'Data Sheet'!H27</f>
        <v>8097.17</v>
      </c>
      <c r="J20" s="19">
        <f>'Data Sheet'!I27</f>
        <v>9311.86</v>
      </c>
      <c r="K20" s="19">
        <f>'Data Sheet'!J27</f>
        <v>10225.48</v>
      </c>
      <c r="L20" s="19">
        <f>'Data Sheet'!K27</f>
        <v>9985.76</v>
      </c>
      <c r="M20" s="19">
        <f>IFERROR(SUM('Data Sheet'!H46:K46),0)</f>
        <v>8840.91</v>
      </c>
    </row>
    <row r="21" spans="2:13">
      <c r="B21" s="11" t="s">
        <v>84</v>
      </c>
      <c r="C21" s="12">
        <f>C20/C6</f>
        <v>1.8473585814932098E-2</v>
      </c>
      <c r="D21" s="12">
        <f t="shared" ref="D21:M21" si="7">D20/D6</f>
        <v>1.7905727101993223E-2</v>
      </c>
      <c r="E21" s="12">
        <f t="shared" si="7"/>
        <v>1.5714229512714312E-2</v>
      </c>
      <c r="F21" s="12">
        <f t="shared" si="7"/>
        <v>1.605824830060304E-2</v>
      </c>
      <c r="G21" s="12">
        <f t="shared" si="7"/>
        <v>1.9072102124141878E-2</v>
      </c>
      <c r="H21" s="12">
        <f t="shared" si="7"/>
        <v>2.7744996829752802E-2</v>
      </c>
      <c r="I21" s="12">
        <f t="shared" si="7"/>
        <v>3.2415292955516477E-2</v>
      </c>
      <c r="J21" s="12">
        <f t="shared" si="7"/>
        <v>3.3441332168710897E-2</v>
      </c>
      <c r="K21" s="12">
        <f t="shared" si="7"/>
        <v>2.9556231914277829E-2</v>
      </c>
      <c r="L21" s="12">
        <f t="shared" si="7"/>
        <v>2.2802299109736749E-2</v>
      </c>
      <c r="M21" s="12">
        <f t="shared" si="7"/>
        <v>2.0090185650112162E-2</v>
      </c>
    </row>
    <row r="22" spans="2:13">
      <c r="C22" s="19"/>
      <c r="D22" s="19"/>
      <c r="E22" s="19"/>
      <c r="F22" s="19"/>
      <c r="G22" s="19"/>
      <c r="H22" s="19"/>
      <c r="I22" s="19"/>
      <c r="J22" s="19" t="s">
        <v>64</v>
      </c>
      <c r="K22" s="19"/>
      <c r="L22" s="19"/>
      <c r="M22" s="19"/>
    </row>
    <row r="23" spans="2:13">
      <c r="B23" t="s">
        <v>85</v>
      </c>
      <c r="C23" s="19">
        <f>IFERROR('Data Sheet'!B26,0)</f>
        <v>13388.63</v>
      </c>
      <c r="D23" s="19">
        <f>IFERROR('Data Sheet'!C26,0)</f>
        <v>16710.78</v>
      </c>
      <c r="E23" s="19">
        <f>IFERROR('Data Sheet'!D26,0)</f>
        <v>17904.990000000002</v>
      </c>
      <c r="F23" s="19">
        <f>IFERROR('Data Sheet'!E26,0)</f>
        <v>21553.59</v>
      </c>
      <c r="G23" s="19">
        <f>IFERROR('Data Sheet'!F26,0)</f>
        <v>23590.63</v>
      </c>
      <c r="H23" s="19">
        <f>IFERROR('Data Sheet'!G26,0)</f>
        <v>21425.43</v>
      </c>
      <c r="I23" s="19">
        <f>IFERROR('Data Sheet'!H26,0)</f>
        <v>23546.71</v>
      </c>
      <c r="J23" s="19">
        <f>IFERROR('Data Sheet'!I26,0)</f>
        <v>24835.69</v>
      </c>
      <c r="K23" s="19">
        <f>IFERROR('Data Sheet'!J26,0)</f>
        <v>24860.36</v>
      </c>
      <c r="L23" s="19">
        <f>IFERROR('Data Sheet'!K26,0)</f>
        <v>27270.13</v>
      </c>
      <c r="M23" s="19">
        <f>IFERROR(SUM('Data Sheet'!H45:K45),0)</f>
        <v>26580</v>
      </c>
    </row>
    <row r="24" spans="2:13">
      <c r="B24" s="11" t="s">
        <v>86</v>
      </c>
      <c r="C24" s="12">
        <f>C23/C6</f>
        <v>5.0876584184966822E-2</v>
      </c>
      <c r="D24" s="12">
        <f t="shared" ref="D24:M24" si="8">D23/D6</f>
        <v>6.1201425695927715E-2</v>
      </c>
      <c r="E24" s="12">
        <f t="shared" si="8"/>
        <v>6.63903865924938E-2</v>
      </c>
      <c r="F24" s="12">
        <f t="shared" si="8"/>
        <v>7.3927472182518786E-2</v>
      </c>
      <c r="G24" s="12">
        <f t="shared" si="8"/>
        <v>7.8130605447998658E-2</v>
      </c>
      <c r="H24" s="12">
        <f t="shared" si="8"/>
        <v>8.206839774331566E-2</v>
      </c>
      <c r="I24" s="12">
        <f t="shared" si="8"/>
        <v>9.4264230933596482E-2</v>
      </c>
      <c r="J24" s="12">
        <f t="shared" si="8"/>
        <v>8.9191478279219347E-2</v>
      </c>
      <c r="K24" s="12">
        <f t="shared" si="8"/>
        <v>7.1857611147098821E-2</v>
      </c>
      <c r="L24" s="12">
        <f t="shared" si="8"/>
        <v>6.2270839777984394E-2</v>
      </c>
      <c r="M24" s="12">
        <f t="shared" si="8"/>
        <v>6.0400697957561075E-2</v>
      </c>
    </row>
    <row r="25" spans="2:13">
      <c r="C25" s="19"/>
      <c r="D25" s="19"/>
      <c r="E25" s="19"/>
      <c r="F25" s="19"/>
      <c r="G25" s="19"/>
      <c r="H25" s="19"/>
      <c r="I25" s="19"/>
      <c r="J25" s="19"/>
      <c r="K25" s="19"/>
      <c r="L25" s="19"/>
      <c r="M25" s="19"/>
    </row>
    <row r="26" spans="2:13">
      <c r="B26" s="29" t="s">
        <v>90</v>
      </c>
      <c r="C26" s="30">
        <f>IFERROR(C17-(C23+C20),0)</f>
        <v>20988.529999999981</v>
      </c>
      <c r="D26" s="30">
        <f t="shared" ref="D26:M26" si="9">IFERROR(D17-(D23+D20),0)</f>
        <v>16795.38999999997</v>
      </c>
      <c r="E26" s="30">
        <f t="shared" si="9"/>
        <v>7445.690000000046</v>
      </c>
      <c r="F26" s="30">
        <f t="shared" si="9"/>
        <v>5222.299999999992</v>
      </c>
      <c r="G26" s="30">
        <f t="shared" si="9"/>
        <v>-4684.8999999999796</v>
      </c>
      <c r="H26" s="30">
        <f t="shared" si="9"/>
        <v>-10681.690000000039</v>
      </c>
      <c r="I26" s="30">
        <f t="shared" si="9"/>
        <v>643.549999999992</v>
      </c>
      <c r="J26" s="30">
        <f t="shared" si="9"/>
        <v>-9427.4599999999882</v>
      </c>
      <c r="K26" s="30">
        <f t="shared" si="9"/>
        <v>-3270.0400000000373</v>
      </c>
      <c r="L26" s="30">
        <f t="shared" si="9"/>
        <v>22282.450000000041</v>
      </c>
      <c r="M26" s="30">
        <f t="shared" si="9"/>
        <v>25076.46</v>
      </c>
    </row>
    <row r="27" spans="2:13">
      <c r="B27" s="11" t="s">
        <v>91</v>
      </c>
      <c r="C27" s="12">
        <f>C26/C6</f>
        <v>7.9756085085905037E-2</v>
      </c>
      <c r="D27" s="12">
        <f t="shared" ref="D27:M27" si="10">D26/D6</f>
        <v>6.1511300676516931E-2</v>
      </c>
      <c r="E27" s="12">
        <f t="shared" si="10"/>
        <v>2.7608071132565179E-2</v>
      </c>
      <c r="F27" s="12">
        <f t="shared" si="10"/>
        <v>1.7912163958707913E-2</v>
      </c>
      <c r="G27" s="12">
        <f t="shared" si="10"/>
        <v>-1.5516078776333117E-2</v>
      </c>
      <c r="H27" s="12">
        <f t="shared" si="10"/>
        <v>-4.0915360088026265E-2</v>
      </c>
      <c r="I27" s="12">
        <f t="shared" si="10"/>
        <v>2.5763151547420113E-3</v>
      </c>
      <c r="J27" s="12">
        <f t="shared" si="10"/>
        <v>-3.3856482095653805E-2</v>
      </c>
      <c r="K27" s="12">
        <f t="shared" si="10"/>
        <v>-9.4518849588445895E-3</v>
      </c>
      <c r="L27" s="12">
        <f t="shared" si="10"/>
        <v>5.0881564327377643E-2</v>
      </c>
      <c r="M27" s="12">
        <f t="shared" si="10"/>
        <v>5.6984036354584724E-2</v>
      </c>
    </row>
    <row r="28" spans="2:13">
      <c r="C28" s="19"/>
      <c r="D28" s="19"/>
      <c r="E28" s="19"/>
      <c r="F28" s="19"/>
      <c r="G28" s="19"/>
      <c r="H28" s="19"/>
      <c r="I28" s="19"/>
      <c r="J28" s="19"/>
      <c r="K28" s="19"/>
      <c r="L28" s="19"/>
      <c r="M28" s="19"/>
    </row>
    <row r="29" spans="2:13">
      <c r="B29" t="s">
        <v>8</v>
      </c>
      <c r="C29" s="19">
        <f>IFERROR('Data Sheet'!B29,0)</f>
        <v>7642.91</v>
      </c>
      <c r="D29" s="19">
        <f>IFERROR('Data Sheet'!C29,0)</f>
        <v>3025.05</v>
      </c>
      <c r="E29" s="19">
        <f>IFERROR('Data Sheet'!D29,0)</f>
        <v>3251.23</v>
      </c>
      <c r="F29" s="19">
        <f>IFERROR('Data Sheet'!E29,0)</f>
        <v>4341.93</v>
      </c>
      <c r="G29" s="19">
        <f>IFERROR('Data Sheet'!F29,0)</f>
        <v>-2437.4499999999998</v>
      </c>
      <c r="H29" s="19">
        <f>IFERROR('Data Sheet'!G29,0)</f>
        <v>395.25</v>
      </c>
      <c r="I29" s="19">
        <f>IFERROR('Data Sheet'!H29,0)</f>
        <v>2541.86</v>
      </c>
      <c r="J29" s="19">
        <f>IFERROR('Data Sheet'!I29,0)</f>
        <v>4231.29</v>
      </c>
      <c r="K29" s="19">
        <f>IFERROR('Data Sheet'!J29,0)</f>
        <v>704.06</v>
      </c>
      <c r="L29" s="19">
        <f>IFERROR('Data Sheet'!K29,0)</f>
        <v>-3851.64</v>
      </c>
      <c r="M29" s="19">
        <f>IFERROR(SUM('Data Sheet'!H48:K48),0)</f>
        <v>-2123.21</v>
      </c>
    </row>
    <row r="30" spans="2:13">
      <c r="B30" s="11" t="s">
        <v>92</v>
      </c>
      <c r="C30" s="12">
        <f>C29/C26</f>
        <v>0.3641469888553418</v>
      </c>
      <c r="D30" s="12">
        <f t="shared" ref="D30:M30" si="11">D29/D26</f>
        <v>0.18011192356950362</v>
      </c>
      <c r="E30" s="12">
        <f t="shared" si="11"/>
        <v>0.43665932908836924</v>
      </c>
      <c r="F30" s="12">
        <f t="shared" si="11"/>
        <v>0.8314210213890445</v>
      </c>
      <c r="G30" s="12">
        <f t="shared" si="11"/>
        <v>0.52027791414971725</v>
      </c>
      <c r="H30" s="12">
        <f t="shared" si="11"/>
        <v>-3.7002571690434617E-2</v>
      </c>
      <c r="I30" s="12">
        <f t="shared" si="11"/>
        <v>3.9497474943672315</v>
      </c>
      <c r="J30" s="12">
        <f t="shared" si="11"/>
        <v>-0.4488260888935095</v>
      </c>
      <c r="K30" s="12">
        <f t="shared" si="11"/>
        <v>-0.21530623478611635</v>
      </c>
      <c r="L30" s="12">
        <f t="shared" si="11"/>
        <v>-0.17285531887202676</v>
      </c>
      <c r="M30" s="12">
        <f t="shared" si="11"/>
        <v>-8.4669446963407113E-2</v>
      </c>
    </row>
    <row r="31" spans="2:13">
      <c r="C31" s="19"/>
      <c r="D31" s="19"/>
      <c r="E31" s="19"/>
      <c r="F31" s="19"/>
      <c r="G31" s="19"/>
      <c r="H31" s="19"/>
      <c r="I31" s="19"/>
      <c r="J31" s="19"/>
      <c r="K31" s="19"/>
      <c r="L31" s="19"/>
      <c r="M31" s="19"/>
    </row>
    <row r="32" spans="2:13">
      <c r="B32" s="29" t="s">
        <v>93</v>
      </c>
      <c r="C32" s="30">
        <f>C26-C29</f>
        <v>13345.619999999981</v>
      </c>
      <c r="D32" s="30">
        <f t="shared" ref="D32:M32" si="12">D26-D29</f>
        <v>13770.339999999971</v>
      </c>
      <c r="E32" s="30">
        <f t="shared" si="12"/>
        <v>4194.4600000000464</v>
      </c>
      <c r="F32" s="30">
        <f t="shared" si="12"/>
        <v>880.36999999999171</v>
      </c>
      <c r="G32" s="30">
        <f t="shared" si="12"/>
        <v>-2247.4499999999798</v>
      </c>
      <c r="H32" s="30">
        <f t="shared" si="12"/>
        <v>-11076.940000000039</v>
      </c>
      <c r="I32" s="30">
        <f t="shared" si="12"/>
        <v>-1898.3100000000081</v>
      </c>
      <c r="J32" s="30">
        <f t="shared" si="12"/>
        <v>-13658.749999999989</v>
      </c>
      <c r="K32" s="30">
        <f t="shared" si="12"/>
        <v>-3974.1000000000372</v>
      </c>
      <c r="L32" s="30">
        <f t="shared" si="12"/>
        <v>26134.09000000004</v>
      </c>
      <c r="M32" s="30">
        <f t="shared" si="12"/>
        <v>27199.67</v>
      </c>
    </row>
    <row r="33" spans="1:13">
      <c r="B33" s="11" t="s">
        <v>94</v>
      </c>
      <c r="C33" s="12">
        <f>C32/C6</f>
        <v>5.0713146858982282E-2</v>
      </c>
      <c r="D33" s="12">
        <f t="shared" ref="D33:M33" si="13">D32/D6</f>
        <v>5.0432381990407359E-2</v>
      </c>
      <c r="E33" s="12">
        <f t="shared" si="13"/>
        <v>1.5552749314395296E-2</v>
      </c>
      <c r="F33" s="12">
        <f t="shared" si="13"/>
        <v>3.01961430487095E-3</v>
      </c>
      <c r="G33" s="12">
        <f t="shared" si="13"/>
        <v>-7.4434056747998256E-3</v>
      </c>
      <c r="H33" s="12">
        <f t="shared" si="13"/>
        <v>-4.2429333632923408E-2</v>
      </c>
      <c r="I33" s="12">
        <f t="shared" si="13"/>
        <v>-7.5994791724005731E-3</v>
      </c>
      <c r="J33" s="12">
        <f t="shared" si="13"/>
        <v>-4.9052154538339235E-2</v>
      </c>
      <c r="K33" s="12">
        <f t="shared" si="13"/>
        <v>-1.1486934720964945E-2</v>
      </c>
      <c r="L33" s="12">
        <f t="shared" si="13"/>
        <v>5.9676713353894045E-2</v>
      </c>
      <c r="M33" s="12">
        <f t="shared" si="13"/>
        <v>6.1808843198470097E-2</v>
      </c>
    </row>
    <row r="35" spans="1:13">
      <c r="B35" t="s">
        <v>96</v>
      </c>
      <c r="C35">
        <f>IFERROR('Data Sheet'!B93,0)</f>
        <v>288.74</v>
      </c>
      <c r="D35">
        <f>IFERROR('Data Sheet'!C93,0)</f>
        <v>288.72000000000003</v>
      </c>
      <c r="E35">
        <f>IFERROR('Data Sheet'!D93,0)</f>
        <v>288.73</v>
      </c>
      <c r="F35">
        <f>IFERROR('Data Sheet'!E93,0)</f>
        <v>288.73</v>
      </c>
      <c r="G35">
        <f>IFERROR('Data Sheet'!F93,0)</f>
        <v>288.73</v>
      </c>
      <c r="H35">
        <f>IFERROR('Data Sheet'!G93,0)</f>
        <v>308.89999999999998</v>
      </c>
      <c r="I35">
        <f>IFERROR('Data Sheet'!H93,0)</f>
        <v>332.03</v>
      </c>
      <c r="J35">
        <f>IFERROR('Data Sheet'!I93,0)</f>
        <v>332.07</v>
      </c>
      <c r="K35">
        <f>IFERROR('Data Sheet'!J93,0)</f>
        <v>332.13</v>
      </c>
      <c r="L35">
        <f>IFERROR('Data Sheet'!K93,0)</f>
        <v>332.37</v>
      </c>
      <c r="M35">
        <f>IFERROR('Data Sheet'!L93,0)</f>
        <v>0</v>
      </c>
    </row>
    <row r="37" spans="1:13">
      <c r="B37" t="s">
        <v>97</v>
      </c>
      <c r="C37" s="14">
        <f>C32/C35</f>
        <v>46.220198102098706</v>
      </c>
      <c r="D37" s="14">
        <f t="shared" ref="D37:L37" si="14">D32/D35</f>
        <v>47.694444444444336</v>
      </c>
      <c r="E37" s="14">
        <f t="shared" si="14"/>
        <v>14.527274616423808</v>
      </c>
      <c r="F37" s="14">
        <f t="shared" si="14"/>
        <v>3.049111626779315</v>
      </c>
      <c r="G37" s="19">
        <f t="shared" si="14"/>
        <v>-7.7839157690575265</v>
      </c>
      <c r="H37" s="19">
        <f t="shared" si="14"/>
        <v>-35.859307219164904</v>
      </c>
      <c r="I37" s="19">
        <f t="shared" si="14"/>
        <v>-5.7172845827184542</v>
      </c>
      <c r="J37" s="19">
        <f t="shared" si="14"/>
        <v>-41.132140813683833</v>
      </c>
      <c r="K37" s="19">
        <f t="shared" si="14"/>
        <v>-11.965495438533218</v>
      </c>
      <c r="L37" s="14">
        <f t="shared" si="14"/>
        <v>78.629509281824596</v>
      </c>
      <c r="M37" s="14"/>
    </row>
    <row r="38" spans="1:13">
      <c r="B38" s="22" t="s">
        <v>102</v>
      </c>
      <c r="C38" s="14"/>
      <c r="D38" s="12">
        <f>IFERROR(D37/C37-1,0)</f>
        <v>3.189614936502605E-2</v>
      </c>
      <c r="E38" s="12">
        <f t="shared" ref="E38:L38" si="15">IFERROR(E37/D37-1,0)</f>
        <v>-0.69540950134463697</v>
      </c>
      <c r="F38" s="12">
        <f t="shared" si="15"/>
        <v>-0.79011124197155724</v>
      </c>
      <c r="G38" s="12">
        <f t="shared" si="15"/>
        <v>-3.5528470983790919</v>
      </c>
      <c r="H38" s="12">
        <f t="shared" si="15"/>
        <v>3.6068467700681115</v>
      </c>
      <c r="I38" s="12">
        <f t="shared" si="15"/>
        <v>-0.84056344011958861</v>
      </c>
      <c r="J38" s="12">
        <f t="shared" si="15"/>
        <v>6.194349033807641</v>
      </c>
      <c r="K38" s="12">
        <f t="shared" si="15"/>
        <v>-0.70909621522659627</v>
      </c>
      <c r="L38" s="12">
        <f t="shared" si="15"/>
        <v>-7.5713542482001346</v>
      </c>
      <c r="M38" s="14"/>
    </row>
    <row r="40" spans="1:13">
      <c r="B40" t="s">
        <v>101</v>
      </c>
      <c r="D40" s="14">
        <f>IFERROR('Data Sheet'!C31/HistoricalFS!D35,0)</f>
        <v>0.23524522028262676</v>
      </c>
      <c r="E40" s="14">
        <f>IFERROR('Data Sheet'!D31/HistoricalFS!E35,0)</f>
        <v>0</v>
      </c>
      <c r="F40" s="14">
        <f>IFERROR('Data Sheet'!E31/HistoricalFS!F35,0)</f>
        <v>0</v>
      </c>
      <c r="G40" s="14">
        <f>IFERROR('Data Sheet'!F31/HistoricalFS!G35,0)</f>
        <v>0</v>
      </c>
      <c r="H40" s="14">
        <f>IFERROR('Data Sheet'!G31/HistoricalFS!H35,0)</f>
        <v>0</v>
      </c>
      <c r="I40" s="14">
        <f>IFERROR('Data Sheet'!H31/HistoricalFS!I35,0)</f>
        <v>0</v>
      </c>
      <c r="J40" s="14">
        <f>IFERROR('Data Sheet'!I31/HistoricalFS!J35,0)</f>
        <v>0</v>
      </c>
      <c r="K40" s="14">
        <f>IFERROR('Data Sheet'!J31/HistoricalFS!K35,0)</f>
        <v>2.3063860536536898</v>
      </c>
      <c r="L40" s="14">
        <f>IFERROR('Data Sheet'!K31/HistoricalFS!L35,0)</f>
        <v>6.9184944489574871</v>
      </c>
    </row>
    <row r="41" spans="1:13">
      <c r="B41" s="21" t="s">
        <v>103</v>
      </c>
      <c r="C41" s="21"/>
      <c r="D41" s="12">
        <f>IFERROR(D40/D37,0)</f>
        <v>4.9323400874633563E-3</v>
      </c>
      <c r="E41" s="12">
        <f t="shared" ref="E41:L41" si="16">IFERROR(E40/E37,0)</f>
        <v>0</v>
      </c>
      <c r="F41" s="12">
        <f t="shared" si="16"/>
        <v>0</v>
      </c>
      <c r="G41" s="12">
        <f t="shared" si="16"/>
        <v>0</v>
      </c>
      <c r="H41" s="12">
        <f t="shared" si="16"/>
        <v>0</v>
      </c>
      <c r="I41" s="12">
        <f t="shared" si="16"/>
        <v>0</v>
      </c>
      <c r="J41" s="12">
        <f t="shared" si="16"/>
        <v>0</v>
      </c>
      <c r="K41" s="12">
        <f t="shared" si="16"/>
        <v>-0.19275307616818721</v>
      </c>
      <c r="L41" s="12">
        <f t="shared" si="16"/>
        <v>8.7988523801670396E-2</v>
      </c>
    </row>
    <row r="43" spans="1:13">
      <c r="B43" t="s">
        <v>104</v>
      </c>
      <c r="C43" s="16"/>
      <c r="D43" s="32">
        <f>IFERROR(1-D41,0)</f>
        <v>0.99506765991253665</v>
      </c>
      <c r="E43" s="32">
        <f t="shared" ref="E43:L43" si="17">IFERROR(1-E41,0)</f>
        <v>1</v>
      </c>
      <c r="F43" s="32">
        <f t="shared" si="17"/>
        <v>1</v>
      </c>
      <c r="G43" s="32">
        <f t="shared" si="17"/>
        <v>1</v>
      </c>
      <c r="H43" s="32">
        <f t="shared" si="17"/>
        <v>1</v>
      </c>
      <c r="I43" s="32">
        <f t="shared" si="17"/>
        <v>1</v>
      </c>
      <c r="J43" s="32">
        <f t="shared" si="17"/>
        <v>1</v>
      </c>
      <c r="K43" s="32">
        <f t="shared" si="17"/>
        <v>1.1927530761681873</v>
      </c>
      <c r="L43" s="32">
        <f t="shared" si="17"/>
        <v>0.91201147619832956</v>
      </c>
      <c r="M43" s="14"/>
    </row>
    <row r="45" spans="1:13">
      <c r="A45" t="s">
        <v>88</v>
      </c>
      <c r="B45" s="18" t="s">
        <v>108</v>
      </c>
      <c r="C45" s="18"/>
      <c r="D45" s="18"/>
      <c r="E45" s="18"/>
      <c r="F45" s="18"/>
      <c r="G45" s="18"/>
      <c r="H45" s="18"/>
      <c r="I45" s="18"/>
      <c r="J45" s="18"/>
      <c r="K45" s="18"/>
      <c r="L45" s="18"/>
      <c r="M45" s="18"/>
    </row>
    <row r="46" spans="1:13">
      <c r="B46" s="3" t="s">
        <v>10</v>
      </c>
      <c r="C46" s="14">
        <f>IFERROR('Data Sheet'!B57,0)</f>
        <v>643.78</v>
      </c>
      <c r="D46" s="14">
        <f>IFERROR('Data Sheet'!C57,0)</f>
        <v>679.18</v>
      </c>
      <c r="E46" s="14">
        <f>IFERROR('Data Sheet'!D57,0)</f>
        <v>679.22</v>
      </c>
      <c r="F46" s="14">
        <f>IFERROR('Data Sheet'!E57,0)</f>
        <v>679.22</v>
      </c>
      <c r="G46" s="14">
        <f>IFERROR('Data Sheet'!F57,0)</f>
        <v>679.22</v>
      </c>
      <c r="H46" s="14">
        <f>IFERROR('Data Sheet'!G57,0)</f>
        <v>719.54</v>
      </c>
      <c r="I46" s="14">
        <f>IFERROR('Data Sheet'!H57,0)</f>
        <v>765.81</v>
      </c>
      <c r="J46" s="14">
        <f>IFERROR('Data Sheet'!I57,0)</f>
        <v>765.88</v>
      </c>
      <c r="K46" s="14">
        <f>IFERROR('Data Sheet'!J57,0)</f>
        <v>766.02</v>
      </c>
      <c r="L46" s="14">
        <f>IFERROR('Data Sheet'!K57,0)</f>
        <v>766.5</v>
      </c>
    </row>
    <row r="47" spans="1:13">
      <c r="B47" s="3" t="s">
        <v>11</v>
      </c>
      <c r="C47" s="14">
        <f>IFERROR('Data Sheet'!B58,0)</f>
        <v>55618.14</v>
      </c>
      <c r="D47" s="14">
        <f>IFERROR('Data Sheet'!C58,0)</f>
        <v>78273.23</v>
      </c>
      <c r="E47" s="14">
        <f>IFERROR('Data Sheet'!D58,0)</f>
        <v>57382.67</v>
      </c>
      <c r="F47" s="14">
        <f>IFERROR('Data Sheet'!E58,0)</f>
        <v>94748.69</v>
      </c>
      <c r="G47" s="14">
        <f>IFERROR('Data Sheet'!F58,0)</f>
        <v>59500.34</v>
      </c>
      <c r="H47" s="14">
        <f>IFERROR('Data Sheet'!G58,0)</f>
        <v>62358.99</v>
      </c>
      <c r="I47" s="14">
        <f>IFERROR('Data Sheet'!H58,0)</f>
        <v>54480.91</v>
      </c>
      <c r="J47" s="14">
        <f>IFERROR('Data Sheet'!I58,0)</f>
        <v>43795.360000000001</v>
      </c>
      <c r="K47" s="14">
        <f>IFERROR('Data Sheet'!J58,0)</f>
        <v>44555.77</v>
      </c>
      <c r="L47" s="14">
        <f>IFERROR('Data Sheet'!K58,0)</f>
        <v>84151.52</v>
      </c>
    </row>
    <row r="48" spans="1:13">
      <c r="B48" s="3" t="s">
        <v>35</v>
      </c>
      <c r="C48" s="14">
        <f>IFERROR('Data Sheet'!B59,0)</f>
        <v>73610.39</v>
      </c>
      <c r="D48" s="14">
        <f>IFERROR('Data Sheet'!C59,0)</f>
        <v>69359.960000000006</v>
      </c>
      <c r="E48" s="14">
        <f>IFERROR('Data Sheet'!D59,0)</f>
        <v>78603.98</v>
      </c>
      <c r="F48" s="14">
        <f>IFERROR('Data Sheet'!E59,0)</f>
        <v>88950.47</v>
      </c>
      <c r="G48" s="14">
        <f>IFERROR('Data Sheet'!F59,0)</f>
        <v>106175.34</v>
      </c>
      <c r="H48" s="14">
        <f>IFERROR('Data Sheet'!G59,0)</f>
        <v>124787.64</v>
      </c>
      <c r="I48" s="14">
        <f>IFERROR('Data Sheet'!H59,0)</f>
        <v>142130.57</v>
      </c>
      <c r="J48" s="14">
        <f>IFERROR('Data Sheet'!I59,0)</f>
        <v>146449.03</v>
      </c>
      <c r="K48" s="14">
        <f>IFERROR('Data Sheet'!J59,0)</f>
        <v>134113.44</v>
      </c>
      <c r="L48" s="14">
        <f>IFERROR('Data Sheet'!K59,0)</f>
        <v>107262.5</v>
      </c>
    </row>
    <row r="49" spans="2:12">
      <c r="B49" s="3" t="s">
        <v>36</v>
      </c>
      <c r="C49" s="14">
        <f>IFERROR('Data Sheet'!B60,0)</f>
        <v>107442.48</v>
      </c>
      <c r="D49" s="14">
        <f>IFERROR('Data Sheet'!C60,0)</f>
        <v>114871.75</v>
      </c>
      <c r="E49" s="14">
        <f>IFERROR('Data Sheet'!D60,0)</f>
        <v>135914.49</v>
      </c>
      <c r="F49" s="14">
        <f>IFERROR('Data Sheet'!E60,0)</f>
        <v>142813.43</v>
      </c>
      <c r="G49" s="14">
        <f>IFERROR('Data Sheet'!F60,0)</f>
        <v>139348.59</v>
      </c>
      <c r="H49" s="14">
        <f>IFERROR('Data Sheet'!G60,0)</f>
        <v>132313.22</v>
      </c>
      <c r="I49" s="14">
        <f>IFERROR('Data Sheet'!H60,0)</f>
        <v>144192.62</v>
      </c>
      <c r="J49" s="14">
        <f>IFERROR('Data Sheet'!I60,0)</f>
        <v>138051.22</v>
      </c>
      <c r="K49" s="14">
        <f>IFERROR('Data Sheet'!J60,0)</f>
        <v>155239.20000000001</v>
      </c>
      <c r="L49" s="14">
        <f>IFERROR('Data Sheet'!K60,0)</f>
        <v>177340.09</v>
      </c>
    </row>
    <row r="50" spans="2:12">
      <c r="B50" s="27" t="s">
        <v>109</v>
      </c>
      <c r="C50" s="28">
        <f>IFERROR('Data Sheet'!B61,0)</f>
        <v>237314.79</v>
      </c>
      <c r="D50" s="28">
        <f>IFERROR('Data Sheet'!C61,0)</f>
        <v>263184.12</v>
      </c>
      <c r="E50" s="28">
        <f>IFERROR('Data Sheet'!D61,0)</f>
        <v>272580.36</v>
      </c>
      <c r="F50" s="28">
        <f>IFERROR('Data Sheet'!E61,0)</f>
        <v>327191.81</v>
      </c>
      <c r="G50" s="28">
        <f>IFERROR('Data Sheet'!F61,0)</f>
        <v>305703.49</v>
      </c>
      <c r="H50" s="28">
        <f>IFERROR('Data Sheet'!G61,0)</f>
        <v>320179.39</v>
      </c>
      <c r="I50" s="28">
        <f>IFERROR('Data Sheet'!H61,0)</f>
        <v>341569.91</v>
      </c>
      <c r="J50" s="28">
        <f>IFERROR('Data Sheet'!I61,0)</f>
        <v>329061.49</v>
      </c>
      <c r="K50" s="28">
        <f>IFERROR('Data Sheet'!J61,0)</f>
        <v>334674.43</v>
      </c>
      <c r="L50" s="28">
        <f>IFERROR('Data Sheet'!K61,0)</f>
        <v>369520.61</v>
      </c>
    </row>
    <row r="51" spans="2:12">
      <c r="B51" s="1"/>
    </row>
    <row r="52" spans="2:12">
      <c r="B52" s="3" t="s">
        <v>110</v>
      </c>
      <c r="C52" s="14">
        <f>'Data Sheet'!B62</f>
        <v>88479.49</v>
      </c>
      <c r="D52" s="14">
        <f>'Data Sheet'!C62</f>
        <v>107231.76</v>
      </c>
      <c r="E52" s="14">
        <f>'Data Sheet'!D62</f>
        <v>95944.08</v>
      </c>
      <c r="F52" s="14">
        <f>'Data Sheet'!E62</f>
        <v>121413.86</v>
      </c>
      <c r="G52" s="14">
        <f>'Data Sheet'!F62</f>
        <v>111234.47</v>
      </c>
      <c r="H52" s="14">
        <f>'Data Sheet'!G62</f>
        <v>127107.14</v>
      </c>
      <c r="I52" s="14">
        <f>'Data Sheet'!H62</f>
        <v>138707.60999999999</v>
      </c>
      <c r="J52" s="14">
        <f>'Data Sheet'!I62</f>
        <v>138855.45000000001</v>
      </c>
      <c r="K52" s="14">
        <f>'Data Sheet'!J62</f>
        <v>132079.76</v>
      </c>
      <c r="L52" s="14">
        <f>'Data Sheet'!K62</f>
        <v>121285.46</v>
      </c>
    </row>
    <row r="53" spans="2:12">
      <c r="B53" s="3" t="s">
        <v>14</v>
      </c>
      <c r="C53" s="14">
        <f>'Data Sheet'!B63</f>
        <v>28640.09</v>
      </c>
      <c r="D53" s="14">
        <f>'Data Sheet'!C63</f>
        <v>25918.94</v>
      </c>
      <c r="E53" s="14">
        <f>'Data Sheet'!D63</f>
        <v>33698.839999999997</v>
      </c>
      <c r="F53" s="14">
        <f>'Data Sheet'!E63</f>
        <v>40033.5</v>
      </c>
      <c r="G53" s="14">
        <f>'Data Sheet'!F63</f>
        <v>31883.84</v>
      </c>
      <c r="H53" s="14">
        <f>'Data Sheet'!G63</f>
        <v>35622.29</v>
      </c>
      <c r="I53" s="14">
        <f>'Data Sheet'!H63</f>
        <v>20963.93</v>
      </c>
      <c r="J53" s="14">
        <f>'Data Sheet'!I63</f>
        <v>10251.09</v>
      </c>
      <c r="K53" s="14">
        <f>'Data Sheet'!J63</f>
        <v>14274.5</v>
      </c>
      <c r="L53" s="14">
        <f>'Data Sheet'!K63</f>
        <v>35698.43</v>
      </c>
    </row>
    <row r="54" spans="2:12">
      <c r="B54" s="3" t="s">
        <v>15</v>
      </c>
      <c r="C54" s="14">
        <f>'Data Sheet'!B64</f>
        <v>15336.74</v>
      </c>
      <c r="D54" s="14">
        <f>'Data Sheet'!C64</f>
        <v>23767.02</v>
      </c>
      <c r="E54" s="14">
        <f>'Data Sheet'!D64</f>
        <v>20337.919999999998</v>
      </c>
      <c r="F54" s="14">
        <f>'Data Sheet'!E64</f>
        <v>20812.75</v>
      </c>
      <c r="G54" s="14">
        <f>'Data Sheet'!F64</f>
        <v>15770.72</v>
      </c>
      <c r="H54" s="14">
        <f>'Data Sheet'!G64</f>
        <v>16308.48</v>
      </c>
      <c r="I54" s="14">
        <f>'Data Sheet'!H64</f>
        <v>24620.28</v>
      </c>
      <c r="J54" s="14">
        <f>'Data Sheet'!I64</f>
        <v>29379.53</v>
      </c>
      <c r="K54" s="14">
        <f>'Data Sheet'!J64</f>
        <v>26379.16</v>
      </c>
      <c r="L54" s="14">
        <f>'Data Sheet'!K64</f>
        <v>22971.07</v>
      </c>
    </row>
    <row r="55" spans="2:12">
      <c r="B55" s="3" t="s">
        <v>37</v>
      </c>
      <c r="C55" s="14">
        <f>IFERROR('Data Sheet'!B65-SUM('Data Sheet'!B67:B69),0)</f>
        <v>30891.17</v>
      </c>
      <c r="D55" s="14">
        <f>IFERROR('Data Sheet'!C65-SUM('Data Sheet'!C67:C69),0)</f>
        <v>29579.359999999986</v>
      </c>
      <c r="E55" s="14">
        <f>IFERROR('Data Sheet'!D65-SUM('Data Sheet'!D67:D69),0)</f>
        <v>37360.780000000013</v>
      </c>
      <c r="F55" s="14">
        <f>IFERROR('Data Sheet'!E65-SUM('Data Sheet'!E67:E69),0)</f>
        <v>48286.860000000015</v>
      </c>
      <c r="G55" s="14">
        <f>IFERROR('Data Sheet'!F65-SUM('Data Sheet'!F67:F69),0)</f>
        <v>56155.739999999991</v>
      </c>
      <c r="H55" s="14">
        <f>IFERROR('Data Sheet'!G65-SUM('Data Sheet'!G67:G69),0)</f>
        <v>58784.94</v>
      </c>
      <c r="I55" s="14">
        <f>IFERROR('Data Sheet'!H65-SUM('Data Sheet'!H67:H69),0)</f>
        <v>61717.959999999992</v>
      </c>
      <c r="J55" s="14">
        <f>IFERROR('Data Sheet'!I65-SUM('Data Sheet'!I67:I69),0)</f>
        <v>62223.770000000019</v>
      </c>
      <c r="K55" s="14">
        <f>IFERROR('Data Sheet'!J65-SUM('Data Sheet'!J67:J69),0)</f>
        <v>68432.090000000011</v>
      </c>
      <c r="L55" s="14">
        <f>IFERROR('Data Sheet'!K65-SUM('Data Sheet'!K67:K69),0)</f>
        <v>79018.859999999986</v>
      </c>
    </row>
    <row r="56" spans="2:12">
      <c r="B56" s="27" t="s">
        <v>111</v>
      </c>
      <c r="C56" s="28">
        <f>IFERROR(SUM(C52:C55),0)</f>
        <v>163347.49</v>
      </c>
      <c r="D56" s="28">
        <f t="shared" ref="D56:L56" si="18">IFERROR(SUM(D52:D55),0)</f>
        <v>186497.07999999996</v>
      </c>
      <c r="E56" s="28">
        <f t="shared" si="18"/>
        <v>187341.62</v>
      </c>
      <c r="F56" s="28">
        <f t="shared" si="18"/>
        <v>230546.97</v>
      </c>
      <c r="G56" s="28">
        <f t="shared" si="18"/>
        <v>215044.77</v>
      </c>
      <c r="H56" s="28">
        <f t="shared" si="18"/>
        <v>237822.85</v>
      </c>
      <c r="I56" s="28">
        <f t="shared" si="18"/>
        <v>246009.77999999997</v>
      </c>
      <c r="J56" s="28">
        <f t="shared" si="18"/>
        <v>240709.84000000003</v>
      </c>
      <c r="K56" s="28">
        <f t="shared" si="18"/>
        <v>241165.51</v>
      </c>
      <c r="L56" s="28">
        <f t="shared" si="18"/>
        <v>258973.82</v>
      </c>
    </row>
    <row r="57" spans="2:12">
      <c r="B57" s="1"/>
      <c r="C57" s="14"/>
      <c r="D57" s="14"/>
      <c r="E57" s="14"/>
      <c r="F57" s="14"/>
      <c r="G57" s="14"/>
      <c r="H57" s="14"/>
      <c r="I57" s="14"/>
      <c r="J57" s="14"/>
      <c r="K57" s="14"/>
      <c r="L57" s="14"/>
    </row>
    <row r="58" spans="2:12">
      <c r="B58" s="3" t="s">
        <v>42</v>
      </c>
      <c r="C58" s="14">
        <f>'Data Sheet'!B67</f>
        <v>12579.2</v>
      </c>
      <c r="D58" s="14">
        <f>'Data Sheet'!C67</f>
        <v>13570.91</v>
      </c>
      <c r="E58" s="14">
        <f>'Data Sheet'!D67</f>
        <v>14075.55</v>
      </c>
      <c r="F58" s="14">
        <f>'Data Sheet'!E67</f>
        <v>19893.3</v>
      </c>
      <c r="G58" s="14">
        <f>'Data Sheet'!F67</f>
        <v>18996.169999999998</v>
      </c>
      <c r="H58" s="14">
        <f>'Data Sheet'!G67</f>
        <v>11172.69</v>
      </c>
      <c r="I58" s="14">
        <f>'Data Sheet'!H67</f>
        <v>12679.08</v>
      </c>
      <c r="J58" s="14">
        <f>'Data Sheet'!I67</f>
        <v>12442.12</v>
      </c>
      <c r="K58" s="14">
        <f>'Data Sheet'!J67</f>
        <v>15737.97</v>
      </c>
      <c r="L58" s="14">
        <f>'Data Sheet'!K67</f>
        <v>16951.810000000001</v>
      </c>
    </row>
    <row r="59" spans="2:12">
      <c r="B59" s="3" t="s">
        <v>29</v>
      </c>
      <c r="C59" s="14">
        <f>'Data Sheet'!B68</f>
        <v>29272.34</v>
      </c>
      <c r="D59" s="14">
        <f>'Data Sheet'!C68</f>
        <v>32655.73</v>
      </c>
      <c r="E59" s="14">
        <f>'Data Sheet'!D68</f>
        <v>35085.31</v>
      </c>
      <c r="F59" s="14">
        <f>'Data Sheet'!E68</f>
        <v>42137.63</v>
      </c>
      <c r="G59" s="14">
        <f>'Data Sheet'!F68</f>
        <v>39013.730000000003</v>
      </c>
      <c r="H59" s="14">
        <f>'Data Sheet'!G68</f>
        <v>37456.879999999997</v>
      </c>
      <c r="I59" s="14">
        <f>'Data Sheet'!H68</f>
        <v>36088.589999999997</v>
      </c>
      <c r="J59" s="14">
        <f>'Data Sheet'!I68</f>
        <v>35240.339999999997</v>
      </c>
      <c r="K59" s="14">
        <f>'Data Sheet'!J68</f>
        <v>40755.39</v>
      </c>
      <c r="L59" s="14">
        <f>'Data Sheet'!K68</f>
        <v>47788.29</v>
      </c>
    </row>
    <row r="60" spans="2:12">
      <c r="B60" s="2" t="s">
        <v>51</v>
      </c>
      <c r="C60" s="14">
        <f>'Data Sheet'!B69</f>
        <v>32115.759999999998</v>
      </c>
      <c r="D60" s="14">
        <f>'Data Sheet'!C69</f>
        <v>30460.400000000001</v>
      </c>
      <c r="E60" s="14">
        <f>'Data Sheet'!D69</f>
        <v>36077.879999999997</v>
      </c>
      <c r="F60" s="14">
        <f>'Data Sheet'!E69</f>
        <v>34613.910000000003</v>
      </c>
      <c r="G60" s="14">
        <f>'Data Sheet'!F69</f>
        <v>32648.82</v>
      </c>
      <c r="H60" s="14">
        <f>'Data Sheet'!G69</f>
        <v>33726.97</v>
      </c>
      <c r="I60" s="14">
        <f>'Data Sheet'!H69</f>
        <v>46792.46</v>
      </c>
      <c r="J60" s="14">
        <f>'Data Sheet'!I69</f>
        <v>40669.19</v>
      </c>
      <c r="K60" s="14">
        <f>'Data Sheet'!J69</f>
        <v>37015.56</v>
      </c>
      <c r="L60" s="14">
        <f>'Data Sheet'!K69</f>
        <v>45806.69</v>
      </c>
    </row>
    <row r="61" spans="2:12">
      <c r="B61" s="13" t="s">
        <v>112</v>
      </c>
      <c r="C61" s="24">
        <f>IFERROR(SUM(C58:C60),D61)</f>
        <v>73967.3</v>
      </c>
      <c r="D61" s="24">
        <f t="shared" ref="D61:L61" si="19">IFERROR(SUM(D58:D60),E61)</f>
        <v>76687.040000000008</v>
      </c>
      <c r="E61" s="24">
        <f t="shared" si="19"/>
        <v>85238.739999999991</v>
      </c>
      <c r="F61" s="24">
        <f t="shared" si="19"/>
        <v>96644.84</v>
      </c>
      <c r="G61" s="24">
        <f t="shared" si="19"/>
        <v>90658.72</v>
      </c>
      <c r="H61" s="24">
        <f t="shared" si="19"/>
        <v>82356.540000000008</v>
      </c>
      <c r="I61" s="24">
        <f t="shared" si="19"/>
        <v>95560.13</v>
      </c>
      <c r="J61" s="24">
        <f t="shared" si="19"/>
        <v>88351.65</v>
      </c>
      <c r="K61" s="24">
        <f t="shared" si="19"/>
        <v>93508.92</v>
      </c>
      <c r="L61" s="24">
        <f t="shared" si="19"/>
        <v>110546.79000000001</v>
      </c>
    </row>
    <row r="63" spans="2:12">
      <c r="B63" s="29" t="s">
        <v>113</v>
      </c>
      <c r="C63" s="28">
        <f>C56+C61</f>
        <v>237314.78999999998</v>
      </c>
      <c r="D63" s="28">
        <f t="shared" ref="D63:L63" si="20">D56+D61</f>
        <v>263184.12</v>
      </c>
      <c r="E63" s="28">
        <f t="shared" si="20"/>
        <v>272580.36</v>
      </c>
      <c r="F63" s="28">
        <f t="shared" si="20"/>
        <v>327191.81</v>
      </c>
      <c r="G63" s="28">
        <f t="shared" si="20"/>
        <v>305703.49</v>
      </c>
      <c r="H63" s="28">
        <f t="shared" si="20"/>
        <v>320179.39</v>
      </c>
      <c r="I63" s="28">
        <f t="shared" si="20"/>
        <v>341569.91</v>
      </c>
      <c r="J63" s="28">
        <f t="shared" si="20"/>
        <v>329061.49</v>
      </c>
      <c r="K63" s="28">
        <f t="shared" si="20"/>
        <v>334674.43</v>
      </c>
      <c r="L63" s="28">
        <f t="shared" si="20"/>
        <v>369520.61</v>
      </c>
    </row>
    <row r="65" spans="1:13">
      <c r="B65" s="15" t="s">
        <v>116</v>
      </c>
      <c r="C65" s="15" t="b">
        <f>C63=C50</f>
        <v>1</v>
      </c>
      <c r="D65" s="15" t="b">
        <f t="shared" ref="D65:L65" si="21">D63=D50</f>
        <v>1</v>
      </c>
      <c r="E65" s="15" t="b">
        <f t="shared" si="21"/>
        <v>1</v>
      </c>
      <c r="F65" s="15" t="b">
        <f t="shared" si="21"/>
        <v>1</v>
      </c>
      <c r="G65" s="15" t="b">
        <f t="shared" si="21"/>
        <v>1</v>
      </c>
      <c r="H65" s="15" t="b">
        <f t="shared" si="21"/>
        <v>1</v>
      </c>
      <c r="I65" s="15" t="b">
        <f t="shared" si="21"/>
        <v>1</v>
      </c>
      <c r="J65" s="15" t="b">
        <f t="shared" si="21"/>
        <v>1</v>
      </c>
      <c r="K65" s="15" t="b">
        <f t="shared" si="21"/>
        <v>1</v>
      </c>
      <c r="L65" s="15" t="b">
        <f t="shared" si="21"/>
        <v>1</v>
      </c>
    </row>
    <row r="67" spans="1:13">
      <c r="A67" t="s">
        <v>88</v>
      </c>
      <c r="B67" s="18" t="s">
        <v>146</v>
      </c>
      <c r="C67" s="18"/>
      <c r="D67" s="18"/>
      <c r="E67" s="18"/>
      <c r="F67" s="18"/>
      <c r="G67" s="18"/>
      <c r="H67" s="18"/>
      <c r="I67" s="18"/>
      <c r="J67" s="18"/>
      <c r="K67" s="18"/>
      <c r="L67" s="18"/>
      <c r="M67" s="18"/>
    </row>
    <row r="68" spans="1:13">
      <c r="B68" s="13" t="s">
        <v>147</v>
      </c>
      <c r="C68" s="26"/>
      <c r="D68" s="26"/>
      <c r="E68" s="26"/>
      <c r="F68" s="26"/>
      <c r="G68" s="26"/>
      <c r="H68" s="26"/>
      <c r="I68" s="26"/>
      <c r="J68" s="26"/>
      <c r="K68" s="26"/>
      <c r="L68" s="26"/>
    </row>
    <row r="69" spans="1:13">
      <c r="B69" t="str">
        <f>'cashflow Statement brought '!B5</f>
        <v>Profit from operations</v>
      </c>
      <c r="C69" s="26">
        <f>'cashflow Statement brought '!C5</f>
        <v>43397</v>
      </c>
      <c r="D69" s="26">
        <f>'cashflow Statement brought '!D5</f>
        <v>38626</v>
      </c>
      <c r="E69" s="26">
        <f>'cashflow Statement brought '!E5</f>
        <v>28840</v>
      </c>
      <c r="F69" s="26">
        <f>'cashflow Statement brought '!F5</f>
        <v>33312</v>
      </c>
      <c r="G69" s="26">
        <f>'cashflow Statement brought '!G5</f>
        <v>28771</v>
      </c>
      <c r="H69" s="26">
        <f>'cashflow Statement brought '!H5</f>
        <v>23352</v>
      </c>
      <c r="I69" s="26">
        <f>'cashflow Statement brought '!I5</f>
        <v>31198</v>
      </c>
      <c r="J69" s="26">
        <f>'cashflow Statement brought '!J5</f>
        <v>26943</v>
      </c>
      <c r="K69" s="26">
        <f>'cashflow Statement brought '!K5</f>
        <v>41694</v>
      </c>
      <c r="L69" s="26">
        <f>'cashflow Statement brought '!L5</f>
        <v>65106</v>
      </c>
    </row>
    <row r="70" spans="1:13">
      <c r="B70" t="str">
        <f>'cashflow Statement brought '!B6</f>
        <v>Receivables</v>
      </c>
      <c r="C70" s="26">
        <f>'cashflow Statement brought '!C6</f>
        <v>-3179</v>
      </c>
      <c r="D70" s="26">
        <f>'cashflow Statement brought '!D6</f>
        <v>-2223</v>
      </c>
      <c r="E70" s="26">
        <f>'cashflow Statement brought '!E6</f>
        <v>-4152</v>
      </c>
      <c r="F70" s="26">
        <f>'cashflow Statement brought '!F6</f>
        <v>-10688</v>
      </c>
      <c r="G70" s="26">
        <f>'cashflow Statement brought '!G6</f>
        <v>-9109</v>
      </c>
      <c r="H70" s="26">
        <f>'cashflow Statement brought '!H6</f>
        <v>9950</v>
      </c>
      <c r="I70" s="26">
        <f>'cashflow Statement brought '!I6</f>
        <v>-5505</v>
      </c>
      <c r="J70" s="26">
        <f>'cashflow Statement brought '!J6</f>
        <v>185</v>
      </c>
      <c r="K70" s="26">
        <f>'cashflow Statement brought '!K6</f>
        <v>-2213</v>
      </c>
      <c r="L70" s="26">
        <f>'cashflow Statement brought '!L6</f>
        <v>-1875</v>
      </c>
    </row>
    <row r="71" spans="1:13">
      <c r="B71" t="str">
        <f>'cashflow Statement brought '!B7</f>
        <v>Inventory</v>
      </c>
      <c r="C71" s="26">
        <f>'cashflow Statement brought '!C7</f>
        <v>-3692</v>
      </c>
      <c r="D71" s="26">
        <f>'cashflow Statement brought '!D7</f>
        <v>-5743</v>
      </c>
      <c r="E71" s="26">
        <f>'cashflow Statement brought '!E7</f>
        <v>-6621</v>
      </c>
      <c r="F71" s="26">
        <f>'cashflow Statement brought '!F7</f>
        <v>-3560</v>
      </c>
      <c r="G71" s="26">
        <f>'cashflow Statement brought '!G7</f>
        <v>2069</v>
      </c>
      <c r="H71" s="26">
        <f>'cashflow Statement brought '!H7</f>
        <v>2326</v>
      </c>
      <c r="I71" s="26">
        <f>'cashflow Statement brought '!I7</f>
        <v>3814</v>
      </c>
      <c r="J71" s="26">
        <f>'cashflow Statement brought '!J7</f>
        <v>472</v>
      </c>
      <c r="K71" s="26">
        <f>'cashflow Statement brought '!K7</f>
        <v>-5665</v>
      </c>
      <c r="L71" s="26">
        <f>'cashflow Statement brought '!L7</f>
        <v>-7265</v>
      </c>
    </row>
    <row r="72" spans="1:13">
      <c r="B72" t="str">
        <f>'cashflow Statement brought '!B8</f>
        <v>Payables</v>
      </c>
      <c r="C72" s="26">
        <f>'cashflow Statement brought '!C8</f>
        <v>3598</v>
      </c>
      <c r="D72" s="26">
        <f>'cashflow Statement brought '!D8</f>
        <v>3947</v>
      </c>
      <c r="E72" s="26">
        <f>'cashflow Statement brought '!E8</f>
        <v>9301</v>
      </c>
      <c r="F72" s="26">
        <f>'cashflow Statement brought '!F8</f>
        <v>7320</v>
      </c>
      <c r="G72" s="26">
        <f>'cashflow Statement brought '!G8</f>
        <v>-4692</v>
      </c>
      <c r="H72" s="26">
        <f>'cashflow Statement brought '!H8</f>
        <v>-8085</v>
      </c>
      <c r="I72" s="26">
        <f>'cashflow Statement brought '!I8</f>
        <v>5748</v>
      </c>
      <c r="J72" s="26">
        <f>'cashflow Statement brought '!J8</f>
        <v>-7012</v>
      </c>
      <c r="K72" s="26">
        <f>'cashflow Statement brought '!K8</f>
        <v>6945</v>
      </c>
      <c r="L72" s="26">
        <f>'cashflow Statement brought '!L8</f>
        <v>13706</v>
      </c>
    </row>
    <row r="73" spans="1:13">
      <c r="B73" t="str">
        <f>'cashflow Statement brought '!B9</f>
        <v>Loans Advances</v>
      </c>
      <c r="C73" s="26">
        <f>'cashflow Statement brought '!C9</f>
        <v>0</v>
      </c>
      <c r="D73" s="26">
        <f>'cashflow Statement brought '!D9</f>
        <v>-520</v>
      </c>
      <c r="E73" s="26">
        <f>'cashflow Statement brought '!E9</f>
        <v>0</v>
      </c>
      <c r="F73" s="26">
        <f>'cashflow Statement brought '!F9</f>
        <v>0</v>
      </c>
      <c r="G73" s="26">
        <f>'cashflow Statement brought '!G9</f>
        <v>0</v>
      </c>
      <c r="H73" s="26">
        <f>'cashflow Statement brought '!H9</f>
        <v>0</v>
      </c>
      <c r="I73" s="26">
        <f>'cashflow Statement brought '!I9</f>
        <v>0</v>
      </c>
      <c r="J73" s="26">
        <f>'cashflow Statement brought '!J9</f>
        <v>0</v>
      </c>
      <c r="K73" s="26">
        <f>'cashflow Statement brought '!K9</f>
        <v>0</v>
      </c>
      <c r="L73" s="26">
        <f>'cashflow Statement brought '!L9</f>
        <v>0</v>
      </c>
    </row>
    <row r="74" spans="1:13">
      <c r="B74" t="str">
        <f>'cashflow Statement brought '!B10</f>
        <v>Other WC items</v>
      </c>
      <c r="C74" s="26">
        <f>'cashflow Statement brought '!C10</f>
        <v>-398</v>
      </c>
      <c r="D74" s="26">
        <f>'cashflow Statement brought '!D10</f>
        <v>5852</v>
      </c>
      <c r="E74" s="26">
        <f>'cashflow Statement brought '!E10</f>
        <v>4727</v>
      </c>
      <c r="F74" s="26">
        <f>'cashflow Statement brought '!F10</f>
        <v>494</v>
      </c>
      <c r="G74" s="26">
        <f>'cashflow Statement brought '!G10</f>
        <v>4512</v>
      </c>
      <c r="H74" s="26">
        <f>'cashflow Statement brought '!H10</f>
        <v>875</v>
      </c>
      <c r="I74" s="26">
        <f>'cashflow Statement brought '!I10</f>
        <v>-4150</v>
      </c>
      <c r="J74" s="26">
        <f>'cashflow Statement brought '!J10</f>
        <v>-4396</v>
      </c>
      <c r="K74" s="26">
        <f>'cashflow Statement brought '!K10</f>
        <v>-2194</v>
      </c>
      <c r="L74" s="26">
        <f>'cashflow Statement brought '!L10</f>
        <v>2760</v>
      </c>
    </row>
    <row r="75" spans="1:13">
      <c r="B75" t="str">
        <f>'cashflow Statement brought '!B11</f>
        <v>Working capital changes</v>
      </c>
      <c r="C75" s="26">
        <f>'cashflow Statement brought '!C11</f>
        <v>-3672</v>
      </c>
      <c r="D75" s="26">
        <f>'cashflow Statement brought '!D11</f>
        <v>1313</v>
      </c>
      <c r="E75" s="26">
        <f>'cashflow Statement brought '!E11</f>
        <v>3254</v>
      </c>
      <c r="F75" s="26">
        <f>'cashflow Statement brought '!F11</f>
        <v>-6434</v>
      </c>
      <c r="G75" s="26">
        <f>'cashflow Statement brought '!G11</f>
        <v>-7221</v>
      </c>
      <c r="H75" s="26">
        <f>'cashflow Statement brought '!H11</f>
        <v>5065</v>
      </c>
      <c r="I75" s="26">
        <f>'cashflow Statement brought '!I11</f>
        <v>-93</v>
      </c>
      <c r="J75" s="26">
        <f>'cashflow Statement brought '!J11</f>
        <v>-10750</v>
      </c>
      <c r="K75" s="26">
        <f>'cashflow Statement brought '!K11</f>
        <v>-3127</v>
      </c>
      <c r="L75" s="26">
        <f>'cashflow Statement brought '!L11</f>
        <v>7325</v>
      </c>
    </row>
    <row r="76" spans="1:13">
      <c r="B76" t="str">
        <f>'cashflow Statement brought '!B12</f>
        <v>Direct taxes</v>
      </c>
      <c r="C76" s="26">
        <f>'cashflow Statement brought '!C12</f>
        <v>-4194</v>
      </c>
      <c r="D76" s="26">
        <f>'cashflow Statement brought '!D12</f>
        <v>-2040</v>
      </c>
      <c r="E76" s="26">
        <f>'cashflow Statement brought '!E12</f>
        <v>-1895</v>
      </c>
      <c r="F76" s="26">
        <f>'cashflow Statement brought '!F12</f>
        <v>-3021</v>
      </c>
      <c r="G76" s="26">
        <f>'cashflow Statement brought '!G12</f>
        <v>-2659</v>
      </c>
      <c r="H76" s="26">
        <f>'cashflow Statement brought '!H12</f>
        <v>-1785</v>
      </c>
      <c r="I76" s="26">
        <f>'cashflow Statement brought '!I12</f>
        <v>-2105</v>
      </c>
      <c r="J76" s="26">
        <f>'cashflow Statement brought '!J12</f>
        <v>-1910</v>
      </c>
      <c r="K76" s="26">
        <f>'cashflow Statement brought '!K12</f>
        <v>-3179</v>
      </c>
      <c r="L76" s="26">
        <f>'cashflow Statement brought '!L12</f>
        <v>-4516</v>
      </c>
    </row>
    <row r="77" spans="1:13">
      <c r="B77" s="29" t="s">
        <v>151</v>
      </c>
      <c r="C77" s="30">
        <f>IFERROR(SUM(C69:C76),0)</f>
        <v>31860</v>
      </c>
      <c r="D77" s="30">
        <f t="shared" ref="D77:L77" si="22">IFERROR(SUM(D69:D76),0)</f>
        <v>39212</v>
      </c>
      <c r="E77" s="30">
        <f t="shared" si="22"/>
        <v>33454</v>
      </c>
      <c r="F77" s="30">
        <f t="shared" si="22"/>
        <v>17423</v>
      </c>
      <c r="G77" s="30">
        <f t="shared" si="22"/>
        <v>11671</v>
      </c>
      <c r="H77" s="30">
        <f t="shared" si="22"/>
        <v>31698</v>
      </c>
      <c r="I77" s="30">
        <f t="shared" si="22"/>
        <v>28907</v>
      </c>
      <c r="J77" s="30">
        <f t="shared" si="22"/>
        <v>3532</v>
      </c>
      <c r="K77" s="30">
        <f t="shared" si="22"/>
        <v>32261</v>
      </c>
      <c r="L77" s="30">
        <f t="shared" si="22"/>
        <v>75241</v>
      </c>
    </row>
    <row r="78" spans="1:13">
      <c r="C78" s="25"/>
      <c r="D78" s="25"/>
      <c r="E78" s="25"/>
      <c r="F78" s="25"/>
      <c r="G78" s="25"/>
      <c r="H78" s="25"/>
      <c r="I78" s="25"/>
      <c r="J78" s="25"/>
      <c r="K78" s="25"/>
      <c r="L78" s="25"/>
    </row>
    <row r="79" spans="1:13">
      <c r="B79" s="13" t="s">
        <v>152</v>
      </c>
    </row>
    <row r="80" spans="1:13">
      <c r="B80" t="str">
        <f>'cashflow Statement brought '!B14</f>
        <v>Fixed assets purchased</v>
      </c>
      <c r="C80" s="26">
        <f>'cashflow Statement brought '!C14</f>
        <v>-31962</v>
      </c>
      <c r="D80" s="26">
        <f>'cashflow Statement brought '!D14</f>
        <v>-31503</v>
      </c>
      <c r="E80" s="26">
        <f>'cashflow Statement brought '!E14</f>
        <v>-16072</v>
      </c>
      <c r="F80" s="26">
        <f>'cashflow Statement brought '!F14</f>
        <v>-35079</v>
      </c>
      <c r="G80" s="26">
        <f>'cashflow Statement brought '!G14</f>
        <v>-35304</v>
      </c>
      <c r="H80" s="26">
        <f>'cashflow Statement brought '!H14</f>
        <v>-29702</v>
      </c>
      <c r="I80" s="26">
        <f>'cashflow Statement brought '!I14</f>
        <v>-20205</v>
      </c>
      <c r="J80" s="26">
        <f>'cashflow Statement brought '!J14</f>
        <v>-15168</v>
      </c>
      <c r="K80" s="26">
        <f>'cashflow Statement brought '!K14</f>
        <v>-19230</v>
      </c>
      <c r="L80" s="26">
        <f>'cashflow Statement brought '!L14</f>
        <v>-31414</v>
      </c>
    </row>
    <row r="81" spans="2:12">
      <c r="B81" t="str">
        <f>'cashflow Statement brought '!B15</f>
        <v>Fixed assets sold</v>
      </c>
      <c r="C81" s="26">
        <f>'cashflow Statement brought '!C15</f>
        <v>74</v>
      </c>
      <c r="D81" s="26">
        <f>'cashflow Statement brought '!D15</f>
        <v>59</v>
      </c>
      <c r="E81" s="26">
        <f>'cashflow Statement brought '!E15</f>
        <v>53</v>
      </c>
      <c r="F81" s="26">
        <f>'cashflow Statement brought '!F15</f>
        <v>30</v>
      </c>
      <c r="G81" s="26">
        <f>'cashflow Statement brought '!G15</f>
        <v>67</v>
      </c>
      <c r="H81" s="26">
        <f>'cashflow Statement brought '!H15</f>
        <v>171</v>
      </c>
      <c r="I81" s="26">
        <f>'cashflow Statement brought '!I15</f>
        <v>351</v>
      </c>
      <c r="J81" s="26">
        <f>'cashflow Statement brought '!J15</f>
        <v>230</v>
      </c>
      <c r="K81" s="26">
        <f>'cashflow Statement brought '!K15</f>
        <v>285</v>
      </c>
      <c r="L81" s="26">
        <f>'cashflow Statement brought '!L15</f>
        <v>231</v>
      </c>
    </row>
    <row r="82" spans="2:12">
      <c r="B82" t="str">
        <f>'cashflow Statement brought '!B16</f>
        <v>Investments purchased</v>
      </c>
      <c r="C82" s="26">
        <f>'cashflow Statement brought '!C16</f>
        <v>-5461</v>
      </c>
      <c r="D82" s="26">
        <f>'cashflow Statement brought '!D16</f>
        <v>-4728</v>
      </c>
      <c r="E82" s="26">
        <f>'cashflow Statement brought '!E16</f>
        <v>-6</v>
      </c>
      <c r="F82" s="26">
        <f>'cashflow Statement brought '!F16</f>
        <v>-329</v>
      </c>
      <c r="G82" s="26">
        <f>'cashflow Statement brought '!G16</f>
        <v>-130</v>
      </c>
      <c r="H82" s="26">
        <f>'cashflow Statement brought '!H16</f>
        <v>-1439</v>
      </c>
      <c r="I82" s="26">
        <f>'cashflow Statement brought '!I16</f>
        <v>-7530</v>
      </c>
      <c r="J82" s="26">
        <f>'cashflow Statement brought '!J16</f>
        <v>-3008</v>
      </c>
      <c r="K82" s="26">
        <f>'cashflow Statement brought '!K16</f>
        <v>-50</v>
      </c>
      <c r="L82" s="26">
        <f>'cashflow Statement brought '!L16</f>
        <v>-74</v>
      </c>
    </row>
    <row r="83" spans="2:12">
      <c r="B83" t="str">
        <f>'cashflow Statement brought '!B17</f>
        <v>Investments sold</v>
      </c>
      <c r="C83" s="26">
        <f>'cashflow Statement brought '!C17</f>
        <v>42</v>
      </c>
      <c r="D83" s="26">
        <f>'cashflow Statement brought '!D17</f>
        <v>89</v>
      </c>
      <c r="E83" s="26">
        <f>'cashflow Statement brought '!E17</f>
        <v>1965</v>
      </c>
      <c r="F83" s="26">
        <f>'cashflow Statement brought '!F17</f>
        <v>2381</v>
      </c>
      <c r="G83" s="26">
        <f>'cashflow Statement brought '!G17</f>
        <v>5644</v>
      </c>
      <c r="H83" s="26">
        <f>'cashflow Statement brought '!H17</f>
        <v>21</v>
      </c>
      <c r="I83" s="26">
        <f>'cashflow Statement brought '!I17</f>
        <v>226</v>
      </c>
      <c r="J83" s="26">
        <f>'cashflow Statement brought '!J17</f>
        <v>104</v>
      </c>
      <c r="K83" s="26">
        <f>'cashflow Statement brought '!K17</f>
        <v>6895</v>
      </c>
      <c r="L83" s="26">
        <f>'cashflow Statement brought '!L17</f>
        <v>10820</v>
      </c>
    </row>
    <row r="84" spans="2:12">
      <c r="B84" t="str">
        <f>'cashflow Statement brought '!B18</f>
        <v>Interest received</v>
      </c>
      <c r="C84" s="26">
        <f>'cashflow Statement brought '!C18</f>
        <v>698</v>
      </c>
      <c r="D84" s="26">
        <f>'cashflow Statement brought '!D18</f>
        <v>731</v>
      </c>
      <c r="E84" s="26">
        <f>'cashflow Statement brought '!E18</f>
        <v>638</v>
      </c>
      <c r="F84" s="26">
        <f>'cashflow Statement brought '!F18</f>
        <v>690</v>
      </c>
      <c r="G84" s="26">
        <f>'cashflow Statement brought '!G18</f>
        <v>761</v>
      </c>
      <c r="H84" s="26">
        <f>'cashflow Statement brought '!H18</f>
        <v>1104</v>
      </c>
      <c r="I84" s="26">
        <f>'cashflow Statement brought '!I18</f>
        <v>428</v>
      </c>
      <c r="J84" s="26">
        <f>'cashflow Statement brought '!J18</f>
        <v>653</v>
      </c>
      <c r="K84" s="26">
        <f>'cashflow Statement brought '!K18</f>
        <v>973</v>
      </c>
      <c r="L84" s="26">
        <f>'cashflow Statement brought '!L18</f>
        <v>2493</v>
      </c>
    </row>
    <row r="85" spans="2:12">
      <c r="B85" t="str">
        <f>'cashflow Statement brought '!B19</f>
        <v>Dividends received</v>
      </c>
      <c r="C85" s="26">
        <f>'cashflow Statement brought '!C19</f>
        <v>80</v>
      </c>
      <c r="D85" s="26">
        <f>'cashflow Statement brought '!D19</f>
        <v>58</v>
      </c>
      <c r="E85" s="26">
        <f>'cashflow Statement brought '!E19</f>
        <v>620</v>
      </c>
      <c r="F85" s="26">
        <f>'cashflow Statement brought '!F19</f>
        <v>1797</v>
      </c>
      <c r="G85" s="26">
        <f>'cashflow Statement brought '!G19</f>
        <v>232</v>
      </c>
      <c r="H85" s="26">
        <f>'cashflow Statement brought '!H19</f>
        <v>21</v>
      </c>
      <c r="I85" s="26">
        <f>'cashflow Statement brought '!I19</f>
        <v>18</v>
      </c>
      <c r="J85" s="26">
        <f>'cashflow Statement brought '!J19</f>
        <v>32</v>
      </c>
      <c r="K85" s="26">
        <f>'cashflow Statement brought '!K19</f>
        <v>46</v>
      </c>
      <c r="L85" s="26">
        <f>'cashflow Statement brought '!L19</f>
        <v>47</v>
      </c>
    </row>
    <row r="86" spans="2:12">
      <c r="B86" t="str">
        <f>'cashflow Statement brought '!B20</f>
        <v>Investment in group cos</v>
      </c>
      <c r="C86" s="26">
        <f>'cashflow Statement brought '!C20</f>
        <v>-160</v>
      </c>
      <c r="D86" s="26">
        <f>'cashflow Statement brought '!D20</f>
        <v>0</v>
      </c>
      <c r="E86" s="26">
        <f>'cashflow Statement brought '!E20</f>
        <v>-107</v>
      </c>
      <c r="F86" s="26">
        <f>'cashflow Statement brought '!F20</f>
        <v>-4</v>
      </c>
      <c r="G86" s="26">
        <f>'cashflow Statement brought '!G20</f>
        <v>-9</v>
      </c>
      <c r="H86" s="26">
        <f>'cashflow Statement brought '!H20</f>
        <v>-606</v>
      </c>
      <c r="I86" s="26">
        <f>'cashflow Statement brought '!I20</f>
        <v>-10</v>
      </c>
      <c r="J86" s="26">
        <f>'cashflow Statement brought '!J20</f>
        <v>0</v>
      </c>
      <c r="K86" s="26">
        <f>'cashflow Statement brought '!K20</f>
        <v>0</v>
      </c>
      <c r="L86" s="26">
        <f>'cashflow Statement brought '!L20</f>
        <v>-150</v>
      </c>
    </row>
    <row r="87" spans="2:12">
      <c r="B87" t="str">
        <f>'cashflow Statement brought '!B21</f>
        <v>Redemp n Canc of Shares</v>
      </c>
      <c r="C87" s="26">
        <f>'cashflow Statement brought '!C21</f>
        <v>0</v>
      </c>
      <c r="D87" s="26">
        <f>'cashflow Statement brought '!D21</f>
        <v>0</v>
      </c>
      <c r="E87" s="26">
        <f>'cashflow Statement brought '!E21</f>
        <v>0</v>
      </c>
      <c r="F87" s="26">
        <f>'cashflow Statement brought '!F21</f>
        <v>14</v>
      </c>
      <c r="G87" s="26">
        <f>'cashflow Statement brought '!G21</f>
        <v>533</v>
      </c>
      <c r="H87" s="26">
        <f>'cashflow Statement brought '!H21</f>
        <v>0</v>
      </c>
      <c r="I87" s="26">
        <f>'cashflow Statement brought '!I21</f>
        <v>0</v>
      </c>
      <c r="J87" s="26">
        <f>'cashflow Statement brought '!J21</f>
        <v>0</v>
      </c>
      <c r="K87" s="26">
        <f>'cashflow Statement brought '!K21</f>
        <v>19</v>
      </c>
      <c r="L87" s="26">
        <f>'cashflow Statement brought '!L21</f>
        <v>108</v>
      </c>
    </row>
    <row r="88" spans="2:12">
      <c r="B88" t="str">
        <f>'cashflow Statement brought '!B22</f>
        <v>Acquisition of companies</v>
      </c>
      <c r="C88" s="26">
        <f>'cashflow Statement brought '!C22</f>
        <v>0</v>
      </c>
      <c r="D88" s="26">
        <f>'cashflow Statement brought '!D22</f>
        <v>-111</v>
      </c>
      <c r="E88" s="26">
        <f>'cashflow Statement brought '!E22</f>
        <v>0</v>
      </c>
      <c r="F88" s="26">
        <f>'cashflow Statement brought '!F22</f>
        <v>0</v>
      </c>
      <c r="G88" s="26">
        <f>'cashflow Statement brought '!G22</f>
        <v>-8</v>
      </c>
      <c r="H88" s="26">
        <f>'cashflow Statement brought '!H22</f>
        <v>-27</v>
      </c>
      <c r="I88" s="26">
        <f>'cashflow Statement brought '!I22</f>
        <v>0</v>
      </c>
      <c r="J88" s="26">
        <f>'cashflow Statement brought '!J22</f>
        <v>-98</v>
      </c>
      <c r="K88" s="26">
        <f>'cashflow Statement brought '!K22</f>
        <v>0</v>
      </c>
      <c r="L88" s="26">
        <f>'cashflow Statement brought '!L22</f>
        <v>0</v>
      </c>
    </row>
    <row r="89" spans="2:12">
      <c r="B89" t="str">
        <f>'cashflow Statement brought '!B23</f>
        <v>Inter corporate deposits</v>
      </c>
      <c r="C89" s="26">
        <f>'cashflow Statement brought '!C23</f>
        <v>0</v>
      </c>
      <c r="D89" s="26">
        <f>'cashflow Statement brought '!D23</f>
        <v>0</v>
      </c>
      <c r="E89" s="26">
        <f>'cashflow Statement brought '!E23</f>
        <v>0</v>
      </c>
      <c r="F89" s="26">
        <f>'cashflow Statement brought '!F23</f>
        <v>0</v>
      </c>
      <c r="G89" s="26">
        <f>'cashflow Statement brought '!G23</f>
        <v>0</v>
      </c>
      <c r="H89" s="26">
        <f>'cashflow Statement brought '!H23</f>
        <v>0</v>
      </c>
      <c r="I89" s="26">
        <f>'cashflow Statement brought '!I23</f>
        <v>0</v>
      </c>
      <c r="J89" s="26">
        <f>'cashflow Statement brought '!J23</f>
        <v>0</v>
      </c>
      <c r="K89" s="26">
        <f>'cashflow Statement brought '!K23</f>
        <v>0</v>
      </c>
      <c r="L89" s="26">
        <f>'cashflow Statement brought '!L23</f>
        <v>-24</v>
      </c>
    </row>
    <row r="90" spans="2:12">
      <c r="B90" t="str">
        <f>'cashflow Statement brought '!B24</f>
        <v>Other investing items</v>
      </c>
      <c r="C90" s="26">
        <f>'cashflow Statement brought '!C24</f>
        <v>456</v>
      </c>
      <c r="D90" s="26">
        <f>'cashflow Statement brought '!D24</f>
        <v>-1289</v>
      </c>
      <c r="E90" s="26">
        <f>'cashflow Statement brought '!E24</f>
        <v>-26663</v>
      </c>
      <c r="F90" s="26">
        <f>'cashflow Statement brought '!F24</f>
        <v>5360</v>
      </c>
      <c r="G90" s="26">
        <f>'cashflow Statement brought '!G24</f>
        <v>7335</v>
      </c>
      <c r="H90" s="26">
        <f>'cashflow Statement brought '!H24</f>
        <v>-2659</v>
      </c>
      <c r="I90" s="26">
        <f>'cashflow Statement brought '!I24</f>
        <v>1051</v>
      </c>
      <c r="J90" s="26">
        <f>'cashflow Statement brought '!J24</f>
        <v>12813</v>
      </c>
      <c r="K90" s="26">
        <f>'cashflow Statement brought '!K24</f>
        <v>-4357</v>
      </c>
      <c r="L90" s="26">
        <f>'cashflow Statement brought '!L24</f>
        <v>-4817</v>
      </c>
    </row>
    <row r="91" spans="2:12">
      <c r="B91" s="29" t="s">
        <v>153</v>
      </c>
      <c r="C91" s="31">
        <f>IFERROR(SUM(C80:C90),0)</f>
        <v>-36233</v>
      </c>
      <c r="D91" s="31">
        <f t="shared" ref="D91:L91" si="23">IFERROR(SUM(D80:D90),0)</f>
        <v>-36694</v>
      </c>
      <c r="E91" s="31">
        <f t="shared" si="23"/>
        <v>-39572</v>
      </c>
      <c r="F91" s="31">
        <f t="shared" si="23"/>
        <v>-25140</v>
      </c>
      <c r="G91" s="31">
        <f t="shared" si="23"/>
        <v>-20879</v>
      </c>
      <c r="H91" s="31">
        <f t="shared" si="23"/>
        <v>-33116</v>
      </c>
      <c r="I91" s="31">
        <f t="shared" si="23"/>
        <v>-25671</v>
      </c>
      <c r="J91" s="31">
        <f t="shared" si="23"/>
        <v>-4442</v>
      </c>
      <c r="K91" s="31">
        <f t="shared" si="23"/>
        <v>-15419</v>
      </c>
      <c r="L91" s="31">
        <f t="shared" si="23"/>
        <v>-22780</v>
      </c>
    </row>
    <row r="93" spans="2:12">
      <c r="B93" s="13" t="s">
        <v>154</v>
      </c>
    </row>
    <row r="94" spans="2:12">
      <c r="B94" t="str">
        <f>'cashflow Statement brought '!B26</f>
        <v>Proceeds from shares</v>
      </c>
      <c r="C94">
        <f>'cashflow Statement brought '!C26</f>
        <v>0</v>
      </c>
      <c r="D94">
        <f>'cashflow Statement brought '!D26</f>
        <v>7433</v>
      </c>
      <c r="E94">
        <f>'cashflow Statement brought '!E26</f>
        <v>5</v>
      </c>
      <c r="F94">
        <f>'cashflow Statement brought '!F26</f>
        <v>0</v>
      </c>
      <c r="G94">
        <f>'cashflow Statement brought '!G26</f>
        <v>0</v>
      </c>
      <c r="H94">
        <f>'cashflow Statement brought '!H26</f>
        <v>3889</v>
      </c>
      <c r="I94">
        <f>'cashflow Statement brought '!I26</f>
        <v>2603</v>
      </c>
      <c r="J94">
        <f>'cashflow Statement brought '!J26</f>
        <v>19</v>
      </c>
      <c r="K94">
        <f>'cashflow Statement brought '!K26</f>
        <v>20</v>
      </c>
      <c r="L94">
        <f>'cashflow Statement brought '!L26</f>
        <v>82</v>
      </c>
    </row>
    <row r="95" spans="2:12">
      <c r="B95" t="str">
        <f>'cashflow Statement brought '!B27</f>
        <v>Redemption of debentures</v>
      </c>
      <c r="C95">
        <f>'cashflow Statement brought '!C27</f>
        <v>-744</v>
      </c>
      <c r="D95">
        <f>'cashflow Statement brought '!D27</f>
        <v>0</v>
      </c>
      <c r="E95">
        <f>'cashflow Statement brought '!E27</f>
        <v>0</v>
      </c>
      <c r="F95">
        <f>'cashflow Statement brought '!F27</f>
        <v>0</v>
      </c>
      <c r="G95">
        <f>'cashflow Statement brought '!G27</f>
        <v>0</v>
      </c>
      <c r="H95">
        <f>'cashflow Statement brought '!H27</f>
        <v>0</v>
      </c>
      <c r="I95">
        <f>'cashflow Statement brought '!I27</f>
        <v>0</v>
      </c>
      <c r="J95">
        <f>'cashflow Statement brought '!J27</f>
        <v>0</v>
      </c>
      <c r="K95">
        <f>'cashflow Statement brought '!K27</f>
        <v>0</v>
      </c>
      <c r="L95">
        <f>'cashflow Statement brought '!L27</f>
        <v>0</v>
      </c>
    </row>
    <row r="96" spans="2:12">
      <c r="B96" t="str">
        <f>'cashflow Statement brought '!B28</f>
        <v>Proceeds from borrowings</v>
      </c>
      <c r="C96">
        <f>'cashflow Statement brought '!C28</f>
        <v>36363</v>
      </c>
      <c r="D96">
        <f>'cashflow Statement brought '!D28</f>
        <v>19519</v>
      </c>
      <c r="E96">
        <f>'cashflow Statement brought '!E28</f>
        <v>33390</v>
      </c>
      <c r="F96">
        <f>'cashflow Statement brought '!F28</f>
        <v>37482</v>
      </c>
      <c r="G96">
        <f>'cashflow Statement brought '!G28</f>
        <v>51128</v>
      </c>
      <c r="H96">
        <f>'cashflow Statement brought '!H28</f>
        <v>38297</v>
      </c>
      <c r="I96">
        <f>'cashflow Statement brought '!I28</f>
        <v>46641</v>
      </c>
      <c r="J96">
        <f>'cashflow Statement brought '!J28</f>
        <v>46578</v>
      </c>
      <c r="K96">
        <f>'cashflow Statement brought '!K28</f>
        <v>43934</v>
      </c>
      <c r="L96">
        <f>'cashflow Statement brought '!L28</f>
        <v>18747</v>
      </c>
    </row>
    <row r="97" spans="2:12">
      <c r="B97" t="str">
        <f>'cashflow Statement brought '!B29</f>
        <v>Repayment of borrowings</v>
      </c>
      <c r="C97">
        <f>'cashflow Statement brought '!C29</f>
        <v>-23332</v>
      </c>
      <c r="D97">
        <f>'cashflow Statement brought '!D29</f>
        <v>-24924</v>
      </c>
      <c r="E97">
        <f>'cashflow Statement brought '!E29</f>
        <v>-21732</v>
      </c>
      <c r="F97">
        <f>'cashflow Statement brought '!F29</f>
        <v>-29964</v>
      </c>
      <c r="G97">
        <f>'cashflow Statement brought '!G29</f>
        <v>-35198</v>
      </c>
      <c r="H97">
        <f>'cashflow Statement brought '!H29</f>
        <v>-29847</v>
      </c>
      <c r="I97">
        <f>'cashflow Statement brought '!I29</f>
        <v>-29709</v>
      </c>
      <c r="J97">
        <f>'cashflow Statement brought '!J29</f>
        <v>-42816</v>
      </c>
      <c r="K97">
        <f>'cashflow Statement brought '!K29</f>
        <v>-62557</v>
      </c>
      <c r="L97">
        <f>'cashflow Statement brought '!L29</f>
        <v>-47332</v>
      </c>
    </row>
    <row r="98" spans="2:12">
      <c r="B98" t="str">
        <f>'cashflow Statement brought '!B30</f>
        <v>Interest paid fin</v>
      </c>
      <c r="C98">
        <f>'cashflow Statement brought '!C30</f>
        <v>-6307</v>
      </c>
      <c r="D98">
        <f>'cashflow Statement brought '!D30</f>
        <v>-5716</v>
      </c>
      <c r="E98">
        <f>'cashflow Statement brought '!E30</f>
        <v>-5336</v>
      </c>
      <c r="F98">
        <f>'cashflow Statement brought '!F30</f>
        <v>-5411</v>
      </c>
      <c r="G98">
        <f>'cashflow Statement brought '!G30</f>
        <v>-7005</v>
      </c>
      <c r="H98">
        <f>'cashflow Statement brought '!H30</f>
        <v>-7518</v>
      </c>
      <c r="I98">
        <f>'cashflow Statement brought '!I30</f>
        <v>-8123</v>
      </c>
      <c r="J98">
        <f>'cashflow Statement brought '!J30</f>
        <v>-9251</v>
      </c>
      <c r="K98">
        <f>'cashflow Statement brought '!K30</f>
        <v>-9336</v>
      </c>
      <c r="L98">
        <f>'cashflow Statement brought '!L30</f>
        <v>-9332</v>
      </c>
    </row>
    <row r="99" spans="2:12">
      <c r="B99" t="str">
        <f>'cashflow Statement brought '!B31</f>
        <v>Dividends paid</v>
      </c>
      <c r="C99">
        <f>'cashflow Statement brought '!C31</f>
        <v>-720</v>
      </c>
      <c r="D99">
        <f>'cashflow Statement brought '!D31</f>
        <v>-108</v>
      </c>
      <c r="E99">
        <f>'cashflow Statement brought '!E31</f>
        <v>-121</v>
      </c>
      <c r="F99">
        <f>'cashflow Statement brought '!F31</f>
        <v>-96</v>
      </c>
      <c r="G99">
        <f>'cashflow Statement brought '!G31</f>
        <v>-95</v>
      </c>
      <c r="H99">
        <f>'cashflow Statement brought '!H31</f>
        <v>-57</v>
      </c>
      <c r="I99">
        <f>'cashflow Statement brought '!I31</f>
        <v>-30</v>
      </c>
      <c r="J99">
        <f>'cashflow Statement brought '!J31</f>
        <v>-100</v>
      </c>
      <c r="K99">
        <f>'cashflow Statement brought '!K31</f>
        <v>-141</v>
      </c>
      <c r="L99">
        <f>'cashflow Statement brought '!L31</f>
        <v>-1059</v>
      </c>
    </row>
    <row r="100" spans="2:12">
      <c r="B100" t="str">
        <f>'cashflow Statement brought '!B32</f>
        <v>Financial liabilities</v>
      </c>
      <c r="C100">
        <f>'cashflow Statement brought '!C32</f>
        <v>0</v>
      </c>
      <c r="D100">
        <f>'cashflow Statement brought '!D32</f>
        <v>0</v>
      </c>
      <c r="E100">
        <f>'cashflow Statement brought '!E32</f>
        <v>0</v>
      </c>
      <c r="F100">
        <f>'cashflow Statement brought '!F32</f>
        <v>0</v>
      </c>
      <c r="G100">
        <f>'cashflow Statement brought '!G32</f>
        <v>0</v>
      </c>
      <c r="H100">
        <f>'cashflow Statement brought '!H32</f>
        <v>-1346</v>
      </c>
      <c r="I100">
        <f>'cashflow Statement brought '!I32</f>
        <v>-1477</v>
      </c>
      <c r="J100">
        <f>'cashflow Statement brought '!J32</f>
        <v>-1559</v>
      </c>
      <c r="K100">
        <f>'cashflow Statement brought '!K32</f>
        <v>-1517</v>
      </c>
      <c r="L100">
        <f>'cashflow Statement brought '!L32</f>
        <v>-1924</v>
      </c>
    </row>
    <row r="101" spans="2:12">
      <c r="B101" t="str">
        <f>'cashflow Statement brought '!B33</f>
        <v>Other financing items</v>
      </c>
      <c r="C101">
        <f>'cashflow Statement brought '!C33</f>
        <v>-57</v>
      </c>
      <c r="D101">
        <f>'cashflow Statement brought '!D33</f>
        <v>0</v>
      </c>
      <c r="E101">
        <f>'cashflow Statement brought '!E33</f>
        <v>0</v>
      </c>
      <c r="F101">
        <f>'cashflow Statement brought '!F33</f>
        <v>0</v>
      </c>
      <c r="G101">
        <f>'cashflow Statement brought '!G33</f>
        <v>0</v>
      </c>
      <c r="H101">
        <f>'cashflow Statement brought '!H33</f>
        <v>-29</v>
      </c>
      <c r="I101">
        <f>'cashflow Statement brought '!I33</f>
        <v>0</v>
      </c>
      <c r="J101">
        <f>'cashflow Statement brought '!J33</f>
        <v>3750</v>
      </c>
      <c r="K101">
        <f>'cashflow Statement brought '!K33</f>
        <v>3355</v>
      </c>
      <c r="L101">
        <f>'cashflow Statement brought '!L33</f>
        <v>3812</v>
      </c>
    </row>
    <row r="102" spans="2:12">
      <c r="B102" s="29" t="s">
        <v>155</v>
      </c>
      <c r="C102" s="29">
        <f>IFERROR(SUM(C94:C101),0)</f>
        <v>5203</v>
      </c>
      <c r="D102" s="29">
        <f t="shared" ref="D102:L102" si="24">IFERROR(SUM(D94:D101),0)</f>
        <v>-3796</v>
      </c>
      <c r="E102" s="29">
        <f t="shared" si="24"/>
        <v>6206</v>
      </c>
      <c r="F102" s="29">
        <f t="shared" si="24"/>
        <v>2011</v>
      </c>
      <c r="G102" s="29">
        <f t="shared" si="24"/>
        <v>8830</v>
      </c>
      <c r="H102" s="29">
        <f t="shared" si="24"/>
        <v>3389</v>
      </c>
      <c r="I102" s="29">
        <f t="shared" si="24"/>
        <v>9905</v>
      </c>
      <c r="J102" s="29">
        <f t="shared" si="24"/>
        <v>-3379</v>
      </c>
      <c r="K102" s="29">
        <f t="shared" si="24"/>
        <v>-26242</v>
      </c>
      <c r="L102" s="29">
        <f t="shared" si="24"/>
        <v>-37006</v>
      </c>
    </row>
    <row r="104" spans="2:12">
      <c r="B104" s="13" t="s">
        <v>20</v>
      </c>
      <c r="C104" s="13">
        <f>IFERROR(SUM(C77,C91,C102),0)</f>
        <v>830</v>
      </c>
      <c r="D104" s="13">
        <f t="shared" ref="D104:L104" si="25">IFERROR(SUM(D77,D91,D102),0)</f>
        <v>-1278</v>
      </c>
      <c r="E104" s="13">
        <f t="shared" si="25"/>
        <v>88</v>
      </c>
      <c r="F104" s="13">
        <f t="shared" si="25"/>
        <v>-5706</v>
      </c>
      <c r="G104" s="13">
        <f t="shared" si="25"/>
        <v>-378</v>
      </c>
      <c r="H104" s="13">
        <f t="shared" si="25"/>
        <v>1971</v>
      </c>
      <c r="I104" s="13">
        <f t="shared" si="25"/>
        <v>13141</v>
      </c>
      <c r="J104" s="13">
        <f t="shared" si="25"/>
        <v>-4289</v>
      </c>
      <c r="K104" s="13">
        <f t="shared" si="25"/>
        <v>-9400</v>
      </c>
      <c r="L104" s="13">
        <f t="shared" si="25"/>
        <v>15455</v>
      </c>
    </row>
  </sheetData>
  <mergeCells count="1">
    <mergeCell ref="B2:M2"/>
  </mergeCells>
  <pageMargins left="0.7" right="0.7" top="0.75" bottom="0.75" header="0.3" footer="0.3"/>
  <pageSetup orientation="portrait" r:id="rId1"/>
  <ignoredErrors>
    <ignoredError sqref="M6 M8 M17 M20 M23 M29 C14 D14:L14"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41"/>
  <sheetViews>
    <sheetView showGridLines="0" workbookViewId="0">
      <pane ySplit="3" topLeftCell="A4" activePane="bottomLeft" state="frozen"/>
      <selection pane="bottomLeft" activeCell="Q22" sqref="Q22"/>
    </sheetView>
  </sheetViews>
  <sheetFormatPr defaultRowHeight="15"/>
  <cols>
    <col min="1" max="1" width="2.28515625" customWidth="1"/>
    <col min="2" max="2" width="26.28515625" customWidth="1"/>
    <col min="13" max="13" width="11.140625" customWidth="1"/>
    <col min="14" max="15" width="10.7109375" customWidth="1"/>
  </cols>
  <sheetData>
    <row r="2" spans="2:15">
      <c r="B2" s="59" t="str">
        <f>"Ratio Analysis- "&amp;'Data Sheet'!B1</f>
        <v>Ratio Analysis- TATA MOTORS LTD</v>
      </c>
      <c r="C2" s="59"/>
      <c r="D2" s="59"/>
      <c r="E2" s="59"/>
      <c r="F2" s="59"/>
      <c r="G2" s="59"/>
      <c r="H2" s="59"/>
      <c r="I2" s="59"/>
      <c r="J2" s="59"/>
      <c r="K2" s="59"/>
      <c r="L2" s="59"/>
      <c r="M2" s="47"/>
      <c r="N2" s="47"/>
      <c r="O2" s="47"/>
    </row>
    <row r="3" spans="2:15">
      <c r="B3" s="17" t="s">
        <v>61</v>
      </c>
      <c r="C3" s="9">
        <f>'Data Sheet'!B16</f>
        <v>42094</v>
      </c>
      <c r="D3" s="9">
        <f>'Data Sheet'!C16</f>
        <v>42460</v>
      </c>
      <c r="E3" s="9">
        <f>'Data Sheet'!D16</f>
        <v>42825</v>
      </c>
      <c r="F3" s="9">
        <f>'Data Sheet'!E16</f>
        <v>43190</v>
      </c>
      <c r="G3" s="9">
        <f>'Data Sheet'!F16</f>
        <v>43555</v>
      </c>
      <c r="H3" s="9">
        <f>'Data Sheet'!G16</f>
        <v>43921</v>
      </c>
      <c r="I3" s="9">
        <f>'Data Sheet'!H16</f>
        <v>44286</v>
      </c>
      <c r="J3" s="9">
        <f>'Data Sheet'!I16</f>
        <v>44651</v>
      </c>
      <c r="K3" s="9">
        <f>'Data Sheet'!J16</f>
        <v>45016</v>
      </c>
      <c r="L3" s="9">
        <f>'Data Sheet'!K16</f>
        <v>45382</v>
      </c>
      <c r="M3" s="47" t="s">
        <v>229</v>
      </c>
      <c r="N3" s="10" t="s">
        <v>227</v>
      </c>
      <c r="O3" s="10" t="s">
        <v>225</v>
      </c>
    </row>
    <row r="5" spans="2:15">
      <c r="B5" s="34" t="s">
        <v>66</v>
      </c>
      <c r="C5" s="34"/>
      <c r="D5" s="35">
        <f>IFERROR(HistoricalFS!D6/HistoricalFS!C6-1,0)</f>
        <v>3.75690010654397E-2</v>
      </c>
      <c r="E5" s="35">
        <f>IFERROR(HistoricalFS!E6/HistoricalFS!D6-1,0)</f>
        <v>-1.2280329732469508E-2</v>
      </c>
      <c r="F5" s="35">
        <f>IFERROR(HistoricalFS!F6/HistoricalFS!E6-1,0)</f>
        <v>8.104774581985974E-2</v>
      </c>
      <c r="G5" s="35">
        <f>IFERROR(HistoricalFS!G6/HistoricalFS!F6-1,0)</f>
        <v>3.5629919045237157E-2</v>
      </c>
      <c r="H5" s="35">
        <f>IFERROR(HistoricalFS!H6/HistoricalFS!G6-1,0)</f>
        <v>-0.135360159555724</v>
      </c>
      <c r="I5" s="35">
        <f>IFERROR(HistoricalFS!I6/HistoricalFS!H6-1,0)</f>
        <v>-4.3181168490336042E-2</v>
      </c>
      <c r="J5" s="35">
        <f>IFERROR(HistoricalFS!J6/HistoricalFS!I6-1,0)</f>
        <v>0.11472967306158344</v>
      </c>
      <c r="K5" s="35">
        <f>IFERROR(HistoricalFS!K6/HistoricalFS!J6-1,0)</f>
        <v>0.24245815155859707</v>
      </c>
      <c r="L5" s="35">
        <f>IFERROR(HistoricalFS!L6/HistoricalFS!K6-1,0)</f>
        <v>0.26580803363974326</v>
      </c>
      <c r="M5" s="34"/>
      <c r="N5" s="35">
        <f>IFERROR(AVERAGE(D5:L5),0)</f>
        <v>6.5157874045770087E-2</v>
      </c>
      <c r="O5" s="35">
        <f>IFERROR(MEDIAN(D5:L5),0)</f>
        <v>3.75690010654397E-2</v>
      </c>
    </row>
    <row r="6" spans="2:15">
      <c r="B6" t="s">
        <v>160</v>
      </c>
      <c r="D6" s="36">
        <f>IFERROR(HistoricalFS!D7/HistoricalFS!C7-1,0)</f>
        <v>0</v>
      </c>
      <c r="E6" s="36">
        <f>IFERROR(HistoricalFS!E7/HistoricalFS!D7-1,0)</f>
        <v>-1.3268740020816356</v>
      </c>
      <c r="F6" s="36">
        <f>IFERROR(HistoricalFS!F7/HistoricalFS!E7-1,0)</f>
        <v>-7.599802088828886</v>
      </c>
      <c r="G6" s="36">
        <f>IFERROR(HistoricalFS!G7/HistoricalFS!F7-1,0)</f>
        <v>-0.56038359013179995</v>
      </c>
      <c r="H6" s="36">
        <f>IFERROR(HistoricalFS!H7/HistoricalFS!G7-1,0)</f>
        <v>-4.7990588579184079</v>
      </c>
      <c r="I6" s="36">
        <f>IFERROR(HistoricalFS!I7/HistoricalFS!H7-1,0)</f>
        <v>-0.68099056153550441</v>
      </c>
      <c r="J6" s="36">
        <f>IFERROR(HistoricalFS!J7/HistoricalFS!I7-1,0)</f>
        <v>-3.6569376668734654</v>
      </c>
      <c r="K6" s="36">
        <f>IFERROR(HistoricalFS!K7/HistoricalFS!J7-1,0)</f>
        <v>1.1132994201809745</v>
      </c>
      <c r="L6" s="36">
        <f>IFERROR(HistoricalFS!L7/HistoricalFS!K7-1,0)</f>
        <v>9.6304792934557293E-2</v>
      </c>
      <c r="N6" s="36">
        <f t="shared" ref="N6:N9" si="0">IFERROR(AVERAGE(D6:L6),0)</f>
        <v>-1.9349380615837961</v>
      </c>
      <c r="O6" s="36">
        <f t="shared" ref="O6:O9" si="1">IFERROR(MEDIAN(D6:L6),0)</f>
        <v>-0.68099056153550441</v>
      </c>
    </row>
    <row r="7" spans="2:15">
      <c r="B7" t="s">
        <v>161</v>
      </c>
      <c r="D7" s="36">
        <f>IFERROR(HistoricalFS!D8/HistoricalFS!C8-1,0)</f>
        <v>1.3074192997545975E-2</v>
      </c>
      <c r="E7" s="36">
        <f>IFERROR(HistoricalFS!E8/HistoricalFS!D8-1,0)</f>
        <v>-2.6680087647734663E-4</v>
      </c>
      <c r="F7" s="36">
        <f>IFERROR(HistoricalFS!F8/HistoricalFS!E8-1,0)</f>
        <v>0.11182825917829708</v>
      </c>
      <c r="G7" s="36">
        <f>IFERROR(HistoricalFS!G8/HistoricalFS!F8-1,0)</f>
        <v>6.3107782376758736E-2</v>
      </c>
      <c r="H7" s="36">
        <f>IFERROR(HistoricalFS!H8/HistoricalFS!G8-1,0)</f>
        <v>-0.13370416988939415</v>
      </c>
      <c r="I7" s="36">
        <f>IFERROR(HistoricalFS!I8/HistoricalFS!H8-1,0)</f>
        <v>-7.1538697343286328E-2</v>
      </c>
      <c r="J7" s="36">
        <f>IFERROR(HistoricalFS!J8/HistoricalFS!I8-1,0)</f>
        <v>0.14321679792412723</v>
      </c>
      <c r="K7" s="36">
        <f>IFERROR(HistoricalFS!K8/HistoricalFS!J8-1,0)</f>
        <v>0.22885637130065528</v>
      </c>
      <c r="L7" s="36">
        <f>IFERROR(HistoricalFS!L8/HistoricalFS!K8-1,0)</f>
        <v>0.21919588967551573</v>
      </c>
      <c r="N7" s="36">
        <f t="shared" si="0"/>
        <v>6.3752180593749139E-2</v>
      </c>
      <c r="O7" s="36">
        <f t="shared" si="1"/>
        <v>6.3107782376758736E-2</v>
      </c>
    </row>
    <row r="8" spans="2:15">
      <c r="B8" t="s">
        <v>162</v>
      </c>
      <c r="D8" s="36">
        <f>IFERROR(HistoricalFS!D9/HistoricalFS!C9-1,0)</f>
        <v>-2.3607883468705126E-2</v>
      </c>
      <c r="E8" s="36">
        <f>IFERROR(HistoricalFS!E9/HistoricalFS!D9-1,0)</f>
        <v>1.2162893194926694E-2</v>
      </c>
      <c r="F8" s="36">
        <f>IFERROR(HistoricalFS!F9/HistoricalFS!E9-1,0)</f>
        <v>2.8472852820291994E-2</v>
      </c>
      <c r="G8" s="36">
        <f>IFERROR(HistoricalFS!G9/HistoricalFS!F9-1,0)</f>
        <v>2.6532512074249226E-2</v>
      </c>
      <c r="H8" s="36">
        <f>IFERROR(HistoricalFS!H9/HistoricalFS!G9-1,0)</f>
        <v>1.9152363664840522E-3</v>
      </c>
      <c r="I8" s="36">
        <f>IFERROR(HistoricalFS!I9/HistoricalFS!H9-1,0)</f>
        <v>-2.9637302192524695E-2</v>
      </c>
      <c r="J8" s="36">
        <f>IFERROR(HistoricalFS!J9/HistoricalFS!I9-1,0)</f>
        <v>2.555518665283607E-2</v>
      </c>
      <c r="K8" s="36">
        <f>IFERROR(HistoricalFS!K9/HistoricalFS!J9-1,0)</f>
        <v>-1.0947475567590792E-2</v>
      </c>
      <c r="L8" s="36">
        <f>IFERROR(HistoricalFS!L9/HistoricalFS!K9-1,0)</f>
        <v>-3.6824022857713579E-2</v>
      </c>
      <c r="N8" s="36">
        <f t="shared" si="0"/>
        <v>-7.0866699752735059E-4</v>
      </c>
      <c r="O8" s="36">
        <f t="shared" si="1"/>
        <v>1.9152363664840522E-3</v>
      </c>
    </row>
    <row r="9" spans="2:15">
      <c r="B9" s="37" t="s">
        <v>163</v>
      </c>
      <c r="C9" s="37"/>
      <c r="D9" s="38">
        <f>IFERROR(HistoricalFS!D10/HistoricalFS!C10-1,0)</f>
        <v>0</v>
      </c>
      <c r="E9" s="38">
        <f>IFERROR(HistoricalFS!E10/HistoricalFS!D10-1,0)</f>
        <v>0</v>
      </c>
      <c r="F9" s="38">
        <f>IFERROR(HistoricalFS!F10/HistoricalFS!E10-1,0)</f>
        <v>0</v>
      </c>
      <c r="G9" s="38">
        <f>IFERROR(HistoricalFS!G10/HistoricalFS!F10-1,0)</f>
        <v>0</v>
      </c>
      <c r="H9" s="38">
        <f>IFERROR(HistoricalFS!H10/HistoricalFS!G10-1,0)</f>
        <v>0</v>
      </c>
      <c r="I9" s="38">
        <f>IFERROR(HistoricalFS!I10/HistoricalFS!H10-1,0)</f>
        <v>0</v>
      </c>
      <c r="J9" s="38">
        <f>IFERROR(HistoricalFS!J10/HistoricalFS!I10-1,0)</f>
        <v>0</v>
      </c>
      <c r="K9" s="38">
        <f>IFERROR(HistoricalFS!K10/HistoricalFS!J10-1,0)</f>
        <v>0</v>
      </c>
      <c r="L9" s="38">
        <f>IFERROR(HistoricalFS!L10/HistoricalFS!K10-1,0)</f>
        <v>0</v>
      </c>
      <c r="M9" s="37"/>
      <c r="N9" s="38">
        <f t="shared" si="0"/>
        <v>0</v>
      </c>
      <c r="O9" s="38">
        <f t="shared" si="1"/>
        <v>0</v>
      </c>
    </row>
    <row r="11" spans="2:15">
      <c r="B11" s="34" t="s">
        <v>170</v>
      </c>
      <c r="C11" s="35">
        <f>IFERROR(HistoricalFS!C12,0)</f>
        <v>0.22914703499762759</v>
      </c>
      <c r="D11" s="35">
        <f>IFERROR(HistoricalFS!D12,0)</f>
        <v>0.24734524196690946</v>
      </c>
      <c r="E11" s="35">
        <f>IFERROR(HistoricalFS!E12,0)</f>
        <v>0.23819078253229964</v>
      </c>
      <c r="F11" s="35">
        <f>IFERROR(HistoricalFS!F12,0)</f>
        <v>0.21649990080619999</v>
      </c>
      <c r="G11" s="35">
        <f>IFERROR(HistoricalFS!G12,0)</f>
        <v>0.19571167496416494</v>
      </c>
      <c r="H11" s="35">
        <f>IFERROR(HistoricalFS!H12,0)</f>
        <v>0.19417127271491774</v>
      </c>
      <c r="I11" s="35">
        <f>IFERROR(HistoricalFS!I12,0)</f>
        <v>0.2180538622208833</v>
      </c>
      <c r="J11" s="35">
        <f>IFERROR(HistoricalFS!J12,0)</f>
        <v>0.19807108271747378</v>
      </c>
      <c r="K11" s="35">
        <f>IFERROR(HistoricalFS!K12,0)</f>
        <v>0.20685017994636876</v>
      </c>
      <c r="L11" s="35">
        <f>IFERROR(HistoricalFS!L12,0)</f>
        <v>0.23605714704961514</v>
      </c>
      <c r="M11" s="34"/>
      <c r="N11" s="35">
        <f>IFERROR(AVERAGE(C11:L11),0)</f>
        <v>0.21800981799164604</v>
      </c>
      <c r="O11" s="35">
        <f>IFERROR(MEDIAN(C11:L11),0)</f>
        <v>0.21727688151354163</v>
      </c>
    </row>
    <row r="12" spans="2:15">
      <c r="B12" t="s">
        <v>171</v>
      </c>
      <c r="C12" s="36">
        <f>IFERROR(HistoricalFS!C18,0)</f>
        <v>0.14910625508580397</v>
      </c>
      <c r="D12" s="36">
        <f>IFERROR(HistoricalFS!D18,0)</f>
        <v>0.14061845347443788</v>
      </c>
      <c r="E12" s="36">
        <f>IFERROR(HistoricalFS!E18,0)</f>
        <v>0.10971268723777329</v>
      </c>
      <c r="F12" s="36">
        <f>IFERROR(HistoricalFS!F18,0)</f>
        <v>0.10789788444182975</v>
      </c>
      <c r="G12" s="36">
        <f>IFERROR(HistoricalFS!G18,0)</f>
        <v>8.1686628795807431E-2</v>
      </c>
      <c r="H12" s="36">
        <f>IFERROR(HistoricalFS!H18,0)</f>
        <v>6.8898034485042198E-2</v>
      </c>
      <c r="I12" s="36">
        <f>IFERROR(HistoricalFS!I18,0)</f>
        <v>0.12925583904385496</v>
      </c>
      <c r="J12" s="36">
        <f>IFERROR(HistoricalFS!J18,0)</f>
        <v>8.877632835227646E-2</v>
      </c>
      <c r="K12" s="36">
        <f>IFERROR(HistoricalFS!K18,0)</f>
        <v>9.1961958102532049E-2</v>
      </c>
      <c r="L12" s="36">
        <f>IFERROR(HistoricalFS!L18,0)</f>
        <v>0.13595470321509878</v>
      </c>
      <c r="N12" s="36">
        <f t="shared" ref="N12:N41" si="2">IFERROR(AVERAGE(C12:L12),0)</f>
        <v>0.11038687722344567</v>
      </c>
      <c r="O12" s="36">
        <f t="shared" ref="O12:O41" si="3">IFERROR(MEDIAN(C12:L12),0)</f>
        <v>0.10880528583980152</v>
      </c>
    </row>
    <row r="13" spans="2:15">
      <c r="B13" t="s">
        <v>172</v>
      </c>
      <c r="C13" s="36">
        <f>IFERROR(SUM(HistoricalFS!C26,HistoricalFS!C20)/(HistoricalFS!C6),0)</f>
        <v>9.8229670900837146E-2</v>
      </c>
      <c r="D13" s="36">
        <f>IFERROR(SUM(HistoricalFS!D26,HistoricalFS!D20)/(HistoricalFS!D6),0)</f>
        <v>7.941702777851016E-2</v>
      </c>
      <c r="E13" s="36">
        <f>IFERROR(SUM(HistoricalFS!E26,HistoricalFS!E20)/(HistoricalFS!E6),0)</f>
        <v>4.3322300645279491E-2</v>
      </c>
      <c r="F13" s="36">
        <f>IFERROR(SUM(HistoricalFS!F26,HistoricalFS!F20)/(HistoricalFS!F6),0)</f>
        <v>3.3970412259310953E-2</v>
      </c>
      <c r="G13" s="36">
        <f>IFERROR(SUM(HistoricalFS!G26,HistoricalFS!G20)/(HistoricalFS!G6),0)</f>
        <v>3.5560233478087607E-3</v>
      </c>
      <c r="H13" s="36">
        <f>IFERROR(SUM(HistoricalFS!H26,HistoricalFS!H20)/(HistoricalFS!H6),0)</f>
        <v>-1.3170363258273463E-2</v>
      </c>
      <c r="I13" s="36">
        <f>IFERROR(SUM(HistoricalFS!I26,HistoricalFS!I20)/(HistoricalFS!I6),0)</f>
        <v>3.499160811025849E-2</v>
      </c>
      <c r="J13" s="36">
        <f>IFERROR(SUM(HistoricalFS!J26,HistoricalFS!J20)/(HistoricalFS!J6),0)</f>
        <v>-4.1514992694290575E-4</v>
      </c>
      <c r="K13" s="36">
        <f>IFERROR(SUM(HistoricalFS!K26,HistoricalFS!K20)/(HistoricalFS!K6),0)</f>
        <v>2.0104346955433238E-2</v>
      </c>
      <c r="L13" s="36">
        <f>IFERROR(SUM(HistoricalFS!L26,HistoricalFS!L20)/(HistoricalFS!L6),0)</f>
        <v>7.3683863437114389E-2</v>
      </c>
      <c r="N13" s="36">
        <f t="shared" si="2"/>
        <v>3.7368974024933624E-2</v>
      </c>
      <c r="O13" s="36">
        <f t="shared" si="3"/>
        <v>3.4481010184784722E-2</v>
      </c>
    </row>
    <row r="14" spans="2:15">
      <c r="B14" t="s">
        <v>173</v>
      </c>
      <c r="C14" s="36">
        <f>IFERROR(HistoricalFS!C27,0)</f>
        <v>7.9756085085905037E-2</v>
      </c>
      <c r="D14" s="36">
        <f>IFERROR(HistoricalFS!D27,0)</f>
        <v>6.1511300676516931E-2</v>
      </c>
      <c r="E14" s="36">
        <f>IFERROR(HistoricalFS!E27,0)</f>
        <v>2.7608071132565179E-2</v>
      </c>
      <c r="F14" s="36">
        <f>IFERROR(HistoricalFS!F27,0)</f>
        <v>1.7912163958707913E-2</v>
      </c>
      <c r="G14" s="36">
        <f>IFERROR(HistoricalFS!G27,0)</f>
        <v>-1.5516078776333117E-2</v>
      </c>
      <c r="H14" s="36">
        <f>IFERROR(HistoricalFS!H27,0)</f>
        <v>-4.0915360088026265E-2</v>
      </c>
      <c r="I14" s="36">
        <f>IFERROR(HistoricalFS!I27,0)</f>
        <v>2.5763151547420113E-3</v>
      </c>
      <c r="J14" s="36">
        <f>IFERROR(HistoricalFS!J27,0)</f>
        <v>-3.3856482095653805E-2</v>
      </c>
      <c r="K14" s="36">
        <f>IFERROR(HistoricalFS!K27,0)</f>
        <v>-9.4518849588445895E-3</v>
      </c>
      <c r="L14" s="36">
        <f>IFERROR(HistoricalFS!L27,0)</f>
        <v>5.0881564327377643E-2</v>
      </c>
      <c r="N14" s="36">
        <f t="shared" si="2"/>
        <v>1.4050569441695698E-2</v>
      </c>
      <c r="O14" s="36">
        <f t="shared" si="3"/>
        <v>1.0244239556724962E-2</v>
      </c>
    </row>
    <row r="15" spans="2:15">
      <c r="B15" s="37" t="s">
        <v>174</v>
      </c>
      <c r="C15" s="38">
        <f>IFERROR(HistoricalFS!C33,0)</f>
        <v>5.0713146858982282E-2</v>
      </c>
      <c r="D15" s="38">
        <f>IFERROR(HistoricalFS!D33,0)</f>
        <v>5.0432381990407359E-2</v>
      </c>
      <c r="E15" s="38">
        <f>IFERROR(HistoricalFS!E33,0)</f>
        <v>1.5552749314395296E-2</v>
      </c>
      <c r="F15" s="38">
        <f>IFERROR(HistoricalFS!F33,0)</f>
        <v>3.01961430487095E-3</v>
      </c>
      <c r="G15" s="38">
        <f>IFERROR(HistoricalFS!G33,0)</f>
        <v>-7.4434056747998256E-3</v>
      </c>
      <c r="H15" s="38">
        <f>IFERROR(HistoricalFS!H33,0)</f>
        <v>-4.2429333632923408E-2</v>
      </c>
      <c r="I15" s="38">
        <f>IFERROR(HistoricalFS!I33,0)</f>
        <v>-7.5994791724005731E-3</v>
      </c>
      <c r="J15" s="38">
        <f>IFERROR(HistoricalFS!J33,0)</f>
        <v>-4.9052154538339235E-2</v>
      </c>
      <c r="K15" s="38">
        <f>IFERROR(HistoricalFS!K33,0)</f>
        <v>-1.1486934720964945E-2</v>
      </c>
      <c r="L15" s="38">
        <f>IFERROR(HistoricalFS!L33,0)</f>
        <v>5.9676713353894045E-2</v>
      </c>
      <c r="M15" s="37"/>
      <c r="N15" s="38">
        <f t="shared" si="2"/>
        <v>6.1383298083121946E-3</v>
      </c>
      <c r="O15" s="38">
        <f t="shared" si="3"/>
        <v>-2.2118956849644378E-3</v>
      </c>
    </row>
    <row r="16" spans="2:15">
      <c r="N16" s="32"/>
      <c r="O16" s="32"/>
    </row>
    <row r="17" spans="2:15">
      <c r="B17" s="34" t="s">
        <v>179</v>
      </c>
      <c r="C17" s="35">
        <f>IFERROR(HistoricalFS!C15,0)</f>
        <v>8.0040779911823637E-2</v>
      </c>
      <c r="D17" s="35">
        <f>IFERROR(HistoricalFS!D15,0)</f>
        <v>0.10672678849247161</v>
      </c>
      <c r="E17" s="35">
        <f>IFERROR(HistoricalFS!E15,0)</f>
        <v>0.12847809529452636</v>
      </c>
      <c r="F17" s="35">
        <f>IFERROR(HistoricalFS!F15,0)</f>
        <v>0.10860201636437025</v>
      </c>
      <c r="G17" s="35">
        <f>IFERROR(HistoricalFS!G15,0)</f>
        <v>0.11402504616835751</v>
      </c>
      <c r="H17" s="35">
        <f>IFERROR(HistoricalFS!H15,0)</f>
        <v>0.12527323822987554</v>
      </c>
      <c r="I17" s="35">
        <f>IFERROR(HistoricalFS!I15,0)</f>
        <v>8.8798023177028354E-2</v>
      </c>
      <c r="J17" s="35">
        <f>IFERROR(HistoricalFS!J15,0)</f>
        <v>0.10929475436519734</v>
      </c>
      <c r="K17" s="35">
        <f>IFERROR(HistoricalFS!K15,0)</f>
        <v>0.11488822184383672</v>
      </c>
      <c r="L17" s="35">
        <f>IFERROR(HistoricalFS!L15,0)</f>
        <v>0.10010244383451636</v>
      </c>
      <c r="M17" s="34"/>
      <c r="N17" s="35">
        <f t="shared" si="2"/>
        <v>0.10762294076820036</v>
      </c>
      <c r="O17" s="35">
        <f t="shared" si="3"/>
        <v>0.1089483853647838</v>
      </c>
    </row>
    <row r="18" spans="2:15">
      <c r="B18" t="s">
        <v>178</v>
      </c>
      <c r="C18" s="36">
        <f>IFERROR(HistoricalFS!C24,0)</f>
        <v>5.0876584184966822E-2</v>
      </c>
      <c r="D18" s="36">
        <f>IFERROR(HistoricalFS!D24,0)</f>
        <v>6.1201425695927715E-2</v>
      </c>
      <c r="E18" s="36">
        <f>IFERROR(HistoricalFS!E24,0)</f>
        <v>6.63903865924938E-2</v>
      </c>
      <c r="F18" s="36">
        <f>IFERROR(HistoricalFS!F24,0)</f>
        <v>7.3927472182518786E-2</v>
      </c>
      <c r="G18" s="36">
        <f>IFERROR(HistoricalFS!G24,0)</f>
        <v>7.8130605447998658E-2</v>
      </c>
      <c r="H18" s="36">
        <f>IFERROR(HistoricalFS!H24,0)</f>
        <v>8.206839774331566E-2</v>
      </c>
      <c r="I18" s="36">
        <f>IFERROR(HistoricalFS!I24,0)</f>
        <v>9.4264230933596482E-2</v>
      </c>
      <c r="J18" s="36">
        <f>IFERROR(HistoricalFS!J24,0)</f>
        <v>8.9191478279219347E-2</v>
      </c>
      <c r="K18" s="36">
        <f>IFERROR(HistoricalFS!K24,0)</f>
        <v>7.1857611147098821E-2</v>
      </c>
      <c r="L18" s="36">
        <f>IFERROR(HistoricalFS!L24,0)</f>
        <v>6.2270839777984394E-2</v>
      </c>
      <c r="N18" s="36">
        <f t="shared" si="2"/>
        <v>7.3017903198512063E-2</v>
      </c>
      <c r="O18" s="36">
        <f t="shared" si="3"/>
        <v>7.2892541664808796E-2</v>
      </c>
    </row>
    <row r="19" spans="2:15">
      <c r="B19" s="37" t="s">
        <v>180</v>
      </c>
      <c r="C19" s="46">
        <f>C13</f>
        <v>9.8229670900837146E-2</v>
      </c>
      <c r="D19" s="46">
        <f t="shared" ref="D19:L19" si="4">D13</f>
        <v>7.941702777851016E-2</v>
      </c>
      <c r="E19" s="46">
        <f t="shared" si="4"/>
        <v>4.3322300645279491E-2</v>
      </c>
      <c r="F19" s="46">
        <f t="shared" si="4"/>
        <v>3.3970412259310953E-2</v>
      </c>
      <c r="G19" s="46">
        <f t="shared" si="4"/>
        <v>3.5560233478087607E-3</v>
      </c>
      <c r="H19" s="46">
        <f t="shared" si="4"/>
        <v>-1.3170363258273463E-2</v>
      </c>
      <c r="I19" s="46">
        <f t="shared" si="4"/>
        <v>3.499160811025849E-2</v>
      </c>
      <c r="J19" s="46">
        <f t="shared" si="4"/>
        <v>-4.1514992694290575E-4</v>
      </c>
      <c r="K19" s="46">
        <f t="shared" si="4"/>
        <v>2.0104346955433238E-2</v>
      </c>
      <c r="L19" s="46">
        <f t="shared" si="4"/>
        <v>7.3683863437114389E-2</v>
      </c>
      <c r="M19" s="37"/>
      <c r="N19" s="38">
        <f t="shared" si="2"/>
        <v>3.7368974024933624E-2</v>
      </c>
      <c r="O19" s="38">
        <f t="shared" si="3"/>
        <v>3.4481010184784722E-2</v>
      </c>
    </row>
    <row r="20" spans="2:15">
      <c r="N20" s="32"/>
      <c r="O20" s="32"/>
    </row>
    <row r="21" spans="2:15">
      <c r="B21" s="34" t="s">
        <v>181</v>
      </c>
      <c r="C21" s="35">
        <f>IFERROR((HistoricalFS!C17-HistoricalFS!C23)/(SUM(HistoricalFS!C46:C48)),0)</f>
        <v>0.19904181268509033</v>
      </c>
      <c r="D21" s="35">
        <f>IFERROR((HistoricalFS!D17-HistoricalFS!D23)/(SUM(HistoricalFS!D46:D48)),0)</f>
        <v>0.1462081011853561</v>
      </c>
      <c r="E21" s="35">
        <f>IFERROR((HistoricalFS!E17-HistoricalFS!E23)/(SUM(HistoricalFS!E46:E48)),0)</f>
        <v>8.5490986154773282E-2</v>
      </c>
      <c r="F21" s="35">
        <f>IFERROR((HistoricalFS!F17-HistoricalFS!F23)/(SUM(HistoricalFS!F46:F48)),0)</f>
        <v>5.3716113570365424E-2</v>
      </c>
      <c r="G21" s="35">
        <f>IFERROR((HistoricalFS!G17-HistoricalFS!G23)/(SUM(HistoricalFS!G46:G48)),0)</f>
        <v>6.4542733637543747E-3</v>
      </c>
      <c r="H21" s="35">
        <f>IFERROR((HistoricalFS!H17-HistoricalFS!H23)/(SUM(HistoricalFS!H46:H48)),0)</f>
        <v>-1.8302177555437667E-2</v>
      </c>
      <c r="I21" s="35">
        <f>IFERROR((HistoricalFS!I17-HistoricalFS!I23)/(SUM(HistoricalFS!I46:I48)),0)</f>
        <v>4.4284324706251613E-2</v>
      </c>
      <c r="J21" s="35">
        <f>IFERROR((HistoricalFS!J17-HistoricalFS!J23)/(SUM(HistoricalFS!J46:J48)),0)</f>
        <v>-6.0520306054739361E-4</v>
      </c>
      <c r="K21" s="35">
        <f>IFERROR((HistoricalFS!K17-HistoricalFS!K23)/(SUM(HistoricalFS!K46:K48)),0)</f>
        <v>3.8762956416083731E-2</v>
      </c>
      <c r="L21" s="35">
        <f>IFERROR((HistoricalFS!L17-HistoricalFS!L23)/(SUM(HistoricalFS!L46:L48)),0)</f>
        <v>0.16790572738589757</v>
      </c>
      <c r="M21" s="34"/>
      <c r="N21" s="35">
        <f t="shared" si="2"/>
        <v>7.2295691485158756E-2</v>
      </c>
      <c r="O21" s="35">
        <f t="shared" si="3"/>
        <v>4.9000219138308515E-2</v>
      </c>
    </row>
    <row r="22" spans="2:15">
      <c r="B22" t="s">
        <v>182</v>
      </c>
      <c r="D22" s="39">
        <f>HistoricalFS!D43</f>
        <v>0.99506765991253665</v>
      </c>
      <c r="E22" s="39">
        <f>HistoricalFS!E43</f>
        <v>1</v>
      </c>
      <c r="F22" s="39">
        <f>HistoricalFS!F43</f>
        <v>1</v>
      </c>
      <c r="G22" s="39">
        <f>HistoricalFS!G43</f>
        <v>1</v>
      </c>
      <c r="H22" s="39">
        <f>HistoricalFS!H43</f>
        <v>1</v>
      </c>
      <c r="I22" s="39">
        <f>HistoricalFS!I43</f>
        <v>1</v>
      </c>
      <c r="J22" s="39">
        <f>HistoricalFS!J43</f>
        <v>1</v>
      </c>
      <c r="K22" s="39">
        <f>HistoricalFS!K43</f>
        <v>1.1927530761681873</v>
      </c>
      <c r="L22" s="39">
        <f>HistoricalFS!L43</f>
        <v>0.91201147619832956</v>
      </c>
      <c r="N22" s="36">
        <f t="shared" si="2"/>
        <v>1.0110924680310061</v>
      </c>
      <c r="O22" s="36">
        <f t="shared" si="3"/>
        <v>1</v>
      </c>
    </row>
    <row r="23" spans="2:15">
      <c r="B23" t="s">
        <v>183</v>
      </c>
      <c r="C23" s="36">
        <f>IFERROR(HistoricalFS!C32/(SUM(HistoricalFS!C46:C47)),0)</f>
        <v>0.2372052002491202</v>
      </c>
      <c r="D23" s="36">
        <f>IFERROR(HistoricalFS!D32/(SUM(HistoricalFS!D46:D47)),0)</f>
        <v>0.17441316864171685</v>
      </c>
      <c r="E23" s="36">
        <f>IFERROR(HistoricalFS!E32/(SUM(HistoricalFS!E46:E47)),0)</f>
        <v>7.2241189530689517E-2</v>
      </c>
      <c r="F23" s="36">
        <f>IFERROR(HistoricalFS!F32/(SUM(HistoricalFS!F46:F47)),0)</f>
        <v>9.2254980749341738E-3</v>
      </c>
      <c r="G23" s="36">
        <f>IFERROR(HistoricalFS!G32/(SUM(HistoricalFS!G46:G47)),0)</f>
        <v>-3.7345736658758885E-2</v>
      </c>
      <c r="H23" s="36">
        <f>IFERROR(HistoricalFS!H32/(SUM(HistoricalFS!H46:H47)),0)</f>
        <v>-0.17560555073176307</v>
      </c>
      <c r="I23" s="36">
        <f>IFERROR(HistoricalFS!I32/(SUM(HistoricalFS!I46:I47)),0)</f>
        <v>-3.4360591904822733E-2</v>
      </c>
      <c r="J23" s="36">
        <f>IFERROR(HistoricalFS!J32/(SUM(HistoricalFS!J46:J47)),0)</f>
        <v>-0.30651638060341208</v>
      </c>
      <c r="K23" s="36">
        <f>IFERROR(HistoricalFS!K32/(SUM(HistoricalFS!K46:K47)),0)</f>
        <v>-8.7686298356707396E-2</v>
      </c>
      <c r="L23" s="36">
        <f>IFERROR(HistoricalFS!L32/(SUM(HistoricalFS!L46:L47)),0)</f>
        <v>0.30775670464290195</v>
      </c>
      <c r="N23" s="36">
        <f t="shared" si="2"/>
        <v>1.5932720288389851E-2</v>
      </c>
      <c r="O23" s="36">
        <f t="shared" si="3"/>
        <v>-1.2567546914944279E-2</v>
      </c>
    </row>
    <row r="24" spans="2:15">
      <c r="B24" t="s">
        <v>184</v>
      </c>
      <c r="D24" s="36">
        <f>IFERROR(D22*D23,0)</f>
        <v>0.17355290357824379</v>
      </c>
      <c r="E24" s="36">
        <f t="shared" ref="E24:L24" si="5">IFERROR(E22*E23,0)</f>
        <v>7.2241189530689517E-2</v>
      </c>
      <c r="F24" s="36">
        <f t="shared" si="5"/>
        <v>9.2254980749341738E-3</v>
      </c>
      <c r="G24" s="36">
        <f t="shared" si="5"/>
        <v>-3.7345736658758885E-2</v>
      </c>
      <c r="H24" s="36">
        <f t="shared" si="5"/>
        <v>-0.17560555073176307</v>
      </c>
      <c r="I24" s="36">
        <f t="shared" si="5"/>
        <v>-3.4360591904822733E-2</v>
      </c>
      <c r="J24" s="36">
        <f t="shared" si="5"/>
        <v>-0.30651638060341208</v>
      </c>
      <c r="K24" s="36">
        <f t="shared" si="5"/>
        <v>-0.10458810210276422</v>
      </c>
      <c r="L24" s="36">
        <f t="shared" si="5"/>
        <v>0.28067764651130633</v>
      </c>
      <c r="N24" s="36">
        <f t="shared" si="2"/>
        <v>-1.3635458256260799E-2</v>
      </c>
      <c r="O24" s="36">
        <f t="shared" si="3"/>
        <v>-3.4360591904822733E-2</v>
      </c>
    </row>
    <row r="25" spans="2:15">
      <c r="B25" s="37" t="s">
        <v>185</v>
      </c>
      <c r="C25" s="40">
        <f>IFERROR((HistoricalFS!C17-HistoricalFS!C23)/(HistoricalFS!C20),0)</f>
        <v>5.3173039541375138</v>
      </c>
      <c r="D25" s="40">
        <f>IFERROR((HistoricalFS!D17-HistoricalFS!D23)/(HistoricalFS!D20),0)</f>
        <v>4.4352863933500721</v>
      </c>
      <c r="E25" s="40">
        <f>IFERROR((HistoricalFS!E17-HistoricalFS!E23)/(HistoricalFS!E20),0)</f>
        <v>2.7568835373205922</v>
      </c>
      <c r="F25" s="40">
        <f>IFERROR((HistoricalFS!F17-HistoricalFS!F23)/(HistoricalFS!F20),0)</f>
        <v>2.1154494328024094</v>
      </c>
      <c r="G25" s="40">
        <f>IFERROR((HistoricalFS!G17-HistoricalFS!G23)/(HistoricalFS!G20),0)</f>
        <v>0.18645156808947008</v>
      </c>
      <c r="H25" s="40">
        <f>IFERROR((HistoricalFS!H17-HistoricalFS!H23)/(HistoricalFS!H20),0)</f>
        <v>-0.47469326953211261</v>
      </c>
      <c r="I25" s="40">
        <f>IFERROR((HistoricalFS!I17-HistoricalFS!I23)/(HistoricalFS!I20),0)</f>
        <v>1.079478385658198</v>
      </c>
      <c r="J25" s="40">
        <f>IFERROR((HistoricalFS!J17-HistoricalFS!J23)/(HistoricalFS!J20),0)</f>
        <v>-1.2414275987824557E-2</v>
      </c>
      <c r="K25" s="40">
        <f>IFERROR((HistoricalFS!K17-HistoricalFS!K23)/(HistoricalFS!K20),0)</f>
        <v>0.68020669934320532</v>
      </c>
      <c r="L25" s="40">
        <f>IFERROR((HistoricalFS!L17-HistoricalFS!L23)/(HistoricalFS!L20),0)</f>
        <v>3.231422545705088</v>
      </c>
      <c r="M25" s="37"/>
      <c r="N25" s="38">
        <f t="shared" si="2"/>
        <v>1.9315374970886612</v>
      </c>
      <c r="O25" s="38">
        <f t="shared" si="3"/>
        <v>1.5974639092303038</v>
      </c>
    </row>
    <row r="26" spans="2:15">
      <c r="N26" s="32"/>
      <c r="O26" s="32"/>
    </row>
    <row r="27" spans="2:15">
      <c r="B27" s="34" t="s">
        <v>189</v>
      </c>
      <c r="C27" s="41">
        <f>HistoricalFS!C6/HistoricalFS!C70</f>
        <v>-82.780427807486632</v>
      </c>
      <c r="D27" s="41">
        <f>HistoricalFS!D6/HistoricalFS!D70</f>
        <v>-122.82753036437246</v>
      </c>
      <c r="E27" s="41">
        <f>HistoricalFS!E6/HistoricalFS!E70</f>
        <v>-64.954843448940267</v>
      </c>
      <c r="F27" s="41">
        <f>HistoricalFS!F6/HistoricalFS!F70</f>
        <v>-27.278300898203589</v>
      </c>
      <c r="G27" s="41">
        <f>HistoricalFS!G6/HistoricalFS!G70</f>
        <v>-33.147260950708095</v>
      </c>
      <c r="H27" s="41">
        <f>HistoricalFS!H6/HistoricalFS!H70</f>
        <v>26.237986934673366</v>
      </c>
      <c r="I27" s="41">
        <f>HistoricalFS!I6/HistoricalFS!I70</f>
        <v>-45.375976385104451</v>
      </c>
      <c r="J27" s="41">
        <f>HistoricalFS!J6/HistoricalFS!J70</f>
        <v>1505.1547027027027</v>
      </c>
      <c r="K27" s="41">
        <f>HistoricalFS!K6/HistoricalFS!K70</f>
        <v>-156.33392227745142</v>
      </c>
      <c r="L27" s="41">
        <f>HistoricalFS!L6/HistoricalFS!L70</f>
        <v>-233.56147733333336</v>
      </c>
      <c r="M27" s="34"/>
      <c r="N27" s="41">
        <f t="shared" si="2"/>
        <v>76.513295017177569</v>
      </c>
      <c r="O27" s="41">
        <f t="shared" si="3"/>
        <v>-55.165409917022359</v>
      </c>
    </row>
    <row r="28" spans="2:15">
      <c r="B28" t="s">
        <v>190</v>
      </c>
      <c r="C28" s="42">
        <f>IFERROR(HistoricalFS!C6/HistoricalFS!C72,0)</f>
        <v>73.140350194552525</v>
      </c>
      <c r="D28" s="42">
        <f>IFERROR(HistoricalFS!D6/HistoricalFS!D72,0)</f>
        <v>69.178008614137312</v>
      </c>
      <c r="E28" s="42">
        <f>IFERROR(HistoricalFS!E6/HistoricalFS!E72,0)</f>
        <v>28.996076765939147</v>
      </c>
      <c r="F28" s="42">
        <f>IFERROR(HistoricalFS!F6/HistoricalFS!F72,0)</f>
        <v>39.829300546448081</v>
      </c>
      <c r="G28" s="42">
        <f>IFERROR(HistoricalFS!G6/HistoricalFS!G72,0)</f>
        <v>-64.351747655583978</v>
      </c>
      <c r="H28" s="42">
        <f>IFERROR(HistoricalFS!H6/HistoricalFS!H72,0)</f>
        <v>-32.290410636982067</v>
      </c>
      <c r="I28" s="42">
        <f>IFERROR(HistoricalFS!I6/HistoricalFS!I72,0)</f>
        <v>43.457680932498263</v>
      </c>
      <c r="J28" s="42">
        <f>IFERROR(HistoricalFS!J6/HistoricalFS!J72,0)</f>
        <v>-39.711012549914429</v>
      </c>
      <c r="K28" s="42">
        <f>IFERROR(HistoricalFS!K6/HistoricalFS!K72,0)</f>
        <v>49.815258459323253</v>
      </c>
      <c r="L28" s="42">
        <f>IFERROR(HistoricalFS!L6/HistoricalFS!L72,0)</f>
        <v>31.951537282941779</v>
      </c>
      <c r="N28" s="42">
        <f t="shared" si="2"/>
        <v>20.00150419533599</v>
      </c>
      <c r="O28" s="42">
        <f t="shared" si="3"/>
        <v>35.890418914694934</v>
      </c>
    </row>
    <row r="29" spans="2:15">
      <c r="B29" t="s">
        <v>191</v>
      </c>
      <c r="C29" s="42">
        <f>IFERROR(HistoricalFS!C6/HistoricalFS!C59,0)</f>
        <v>8.9900219797938927</v>
      </c>
      <c r="D29" s="42">
        <f>IFERROR(HistoricalFS!D6/HistoricalFS!D59,0)</f>
        <v>8.3613381173839922</v>
      </c>
      <c r="E29" s="42">
        <f>IFERROR(HistoricalFS!E6/HistoricalFS!E59,0)</f>
        <v>7.6867643466738649</v>
      </c>
      <c r="F29" s="42">
        <f>IFERROR(HistoricalFS!F6/HistoricalFS!F59,0)</f>
        <v>6.9190051742350009</v>
      </c>
      <c r="G29" s="42">
        <f>IFERROR(HistoricalFS!G6/HistoricalFS!G59,0)</f>
        <v>7.7392856309817084</v>
      </c>
      <c r="H29" s="42">
        <f>IFERROR(HistoricalFS!H6/HistoricalFS!H59,0)</f>
        <v>6.9698269049637886</v>
      </c>
      <c r="I29" s="42">
        <f>IFERROR(HistoricalFS!I6/HistoricalFS!I59,0)</f>
        <v>6.9217098811563442</v>
      </c>
      <c r="J29" s="42">
        <f>IFERROR(HistoricalFS!J6/HistoricalFS!J59,0)</f>
        <v>7.9015588385356104</v>
      </c>
      <c r="K29" s="42">
        <f>IFERROR(HistoricalFS!K6/HistoricalFS!K59,0)</f>
        <v>8.4888641723217457</v>
      </c>
      <c r="L29" s="42">
        <f>IFERROR(HistoricalFS!L6/HistoricalFS!L59,0)</f>
        <v>9.1639137956181322</v>
      </c>
      <c r="N29" s="42">
        <f t="shared" si="2"/>
        <v>7.9142288841664072</v>
      </c>
      <c r="O29" s="42">
        <f t="shared" si="3"/>
        <v>7.8204222347586594</v>
      </c>
    </row>
    <row r="30" spans="2:15">
      <c r="B30" t="s">
        <v>192</v>
      </c>
      <c r="C30" s="42">
        <f>IFERROR(HistoricalFS!C6/HistoricalFS!C52,0)</f>
        <v>2.9742370802544178</v>
      </c>
      <c r="D30" s="42">
        <f>IFERROR(HistoricalFS!D6/HistoricalFS!D52,0)</f>
        <v>2.546312771514708</v>
      </c>
      <c r="E30" s="42">
        <f>IFERROR(HistoricalFS!E6/HistoricalFS!E52,0)</f>
        <v>2.8109343484246239</v>
      </c>
      <c r="F30" s="42">
        <f>IFERROR(HistoricalFS!F6/HistoricalFS!F52,0)</f>
        <v>2.4012948768781421</v>
      </c>
      <c r="G30" s="42">
        <f>IFERROR(HistoricalFS!G6/HistoricalFS!G52,0)</f>
        <v>2.7144319562092578</v>
      </c>
      <c r="H30" s="42">
        <f>IFERROR(HistoricalFS!H6/HistoricalFS!H52,0)</f>
        <v>2.0539205744067566</v>
      </c>
      <c r="I30" s="42">
        <f>IFERROR(HistoricalFS!I6/HistoricalFS!I52,0)</f>
        <v>1.8008727134726064</v>
      </c>
      <c r="J30" s="42">
        <f>IFERROR(HistoricalFS!J6/HistoricalFS!J52,0)</f>
        <v>2.0053488717943728</v>
      </c>
      <c r="K30" s="42">
        <f>IFERROR(HistoricalFS!K6/HistoricalFS!K52,0)</f>
        <v>2.6193791539294131</v>
      </c>
      <c r="L30" s="42">
        <f>IFERROR(HistoricalFS!L6/HistoricalFS!L52,0)</f>
        <v>3.6107194547475023</v>
      </c>
      <c r="N30" s="42">
        <f t="shared" si="2"/>
        <v>2.5537451801631801</v>
      </c>
      <c r="O30" s="42">
        <f t="shared" si="3"/>
        <v>2.5828459627220606</v>
      </c>
    </row>
    <row r="31" spans="2:15">
      <c r="B31" s="37" t="s">
        <v>193</v>
      </c>
      <c r="C31" s="40">
        <f>IFERROR(HistoricalFS!C6/SUM(HistoricalFS!C46:C47),0)</f>
        <v>4.6773906756114965</v>
      </c>
      <c r="D31" s="40">
        <f>IFERROR(HistoricalFS!D6/SUM(HistoricalFS!D46:D47),0)</f>
        <v>3.4583567493379874</v>
      </c>
      <c r="E31" s="40">
        <f>IFERROR(HistoricalFS!E6/SUM(HistoricalFS!E46:E47),0)</f>
        <v>4.6449144180459854</v>
      </c>
      <c r="F31" s="40">
        <f>IFERROR(HistoricalFS!F6/SUM(HistoricalFS!F46:F47),0)</f>
        <v>3.0551908765475422</v>
      </c>
      <c r="G31" s="40">
        <f>IFERROR(HistoricalFS!G6/SUM(HistoricalFS!G46:G47),0)</f>
        <v>5.0172915853821474</v>
      </c>
      <c r="H31" s="40">
        <f>IFERROR(HistoricalFS!H6/SUM(HistoricalFS!H46:H47),0)</f>
        <v>4.1387770133514525</v>
      </c>
      <c r="I31" s="40">
        <f>IFERROR(HistoricalFS!I6/SUM(HistoricalFS!I46:I47),0)</f>
        <v>4.5214403678625628</v>
      </c>
      <c r="J31" s="40">
        <f>IFERROR(HistoricalFS!J6/SUM(HistoricalFS!J46:J47),0)</f>
        <v>6.2487852671963351</v>
      </c>
      <c r="K31" s="40">
        <f>IFERROR(HistoricalFS!K6/SUM(HistoricalFS!K46:K47),0)</f>
        <v>7.6335680916398054</v>
      </c>
      <c r="L31" s="40">
        <f>IFERROR(HistoricalFS!L6/SUM(HistoricalFS!L46:L47),0)</f>
        <v>5.1570652495194773</v>
      </c>
      <c r="M31" s="37"/>
      <c r="N31" s="40">
        <f t="shared" si="2"/>
        <v>4.8552780294494795</v>
      </c>
      <c r="O31" s="40">
        <f t="shared" si="3"/>
        <v>4.6611525468287409</v>
      </c>
    </row>
    <row r="32" spans="2:15">
      <c r="N32" s="32"/>
      <c r="O32" s="32"/>
    </row>
    <row r="33" spans="2:15">
      <c r="N33" s="32"/>
      <c r="O33" s="32"/>
    </row>
    <row r="34" spans="2:15">
      <c r="B34" s="34" t="s">
        <v>194</v>
      </c>
      <c r="C34" s="43">
        <f>IFERROR(365/C27,0)</f>
        <v>-4.4092548162331378</v>
      </c>
      <c r="D34" s="43">
        <f t="shared" ref="D34:L34" si="6">IFERROR(365/D27,0)</f>
        <v>-2.971646494211956</v>
      </c>
      <c r="E34" s="43">
        <f t="shared" si="6"/>
        <v>-5.6192884259188363</v>
      </c>
      <c r="F34" s="43">
        <f t="shared" si="6"/>
        <v>-13.380598790302113</v>
      </c>
      <c r="G34" s="43">
        <f t="shared" si="6"/>
        <v>-11.011467902062142</v>
      </c>
      <c r="H34" s="43">
        <f t="shared" si="6"/>
        <v>13.911128201594398</v>
      </c>
      <c r="I34" s="43">
        <f t="shared" si="6"/>
        <v>-8.0439040452211259</v>
      </c>
      <c r="J34" s="43">
        <f t="shared" si="6"/>
        <v>0.24249998976490231</v>
      </c>
      <c r="K34" s="43">
        <f t="shared" si="6"/>
        <v>-2.3347460019087949</v>
      </c>
      <c r="L34" s="43">
        <f t="shared" si="6"/>
        <v>-1.5627577123049308</v>
      </c>
      <c r="M34" s="34"/>
      <c r="N34" s="43">
        <f t="shared" si="2"/>
        <v>-3.5180035996803731</v>
      </c>
      <c r="O34" s="43">
        <f t="shared" si="3"/>
        <v>-3.6904506552225467</v>
      </c>
    </row>
    <row r="35" spans="2:15">
      <c r="B35" t="s">
        <v>195</v>
      </c>
      <c r="C35" s="44">
        <f>IFERROR(365/C28,0)</f>
        <v>4.9904054195680496</v>
      </c>
      <c r="D35" s="44">
        <f t="shared" ref="D35:L35" si="7">IFERROR(365/D28,0)</f>
        <v>5.2762432355621192</v>
      </c>
      <c r="E35" s="44">
        <f t="shared" si="7"/>
        <v>12.587909838504599</v>
      </c>
      <c r="F35" s="44">
        <f t="shared" si="7"/>
        <v>9.1641077044359545</v>
      </c>
      <c r="G35" s="44">
        <f t="shared" si="7"/>
        <v>-5.6719516298688735</v>
      </c>
      <c r="H35" s="44">
        <f t="shared" si="7"/>
        <v>-11.303665478380974</v>
      </c>
      <c r="I35" s="44">
        <f t="shared" si="7"/>
        <v>8.3989755589338841</v>
      </c>
      <c r="J35" s="44">
        <f t="shared" si="7"/>
        <v>-9.1914050174675417</v>
      </c>
      <c r="K35" s="44">
        <f t="shared" si="7"/>
        <v>7.32707229247925</v>
      </c>
      <c r="L35" s="44">
        <f t="shared" si="7"/>
        <v>11.423550509254071</v>
      </c>
      <c r="N35" s="44">
        <f t="shared" si="2"/>
        <v>3.3001242433020543</v>
      </c>
      <c r="O35" s="44">
        <f t="shared" si="3"/>
        <v>6.3016577640206846</v>
      </c>
    </row>
    <row r="36" spans="2:15">
      <c r="B36" t="s">
        <v>196</v>
      </c>
      <c r="C36" s="44">
        <f>IFERROR(365/C29,0)</f>
        <v>40.600568143256986</v>
      </c>
      <c r="D36" s="44">
        <f t="shared" ref="D36:L36" si="8">IFERROR(365/D29,0)</f>
        <v>43.653299851746382</v>
      </c>
      <c r="E36" s="44">
        <f t="shared" si="8"/>
        <v>47.484218786795374</v>
      </c>
      <c r="F36" s="44">
        <f t="shared" si="8"/>
        <v>52.753248596949661</v>
      </c>
      <c r="G36" s="44">
        <f t="shared" si="8"/>
        <v>47.161975588398164</v>
      </c>
      <c r="H36" s="44">
        <f t="shared" si="8"/>
        <v>52.368588915752468</v>
      </c>
      <c r="I36" s="44">
        <f t="shared" si="8"/>
        <v>52.732634893247351</v>
      </c>
      <c r="J36" s="44">
        <f t="shared" si="8"/>
        <v>46.193416698982041</v>
      </c>
      <c r="K36" s="44">
        <f t="shared" si="8"/>
        <v>42.997507392107408</v>
      </c>
      <c r="L36" s="44">
        <f t="shared" si="8"/>
        <v>39.830143336194453</v>
      </c>
      <c r="N36" s="44">
        <f t="shared" si="2"/>
        <v>46.577560220343024</v>
      </c>
      <c r="O36" s="44">
        <f t="shared" si="3"/>
        <v>46.677696143690099</v>
      </c>
    </row>
    <row r="37" spans="2:15">
      <c r="B37" s="37" t="s">
        <v>223</v>
      </c>
      <c r="C37" s="45">
        <f>IFERROR(SUM(C34,C36)-C35,0)</f>
        <v>31.2009079074558</v>
      </c>
      <c r="D37" s="45">
        <f t="shared" ref="D37:L37" si="9">IFERROR(SUM(D34,D36)-D35,0)</f>
        <v>35.405410121972309</v>
      </c>
      <c r="E37" s="45">
        <f t="shared" si="9"/>
        <v>29.277020522371934</v>
      </c>
      <c r="F37" s="45">
        <f t="shared" si="9"/>
        <v>30.208542102211588</v>
      </c>
      <c r="G37" s="45">
        <f t="shared" si="9"/>
        <v>41.822459316204892</v>
      </c>
      <c r="H37" s="45">
        <f t="shared" si="9"/>
        <v>77.583382595727841</v>
      </c>
      <c r="I37" s="45">
        <f t="shared" si="9"/>
        <v>36.289755289092341</v>
      </c>
      <c r="J37" s="45">
        <f t="shared" si="9"/>
        <v>55.627321706214488</v>
      </c>
      <c r="K37" s="45">
        <f t="shared" si="9"/>
        <v>33.33568909771936</v>
      </c>
      <c r="L37" s="45">
        <f t="shared" si="9"/>
        <v>26.843835114635453</v>
      </c>
      <c r="M37" s="37"/>
      <c r="N37" s="45">
        <f t="shared" si="2"/>
        <v>39.759432377360604</v>
      </c>
      <c r="O37" s="45">
        <f t="shared" si="3"/>
        <v>34.370549609845838</v>
      </c>
    </row>
    <row r="38" spans="2:15">
      <c r="N38" s="32"/>
      <c r="O38" s="32"/>
    </row>
    <row r="39" spans="2:15">
      <c r="B39" s="34" t="s">
        <v>197</v>
      </c>
      <c r="C39" s="35">
        <f>IFERROR(HistoricalFS!C77/HistoricalFS!C6,0)</f>
        <v>0.12106750071762705</v>
      </c>
      <c r="D39" s="35">
        <f>IFERROR(HistoricalFS!D77/HistoricalFS!D6,0)</f>
        <v>0.14360971207739662</v>
      </c>
      <c r="E39" s="35">
        <f>IFERROR(HistoricalFS!E77/HistoricalFS!E6,0)</f>
        <v>0.12404497255040564</v>
      </c>
      <c r="F39" s="35">
        <f>IFERROR(HistoricalFS!F77/HistoricalFS!F6,0)</f>
        <v>5.9759805574664121E-2</v>
      </c>
      <c r="G39" s="35">
        <f>IFERROR(HistoricalFS!G77/HistoricalFS!G6,0)</f>
        <v>3.8653579670555313E-2</v>
      </c>
      <c r="H39" s="35">
        <f>IFERROR(HistoricalFS!H77/HistoricalFS!H6,0)</f>
        <v>0.12141665635964458</v>
      </c>
      <c r="I39" s="35">
        <f>IFERROR(HistoricalFS!I77/HistoricalFS!I6,0)</f>
        <v>0.11572300859005244</v>
      </c>
      <c r="J39" s="35">
        <f>IFERROR(HistoricalFS!J77/HistoricalFS!J6,0)</f>
        <v>1.2684338598291522E-2</v>
      </c>
      <c r="K39" s="35">
        <f>IFERROR(HistoricalFS!K77/HistoricalFS!K6,0)</f>
        <v>9.3248786148573667E-2</v>
      </c>
      <c r="L39" s="35">
        <f>IFERROR(HistoricalFS!L77/HistoricalFS!L6,0)</f>
        <v>0.17181143821959496</v>
      </c>
      <c r="M39" s="34"/>
      <c r="N39" s="35">
        <f t="shared" si="2"/>
        <v>0.10020197985068061</v>
      </c>
      <c r="O39" s="35">
        <f t="shared" si="3"/>
        <v>0.11839525465383974</v>
      </c>
    </row>
    <row r="40" spans="2:15">
      <c r="B40" t="s">
        <v>198</v>
      </c>
      <c r="C40" s="36">
        <f>IFERROR(HistoricalFS!C77/HistoricalFS!C63,0)</f>
        <v>0.1342520624188657</v>
      </c>
      <c r="D40" s="36">
        <f>IFERROR(HistoricalFS!D77/HistoricalFS!D63,0)</f>
        <v>0.14899075217760099</v>
      </c>
      <c r="E40" s="36">
        <f>IFERROR(HistoricalFS!E77/HistoricalFS!E63,0)</f>
        <v>0.12273077928285075</v>
      </c>
      <c r="F40" s="36">
        <f>IFERROR(HistoricalFS!F77/HistoricalFS!F63,0)</f>
        <v>5.3250110386320486E-2</v>
      </c>
      <c r="G40" s="36">
        <f>IFERROR(HistoricalFS!G77/HistoricalFS!G63,0)</f>
        <v>3.8177516390146542E-2</v>
      </c>
      <c r="H40" s="36">
        <f>IFERROR(HistoricalFS!H77/HistoricalFS!H63,0)</f>
        <v>9.9000750797857404E-2</v>
      </c>
      <c r="I40" s="36">
        <f>IFERROR(HistoricalFS!I77/HistoricalFS!I63,0)</f>
        <v>8.4629819997903213E-2</v>
      </c>
      <c r="J40" s="36">
        <f>IFERROR(HistoricalFS!J77/HistoricalFS!J63,0)</f>
        <v>1.073355621163692E-2</v>
      </c>
      <c r="K40" s="36">
        <f>IFERROR(HistoricalFS!K77/HistoricalFS!K63,0)</f>
        <v>9.639517425935408E-2</v>
      </c>
      <c r="L40" s="36">
        <f>IFERROR(HistoricalFS!L77/HistoricalFS!L63,0)</f>
        <v>0.2036178712738107</v>
      </c>
      <c r="N40" s="36">
        <f t="shared" si="2"/>
        <v>9.9177839319634684E-2</v>
      </c>
      <c r="O40" s="36">
        <f t="shared" si="3"/>
        <v>9.7697962528605742E-2</v>
      </c>
    </row>
    <row r="41" spans="2:15">
      <c r="B41" s="37" t="s">
        <v>199</v>
      </c>
      <c r="C41" s="38">
        <f>IFERROR(HistoricalFS!C77/HistoricalFS!C48,0)</f>
        <v>0.43281933433581865</v>
      </c>
      <c r="D41" s="38">
        <f>IFERROR(HistoricalFS!D77/HistoricalFS!D48,0)</f>
        <v>0.56534057978118779</v>
      </c>
      <c r="E41" s="38">
        <f>IFERROR(HistoricalFS!E77/HistoricalFS!E48,0)</f>
        <v>0.42560185883717339</v>
      </c>
      <c r="F41" s="38">
        <f>IFERROR(HistoricalFS!F77/HistoricalFS!F48,0)</f>
        <v>0.19587305159826587</v>
      </c>
      <c r="G41" s="38">
        <f>IFERROR(HistoricalFS!G77/HistoricalFS!G48,0)</f>
        <v>0.1099219460940742</v>
      </c>
      <c r="H41" s="38">
        <f>IFERROR(HistoricalFS!H77/HistoricalFS!H48,0)</f>
        <v>0.25401554192386361</v>
      </c>
      <c r="I41" s="38">
        <f>IFERROR(HistoricalFS!I77/HistoricalFS!I48,0)</f>
        <v>0.20338341005738594</v>
      </c>
      <c r="J41" s="38">
        <f>IFERROR(HistoricalFS!J77/HistoricalFS!J48,0)</f>
        <v>2.4117605968438302E-2</v>
      </c>
      <c r="K41" s="38">
        <f>IFERROR(HistoricalFS!K77/HistoricalFS!K48,0)</f>
        <v>0.24055008953614193</v>
      </c>
      <c r="L41" s="38">
        <f>IFERROR(HistoricalFS!L77/HistoricalFS!L48,0)</f>
        <v>0.70146602960027971</v>
      </c>
      <c r="M41" s="37"/>
      <c r="N41" s="38">
        <f t="shared" si="2"/>
        <v>0.31530894477326293</v>
      </c>
      <c r="O41" s="38">
        <f t="shared" si="3"/>
        <v>0.24728281573000277</v>
      </c>
    </row>
  </sheetData>
  <mergeCells count="1">
    <mergeCell ref="B2:L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00000000-0003-0000-0200-000001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s>
        </x14:sparklineGroup>
        <x14:sparklineGroup displayEmptyCellsAs="gap" markers="1" xr2:uid="{00000000-0003-0000-02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93"/>
  <sheetViews>
    <sheetView zoomScale="120" zoomScaleNormal="120" zoomScalePageLayoutView="120" workbookViewId="0">
      <pane xSplit="1" ySplit="1" topLeftCell="F2" activePane="bottomRight" state="frozen"/>
      <selection activeCell="C4" sqref="C4"/>
      <selection pane="topRight" activeCell="C4" sqref="C4"/>
      <selection pane="bottomLeft" activeCell="C4" sqref="C4"/>
      <selection pane="bottomRight" activeCell="B17" sqref="B17"/>
    </sheetView>
  </sheetViews>
  <sheetFormatPr defaultColWidth="8.85546875" defaultRowHeight="15"/>
  <cols>
    <col min="1" max="1" width="27.7109375" style="2" bestFit="1" customWidth="1"/>
    <col min="2" max="11" width="13.42578125" style="2" bestFit="1" customWidth="1"/>
    <col min="12" max="16384" width="8.85546875" style="2"/>
  </cols>
  <sheetData>
    <row r="1" spans="1:11" s="1" customFormat="1">
      <c r="A1" s="1" t="s">
        <v>0</v>
      </c>
      <c r="B1" s="1" t="s">
        <v>32</v>
      </c>
      <c r="E1" s="60" t="str">
        <f>IF(B2&lt;&gt;B3, "A NEW VERSION OF THE WORKSHEET IS AVAILABLE", "")</f>
        <v/>
      </c>
      <c r="F1" s="60"/>
      <c r="G1" s="60"/>
      <c r="H1" s="60"/>
      <c r="I1" s="60"/>
      <c r="J1" s="60"/>
      <c r="K1" s="60"/>
    </row>
    <row r="2" spans="1:11">
      <c r="A2" s="1" t="s">
        <v>30</v>
      </c>
      <c r="B2" s="2">
        <v>2.1</v>
      </c>
      <c r="E2" s="61" t="s">
        <v>21</v>
      </c>
      <c r="F2" s="61"/>
      <c r="G2" s="61"/>
      <c r="H2" s="61"/>
      <c r="I2" s="61"/>
      <c r="J2" s="61"/>
      <c r="K2" s="61"/>
    </row>
    <row r="3" spans="1:11">
      <c r="A3" s="1" t="s">
        <v>31</v>
      </c>
      <c r="B3" s="2">
        <v>2.1</v>
      </c>
    </row>
    <row r="4" spans="1:11">
      <c r="A4" s="1"/>
    </row>
    <row r="5" spans="1:11">
      <c r="A5" s="1" t="s">
        <v>33</v>
      </c>
    </row>
    <row r="6" spans="1:11">
      <c r="A6" s="2" t="s">
        <v>27</v>
      </c>
      <c r="B6" s="2">
        <f>IF(B9&gt;0, B9/B8, 0)</f>
        <v>368.06087195331276</v>
      </c>
    </row>
    <row r="7" spans="1:11">
      <c r="A7" s="2" t="s">
        <v>16</v>
      </c>
      <c r="B7">
        <v>2</v>
      </c>
    </row>
    <row r="8" spans="1:11">
      <c r="A8" s="2" t="s">
        <v>28</v>
      </c>
      <c r="B8">
        <v>728.25</v>
      </c>
    </row>
    <row r="9" spans="1:11">
      <c r="A9" s="2" t="s">
        <v>43</v>
      </c>
      <c r="B9">
        <v>268040.33</v>
      </c>
    </row>
    <row r="15" spans="1:11">
      <c r="A15" s="1" t="s">
        <v>22</v>
      </c>
    </row>
    <row r="16" spans="1:11" s="6" customFormat="1">
      <c r="A16" s="5" t="s">
        <v>23</v>
      </c>
      <c r="B16" s="4">
        <v>42094</v>
      </c>
      <c r="C16" s="4">
        <v>42460</v>
      </c>
      <c r="D16" s="4">
        <v>42825</v>
      </c>
      <c r="E16" s="4">
        <v>43190</v>
      </c>
      <c r="F16" s="4">
        <v>43555</v>
      </c>
      <c r="G16" s="4">
        <v>43921</v>
      </c>
      <c r="H16" s="4">
        <v>44286</v>
      </c>
      <c r="I16" s="4">
        <v>44651</v>
      </c>
      <c r="J16" s="4">
        <v>45016</v>
      </c>
      <c r="K16" s="4">
        <v>45382</v>
      </c>
    </row>
    <row r="17" spans="1:11" s="3" customFormat="1">
      <c r="A17" s="3" t="s">
        <v>1</v>
      </c>
      <c r="B17">
        <v>263158.98</v>
      </c>
      <c r="C17">
        <v>273045.59999999998</v>
      </c>
      <c r="D17">
        <v>269692.51</v>
      </c>
      <c r="E17">
        <v>291550.48</v>
      </c>
      <c r="F17">
        <v>301938.40000000002</v>
      </c>
      <c r="G17">
        <v>261067.97</v>
      </c>
      <c r="H17">
        <v>249794.75</v>
      </c>
      <c r="I17">
        <v>278453.62</v>
      </c>
      <c r="J17">
        <v>345966.97</v>
      </c>
      <c r="K17">
        <v>437927.77</v>
      </c>
    </row>
    <row r="18" spans="1:11" s="3" customFormat="1">
      <c r="A18" s="2" t="s">
        <v>44</v>
      </c>
      <c r="B18">
        <v>163250.35999999999</v>
      </c>
      <c r="C18">
        <v>166134.01</v>
      </c>
      <c r="D18">
        <v>173294.07999999999</v>
      </c>
      <c r="E18">
        <v>187896.58</v>
      </c>
      <c r="F18">
        <v>194267.91</v>
      </c>
      <c r="G18">
        <v>164899.82</v>
      </c>
      <c r="H18">
        <v>153607.35999999999</v>
      </c>
      <c r="I18">
        <v>179295.33</v>
      </c>
      <c r="J18">
        <v>231251.26</v>
      </c>
      <c r="K18">
        <v>274321.23</v>
      </c>
    </row>
    <row r="19" spans="1:11" s="3" customFormat="1">
      <c r="A19" s="2" t="s">
        <v>45</v>
      </c>
      <c r="B19">
        <v>3330.35</v>
      </c>
      <c r="C19">
        <v>2750.99</v>
      </c>
      <c r="D19">
        <v>7399.92</v>
      </c>
      <c r="E19">
        <v>2046.58</v>
      </c>
      <c r="F19">
        <v>-2053.2800000000002</v>
      </c>
      <c r="G19">
        <v>-2231.19</v>
      </c>
      <c r="H19">
        <v>-4684.16</v>
      </c>
      <c r="I19">
        <v>-1590.49</v>
      </c>
      <c r="J19">
        <v>4781.62</v>
      </c>
      <c r="K19">
        <v>1565.53</v>
      </c>
    </row>
    <row r="20" spans="1:11" s="3" customFormat="1">
      <c r="A20" s="2" t="s">
        <v>46</v>
      </c>
      <c r="B20">
        <v>1121.75</v>
      </c>
      <c r="C20">
        <v>1143.6300000000001</v>
      </c>
      <c r="D20">
        <v>1159.82</v>
      </c>
      <c r="E20">
        <v>1308.08</v>
      </c>
      <c r="F20">
        <v>1585.93</v>
      </c>
      <c r="G20">
        <v>1264.95</v>
      </c>
      <c r="H20">
        <v>1112.8699999999999</v>
      </c>
      <c r="I20">
        <v>2178.29</v>
      </c>
      <c r="J20">
        <v>2513.33</v>
      </c>
      <c r="K20">
        <v>2195.12</v>
      </c>
    </row>
    <row r="21" spans="1:11" s="3" customFormat="1">
      <c r="A21" s="2" t="s">
        <v>47</v>
      </c>
      <c r="B21">
        <v>16173.17</v>
      </c>
      <c r="C21">
        <v>12101.53</v>
      </c>
      <c r="D21">
        <v>10067.370000000001</v>
      </c>
      <c r="E21">
        <v>10971.66</v>
      </c>
      <c r="F21">
        <v>11694.54</v>
      </c>
      <c r="G21">
        <v>11541.51</v>
      </c>
      <c r="H21">
        <v>8273.17</v>
      </c>
      <c r="I21">
        <v>9427.3799999999992</v>
      </c>
      <c r="J21">
        <v>11765.97</v>
      </c>
      <c r="K21">
        <v>17114.330000000002</v>
      </c>
    </row>
    <row r="22" spans="1:11" s="3" customFormat="1">
      <c r="A22" s="2" t="s">
        <v>48</v>
      </c>
      <c r="B22">
        <v>25641.95</v>
      </c>
      <c r="C22">
        <v>28880.89</v>
      </c>
      <c r="D22">
        <v>28332.89</v>
      </c>
      <c r="E22">
        <v>30300.09</v>
      </c>
      <c r="F22">
        <v>33243.870000000003</v>
      </c>
      <c r="G22">
        <v>30438.6</v>
      </c>
      <c r="H22">
        <v>27648.48</v>
      </c>
      <c r="I22">
        <v>30808.52</v>
      </c>
      <c r="J22">
        <v>33654.699999999997</v>
      </c>
      <c r="K22">
        <v>42486.64</v>
      </c>
    </row>
    <row r="23" spans="1:11" s="3" customFormat="1">
      <c r="A23" s="2" t="s">
        <v>49</v>
      </c>
      <c r="B23">
        <v>23603.01</v>
      </c>
      <c r="C23">
        <v>21991.9</v>
      </c>
      <c r="D23">
        <v>30039.38</v>
      </c>
      <c r="E23">
        <v>31004.58</v>
      </c>
      <c r="F23">
        <v>32719.8</v>
      </c>
      <c r="G23">
        <v>29248.32</v>
      </c>
      <c r="H23">
        <v>23015.79</v>
      </c>
      <c r="I23">
        <v>29205.4</v>
      </c>
      <c r="J23">
        <v>34839.19</v>
      </c>
      <c r="K23">
        <v>42765.33</v>
      </c>
    </row>
    <row r="24" spans="1:11" s="3" customFormat="1">
      <c r="A24" s="2" t="s">
        <v>50</v>
      </c>
      <c r="B24">
        <v>-2539.56</v>
      </c>
      <c r="C24">
        <v>7149.38</v>
      </c>
      <c r="D24">
        <v>4610.2</v>
      </c>
      <c r="E24">
        <v>658.39</v>
      </c>
      <c r="F24">
        <v>1708.74</v>
      </c>
      <c r="G24">
        <v>3456.51</v>
      </c>
      <c r="H24">
        <v>-834.51</v>
      </c>
      <c r="I24">
        <v>1228.1199999999999</v>
      </c>
      <c r="J24">
        <v>4908.34</v>
      </c>
      <c r="K24">
        <v>1072.31</v>
      </c>
    </row>
    <row r="25" spans="1:11" s="3" customFormat="1">
      <c r="A25" s="3" t="s">
        <v>4</v>
      </c>
      <c r="B25">
        <v>714.03</v>
      </c>
      <c r="C25">
        <v>-2669.62</v>
      </c>
      <c r="D25">
        <v>1869.1</v>
      </c>
      <c r="E25">
        <v>5932.73</v>
      </c>
      <c r="F25">
        <v>-26686.25</v>
      </c>
      <c r="G25">
        <v>101.71</v>
      </c>
      <c r="H25">
        <v>-11117.83</v>
      </c>
      <c r="I25">
        <v>2424.0500000000002</v>
      </c>
      <c r="J25">
        <v>6663.97</v>
      </c>
      <c r="K25">
        <v>5672.66</v>
      </c>
    </row>
    <row r="26" spans="1:11" s="3" customFormat="1">
      <c r="A26" s="3" t="s">
        <v>5</v>
      </c>
      <c r="B26">
        <v>13388.63</v>
      </c>
      <c r="C26">
        <v>16710.78</v>
      </c>
      <c r="D26">
        <v>17904.990000000002</v>
      </c>
      <c r="E26">
        <v>21553.59</v>
      </c>
      <c r="F26">
        <v>23590.63</v>
      </c>
      <c r="G26">
        <v>21425.43</v>
      </c>
      <c r="H26">
        <v>23546.71</v>
      </c>
      <c r="I26">
        <v>24835.69</v>
      </c>
      <c r="J26">
        <v>24860.36</v>
      </c>
      <c r="K26">
        <v>27270.13</v>
      </c>
    </row>
    <row r="27" spans="1:11" s="3" customFormat="1">
      <c r="A27" s="3" t="s">
        <v>6</v>
      </c>
      <c r="B27">
        <v>4861.49</v>
      </c>
      <c r="C27">
        <v>4889.08</v>
      </c>
      <c r="D27">
        <v>4238.01</v>
      </c>
      <c r="E27">
        <v>4681.79</v>
      </c>
      <c r="F27">
        <v>5758.6</v>
      </c>
      <c r="G27">
        <v>7243.33</v>
      </c>
      <c r="H27">
        <v>8097.17</v>
      </c>
      <c r="I27">
        <v>9311.86</v>
      </c>
      <c r="J27">
        <v>10225.48</v>
      </c>
      <c r="K27">
        <v>9985.76</v>
      </c>
    </row>
    <row r="28" spans="1:11" s="3" customFormat="1">
      <c r="A28" s="3" t="s">
        <v>7</v>
      </c>
      <c r="B28">
        <v>21702.560000000001</v>
      </c>
      <c r="C28">
        <v>14125.77</v>
      </c>
      <c r="D28">
        <v>9314.7900000000009</v>
      </c>
      <c r="E28">
        <v>11155.03</v>
      </c>
      <c r="F28">
        <v>-31371.15</v>
      </c>
      <c r="G28">
        <v>-10579.98</v>
      </c>
      <c r="H28">
        <v>-10474.280000000001</v>
      </c>
      <c r="I28">
        <v>-7003.41</v>
      </c>
      <c r="J28">
        <v>3393.93</v>
      </c>
      <c r="K28">
        <v>27955.11</v>
      </c>
    </row>
    <row r="29" spans="1:11" s="3" customFormat="1">
      <c r="A29" s="3" t="s">
        <v>8</v>
      </c>
      <c r="B29">
        <v>7642.91</v>
      </c>
      <c r="C29">
        <v>3025.05</v>
      </c>
      <c r="D29">
        <v>3251.23</v>
      </c>
      <c r="E29">
        <v>4341.93</v>
      </c>
      <c r="F29">
        <v>-2437.4499999999998</v>
      </c>
      <c r="G29">
        <v>395.25</v>
      </c>
      <c r="H29">
        <v>2541.86</v>
      </c>
      <c r="I29">
        <v>4231.29</v>
      </c>
      <c r="J29">
        <v>704.06</v>
      </c>
      <c r="K29">
        <v>-3851.64</v>
      </c>
    </row>
    <row r="30" spans="1:11" s="3" customFormat="1">
      <c r="A30" s="3" t="s">
        <v>9</v>
      </c>
      <c r="B30">
        <v>13986.29</v>
      </c>
      <c r="C30">
        <v>11579.31</v>
      </c>
      <c r="D30">
        <v>7454.36</v>
      </c>
      <c r="E30">
        <v>8988.91</v>
      </c>
      <c r="F30">
        <v>-28826.23</v>
      </c>
      <c r="G30">
        <v>-12070.85</v>
      </c>
      <c r="H30">
        <v>-13451.39</v>
      </c>
      <c r="I30">
        <v>-11441.47</v>
      </c>
      <c r="J30">
        <v>2414.29</v>
      </c>
      <c r="K30">
        <v>31399.09</v>
      </c>
    </row>
    <row r="31" spans="1:11" s="3" customFormat="1">
      <c r="A31" s="3" t="s">
        <v>34</v>
      </c>
      <c r="C31">
        <v>67.92</v>
      </c>
      <c r="J31">
        <v>766.02</v>
      </c>
      <c r="K31">
        <v>2299.5</v>
      </c>
    </row>
    <row r="32" spans="1:11" s="3" customFormat="1"/>
    <row r="33" spans="1:11">
      <c r="A33" s="3"/>
    </row>
    <row r="34" spans="1:11">
      <c r="A34" s="3"/>
    </row>
    <row r="35" spans="1:11">
      <c r="A35" s="3"/>
    </row>
    <row r="36" spans="1:11">
      <c r="A36" s="3"/>
    </row>
    <row r="37" spans="1:11">
      <c r="A37" s="3"/>
    </row>
    <row r="38" spans="1:11">
      <c r="A38" s="3"/>
    </row>
    <row r="39" spans="1:11">
      <c r="A39" s="3"/>
    </row>
    <row r="40" spans="1:11">
      <c r="A40" s="1" t="s">
        <v>24</v>
      </c>
    </row>
    <row r="41" spans="1:11" s="6" customFormat="1">
      <c r="A41" s="5" t="s">
        <v>23</v>
      </c>
      <c r="B41" s="4">
        <v>44742</v>
      </c>
      <c r="C41" s="4">
        <v>44834</v>
      </c>
      <c r="D41" s="4">
        <v>44926</v>
      </c>
      <c r="E41" s="4">
        <v>45016</v>
      </c>
      <c r="F41" s="4">
        <v>45107</v>
      </c>
      <c r="G41" s="4">
        <v>45199</v>
      </c>
      <c r="H41" s="4">
        <v>45291</v>
      </c>
      <c r="I41" s="4">
        <v>45382</v>
      </c>
      <c r="J41" s="4">
        <v>45473</v>
      </c>
      <c r="K41" s="4">
        <v>45565</v>
      </c>
    </row>
    <row r="42" spans="1:11" s="3" customFormat="1">
      <c r="A42" s="3" t="s">
        <v>1</v>
      </c>
      <c r="B42">
        <v>71934.66</v>
      </c>
      <c r="C42">
        <v>79611.37</v>
      </c>
      <c r="D42">
        <v>88488.59</v>
      </c>
      <c r="E42">
        <v>105932.35</v>
      </c>
      <c r="F42">
        <v>102236</v>
      </c>
      <c r="G42">
        <v>105129</v>
      </c>
      <c r="H42">
        <v>110577.14</v>
      </c>
      <c r="I42">
        <v>119986</v>
      </c>
      <c r="J42">
        <v>108048</v>
      </c>
      <c r="K42">
        <v>101450</v>
      </c>
    </row>
    <row r="43" spans="1:11" s="3" customFormat="1">
      <c r="A43" s="3" t="s">
        <v>2</v>
      </c>
      <c r="B43">
        <v>69521.929999999993</v>
      </c>
      <c r="C43">
        <v>74039.06</v>
      </c>
      <c r="D43">
        <v>77668.350000000006</v>
      </c>
      <c r="E43">
        <v>92817.95</v>
      </c>
      <c r="F43">
        <v>89019</v>
      </c>
      <c r="G43">
        <v>91362</v>
      </c>
      <c r="H43">
        <v>95158.77</v>
      </c>
      <c r="I43">
        <v>102851</v>
      </c>
      <c r="J43">
        <v>92263</v>
      </c>
      <c r="K43">
        <v>89291</v>
      </c>
    </row>
    <row r="44" spans="1:11" s="3" customFormat="1">
      <c r="A44" s="3" t="s">
        <v>4</v>
      </c>
      <c r="B44">
        <v>2380.98</v>
      </c>
      <c r="C44">
        <v>1351.14</v>
      </c>
      <c r="D44">
        <v>1129.98</v>
      </c>
      <c r="E44">
        <v>1452.86</v>
      </c>
      <c r="F44">
        <v>895</v>
      </c>
      <c r="G44">
        <v>1557</v>
      </c>
      <c r="H44">
        <v>1603.76</v>
      </c>
      <c r="I44">
        <v>1619</v>
      </c>
      <c r="J44">
        <v>1747</v>
      </c>
      <c r="K44">
        <v>1647</v>
      </c>
    </row>
    <row r="45" spans="1:11" s="3" customFormat="1">
      <c r="A45" s="3" t="s">
        <v>5</v>
      </c>
      <c r="B45">
        <v>5841.04</v>
      </c>
      <c r="C45">
        <v>5897.34</v>
      </c>
      <c r="D45">
        <v>6071.78</v>
      </c>
      <c r="E45">
        <v>7050.2</v>
      </c>
      <c r="F45">
        <v>6633</v>
      </c>
      <c r="G45">
        <v>6637</v>
      </c>
      <c r="H45">
        <v>6850</v>
      </c>
      <c r="I45">
        <v>7151</v>
      </c>
      <c r="J45">
        <v>6574</v>
      </c>
      <c r="K45">
        <v>6005</v>
      </c>
    </row>
    <row r="46" spans="1:11" s="3" customFormat="1">
      <c r="A46" s="3" t="s">
        <v>6</v>
      </c>
      <c r="B46">
        <v>2420.7199999999998</v>
      </c>
      <c r="C46">
        <v>2487.2600000000002</v>
      </c>
      <c r="D46">
        <v>2675.83</v>
      </c>
      <c r="E46">
        <v>2641.67</v>
      </c>
      <c r="F46">
        <v>2615</v>
      </c>
      <c r="G46">
        <v>2652</v>
      </c>
      <c r="H46">
        <v>2484.91</v>
      </c>
      <c r="I46">
        <v>2234</v>
      </c>
      <c r="J46">
        <v>2088</v>
      </c>
      <c r="K46">
        <v>2034</v>
      </c>
    </row>
    <row r="47" spans="1:11" s="3" customFormat="1">
      <c r="A47" s="3" t="s">
        <v>7</v>
      </c>
      <c r="B47">
        <v>-3468.05</v>
      </c>
      <c r="C47">
        <v>-1461.15</v>
      </c>
      <c r="D47">
        <v>3202.61</v>
      </c>
      <c r="E47">
        <v>4875.3900000000003</v>
      </c>
      <c r="F47">
        <v>4864</v>
      </c>
      <c r="G47">
        <v>6035</v>
      </c>
      <c r="H47">
        <v>7687.22</v>
      </c>
      <c r="I47">
        <v>9369</v>
      </c>
      <c r="J47">
        <v>8870</v>
      </c>
      <c r="K47">
        <v>5767</v>
      </c>
    </row>
    <row r="48" spans="1:11" s="3" customFormat="1">
      <c r="A48" s="3" t="s">
        <v>8</v>
      </c>
      <c r="B48">
        <v>1518.96</v>
      </c>
      <c r="C48">
        <v>-457.08</v>
      </c>
      <c r="D48">
        <v>262.83</v>
      </c>
      <c r="E48">
        <v>-620.65</v>
      </c>
      <c r="F48">
        <v>1563</v>
      </c>
      <c r="G48">
        <v>2203</v>
      </c>
      <c r="H48">
        <v>541.79</v>
      </c>
      <c r="I48">
        <v>-8160</v>
      </c>
      <c r="J48">
        <v>3178</v>
      </c>
      <c r="K48">
        <v>2317</v>
      </c>
    </row>
    <row r="49" spans="1:11" s="3" customFormat="1">
      <c r="A49" s="3" t="s">
        <v>9</v>
      </c>
      <c r="B49">
        <v>-5006.6000000000004</v>
      </c>
      <c r="C49">
        <v>-944.61</v>
      </c>
      <c r="D49">
        <v>2957.71</v>
      </c>
      <c r="E49">
        <v>5407.79</v>
      </c>
      <c r="F49">
        <v>3203</v>
      </c>
      <c r="G49">
        <v>3764</v>
      </c>
      <c r="H49">
        <v>7025.11</v>
      </c>
      <c r="I49">
        <v>17407</v>
      </c>
      <c r="J49">
        <v>5566</v>
      </c>
      <c r="K49">
        <v>3343</v>
      </c>
    </row>
    <row r="50" spans="1:11">
      <c r="A50" s="3" t="s">
        <v>3</v>
      </c>
      <c r="B50">
        <v>2412.73</v>
      </c>
      <c r="C50">
        <v>5572.31</v>
      </c>
      <c r="D50">
        <v>10820.24</v>
      </c>
      <c r="E50">
        <v>13114.4</v>
      </c>
      <c r="F50">
        <v>13217</v>
      </c>
      <c r="G50">
        <v>13767</v>
      </c>
      <c r="H50">
        <v>15418.37</v>
      </c>
      <c r="I50">
        <v>17135</v>
      </c>
      <c r="J50">
        <v>15785</v>
      </c>
      <c r="K50">
        <v>12159</v>
      </c>
    </row>
    <row r="51" spans="1:11">
      <c r="A51" s="3"/>
    </row>
    <row r="52" spans="1:11">
      <c r="A52" s="3"/>
    </row>
    <row r="53" spans="1:11">
      <c r="A53" s="3"/>
    </row>
    <row r="54" spans="1:11">
      <c r="A54" s="3"/>
    </row>
    <row r="55" spans="1:11">
      <c r="A55" s="1" t="s">
        <v>25</v>
      </c>
    </row>
    <row r="56" spans="1:11" s="6" customFormat="1">
      <c r="A56" s="5" t="s">
        <v>23</v>
      </c>
      <c r="B56" s="4">
        <v>42094</v>
      </c>
      <c r="C56" s="4">
        <v>42460</v>
      </c>
      <c r="D56" s="4">
        <v>42825</v>
      </c>
      <c r="E56" s="4">
        <v>43190</v>
      </c>
      <c r="F56" s="4">
        <v>43555</v>
      </c>
      <c r="G56" s="4">
        <v>43921</v>
      </c>
      <c r="H56" s="4">
        <v>44286</v>
      </c>
      <c r="I56" s="4">
        <v>44651</v>
      </c>
      <c r="J56" s="4">
        <v>45016</v>
      </c>
      <c r="K56" s="4">
        <v>45382</v>
      </c>
    </row>
    <row r="57" spans="1:11">
      <c r="A57" s="3" t="s">
        <v>10</v>
      </c>
      <c r="B57">
        <v>643.78</v>
      </c>
      <c r="C57">
        <v>679.18</v>
      </c>
      <c r="D57">
        <v>679.22</v>
      </c>
      <c r="E57">
        <v>679.22</v>
      </c>
      <c r="F57">
        <v>679.22</v>
      </c>
      <c r="G57">
        <v>719.54</v>
      </c>
      <c r="H57">
        <v>765.81</v>
      </c>
      <c r="I57">
        <v>765.88</v>
      </c>
      <c r="J57">
        <v>766.02</v>
      </c>
      <c r="K57">
        <v>766.5</v>
      </c>
    </row>
    <row r="58" spans="1:11">
      <c r="A58" s="3" t="s">
        <v>11</v>
      </c>
      <c r="B58">
        <v>55618.14</v>
      </c>
      <c r="C58">
        <v>78273.23</v>
      </c>
      <c r="D58">
        <v>57382.67</v>
      </c>
      <c r="E58">
        <v>94748.69</v>
      </c>
      <c r="F58">
        <v>59500.34</v>
      </c>
      <c r="G58">
        <v>62358.99</v>
      </c>
      <c r="H58">
        <v>54480.91</v>
      </c>
      <c r="I58">
        <v>43795.360000000001</v>
      </c>
      <c r="J58">
        <v>44555.77</v>
      </c>
      <c r="K58">
        <v>84151.52</v>
      </c>
    </row>
    <row r="59" spans="1:11">
      <c r="A59" s="3" t="s">
        <v>35</v>
      </c>
      <c r="B59">
        <v>73610.39</v>
      </c>
      <c r="C59">
        <v>69359.960000000006</v>
      </c>
      <c r="D59">
        <v>78603.98</v>
      </c>
      <c r="E59">
        <v>88950.47</v>
      </c>
      <c r="F59">
        <v>106175.34</v>
      </c>
      <c r="G59">
        <v>124787.64</v>
      </c>
      <c r="H59">
        <v>142130.57</v>
      </c>
      <c r="I59">
        <v>146449.03</v>
      </c>
      <c r="J59">
        <v>134113.44</v>
      </c>
      <c r="K59">
        <v>107262.5</v>
      </c>
    </row>
    <row r="60" spans="1:11">
      <c r="A60" s="3" t="s">
        <v>36</v>
      </c>
      <c r="B60">
        <v>107442.48</v>
      </c>
      <c r="C60">
        <v>114871.75</v>
      </c>
      <c r="D60">
        <v>135914.49</v>
      </c>
      <c r="E60">
        <v>142813.43</v>
      </c>
      <c r="F60">
        <v>139348.59</v>
      </c>
      <c r="G60">
        <v>132313.22</v>
      </c>
      <c r="H60">
        <v>144192.62</v>
      </c>
      <c r="I60">
        <v>138051.22</v>
      </c>
      <c r="J60">
        <v>155239.20000000001</v>
      </c>
      <c r="K60">
        <v>177340.09</v>
      </c>
    </row>
    <row r="61" spans="1:11" s="1" customFormat="1">
      <c r="A61" s="1" t="s">
        <v>12</v>
      </c>
      <c r="B61">
        <v>237314.79</v>
      </c>
      <c r="C61">
        <v>263184.12</v>
      </c>
      <c r="D61">
        <v>272580.36</v>
      </c>
      <c r="E61">
        <v>327191.81</v>
      </c>
      <c r="F61">
        <v>305703.49</v>
      </c>
      <c r="G61">
        <v>320179.39</v>
      </c>
      <c r="H61">
        <v>341569.91</v>
      </c>
      <c r="I61">
        <v>329061.49</v>
      </c>
      <c r="J61">
        <v>334674.43</v>
      </c>
      <c r="K61">
        <v>369520.61</v>
      </c>
    </row>
    <row r="62" spans="1:11">
      <c r="A62" s="3" t="s">
        <v>13</v>
      </c>
      <c r="B62">
        <v>88479.49</v>
      </c>
      <c r="C62">
        <v>107231.76</v>
      </c>
      <c r="D62">
        <v>95944.08</v>
      </c>
      <c r="E62">
        <v>121413.86</v>
      </c>
      <c r="F62">
        <v>111234.47</v>
      </c>
      <c r="G62">
        <v>127107.14</v>
      </c>
      <c r="H62">
        <v>138707.60999999999</v>
      </c>
      <c r="I62">
        <v>138855.45000000001</v>
      </c>
      <c r="J62">
        <v>132079.76</v>
      </c>
      <c r="K62">
        <v>121285.46</v>
      </c>
    </row>
    <row r="63" spans="1:11">
      <c r="A63" s="3" t="s">
        <v>14</v>
      </c>
      <c r="B63">
        <v>28640.09</v>
      </c>
      <c r="C63">
        <v>25918.94</v>
      </c>
      <c r="D63">
        <v>33698.839999999997</v>
      </c>
      <c r="E63">
        <v>40033.5</v>
      </c>
      <c r="F63">
        <v>31883.84</v>
      </c>
      <c r="G63">
        <v>35622.29</v>
      </c>
      <c r="H63">
        <v>20963.93</v>
      </c>
      <c r="I63">
        <v>10251.09</v>
      </c>
      <c r="J63">
        <v>14274.5</v>
      </c>
      <c r="K63">
        <v>35698.43</v>
      </c>
    </row>
    <row r="64" spans="1:11">
      <c r="A64" s="3" t="s">
        <v>15</v>
      </c>
      <c r="B64">
        <v>15336.74</v>
      </c>
      <c r="C64">
        <v>23767.02</v>
      </c>
      <c r="D64">
        <v>20337.919999999998</v>
      </c>
      <c r="E64">
        <v>20812.75</v>
      </c>
      <c r="F64">
        <v>15770.72</v>
      </c>
      <c r="G64">
        <v>16308.48</v>
      </c>
      <c r="H64">
        <v>24620.28</v>
      </c>
      <c r="I64">
        <v>29379.53</v>
      </c>
      <c r="J64">
        <v>26379.16</v>
      </c>
      <c r="K64">
        <v>22971.07</v>
      </c>
    </row>
    <row r="65" spans="1:11">
      <c r="A65" s="3" t="s">
        <v>37</v>
      </c>
      <c r="B65">
        <v>104858.47</v>
      </c>
      <c r="C65">
        <v>106266.4</v>
      </c>
      <c r="D65">
        <v>122599.52</v>
      </c>
      <c r="E65">
        <v>144931.70000000001</v>
      </c>
      <c r="F65">
        <v>146814.46</v>
      </c>
      <c r="G65">
        <v>141141.48000000001</v>
      </c>
      <c r="H65">
        <v>157278.09</v>
      </c>
      <c r="I65">
        <v>150575.42000000001</v>
      </c>
      <c r="J65">
        <v>161941.01</v>
      </c>
      <c r="K65">
        <v>189565.65</v>
      </c>
    </row>
    <row r="66" spans="1:11" s="1" customFormat="1">
      <c r="A66" s="1" t="s">
        <v>12</v>
      </c>
      <c r="B66">
        <v>237314.79</v>
      </c>
      <c r="C66">
        <v>263184.12</v>
      </c>
      <c r="D66">
        <v>272580.36</v>
      </c>
      <c r="E66">
        <v>327191.81</v>
      </c>
      <c r="F66">
        <v>305703.49</v>
      </c>
      <c r="G66">
        <v>320179.39</v>
      </c>
      <c r="H66">
        <v>341569.91</v>
      </c>
      <c r="I66">
        <v>329061.49</v>
      </c>
      <c r="J66">
        <v>334674.43</v>
      </c>
      <c r="K66">
        <v>369520.61</v>
      </c>
    </row>
    <row r="67" spans="1:11" s="3" customFormat="1">
      <c r="A67" s="3" t="s">
        <v>42</v>
      </c>
      <c r="B67">
        <v>12579.2</v>
      </c>
      <c r="C67">
        <v>13570.91</v>
      </c>
      <c r="D67">
        <v>14075.55</v>
      </c>
      <c r="E67">
        <v>19893.3</v>
      </c>
      <c r="F67">
        <v>18996.169999999998</v>
      </c>
      <c r="G67">
        <v>11172.69</v>
      </c>
      <c r="H67">
        <v>12679.08</v>
      </c>
      <c r="I67">
        <v>12442.12</v>
      </c>
      <c r="J67">
        <v>15737.97</v>
      </c>
      <c r="K67">
        <v>16951.810000000001</v>
      </c>
    </row>
    <row r="68" spans="1:11">
      <c r="A68" s="3" t="s">
        <v>29</v>
      </c>
      <c r="B68">
        <v>29272.34</v>
      </c>
      <c r="C68">
        <v>32655.73</v>
      </c>
      <c r="D68">
        <v>35085.31</v>
      </c>
      <c r="E68">
        <v>42137.63</v>
      </c>
      <c r="F68">
        <v>39013.730000000003</v>
      </c>
      <c r="G68">
        <v>37456.879999999997</v>
      </c>
      <c r="H68">
        <v>36088.589999999997</v>
      </c>
      <c r="I68">
        <v>35240.339999999997</v>
      </c>
      <c r="J68">
        <v>40755.39</v>
      </c>
      <c r="K68">
        <v>47788.29</v>
      </c>
    </row>
    <row r="69" spans="1:11">
      <c r="A69" s="2" t="s">
        <v>51</v>
      </c>
      <c r="B69">
        <v>32115.759999999998</v>
      </c>
      <c r="C69">
        <v>30460.400000000001</v>
      </c>
      <c r="D69">
        <v>36077.879999999997</v>
      </c>
      <c r="E69">
        <v>34613.910000000003</v>
      </c>
      <c r="F69">
        <v>32648.82</v>
      </c>
      <c r="G69">
        <v>33726.97</v>
      </c>
      <c r="H69">
        <v>46792.46</v>
      </c>
      <c r="I69">
        <v>40669.19</v>
      </c>
      <c r="J69">
        <v>37015.56</v>
      </c>
      <c r="K69">
        <v>45806.69</v>
      </c>
    </row>
    <row r="70" spans="1:11">
      <c r="A70" s="2" t="s">
        <v>38</v>
      </c>
      <c r="B70">
        <v>3218930067</v>
      </c>
      <c r="C70">
        <v>3395930306</v>
      </c>
      <c r="D70">
        <v>3396100719</v>
      </c>
      <c r="E70">
        <v>3396100719</v>
      </c>
      <c r="F70">
        <v>3396100719</v>
      </c>
      <c r="G70">
        <v>3597726185</v>
      </c>
      <c r="H70">
        <v>3829060661</v>
      </c>
      <c r="I70">
        <v>3829414903</v>
      </c>
      <c r="J70">
        <v>3830097221</v>
      </c>
      <c r="K70">
        <v>3832491897</v>
      </c>
    </row>
    <row r="71" spans="1:11">
      <c r="A71" s="2" t="s">
        <v>39</v>
      </c>
    </row>
    <row r="72" spans="1:11">
      <c r="A72" s="2" t="s">
        <v>52</v>
      </c>
      <c r="B72">
        <v>2</v>
      </c>
      <c r="C72">
        <v>2</v>
      </c>
      <c r="D72">
        <v>2</v>
      </c>
      <c r="E72">
        <v>2</v>
      </c>
      <c r="F72">
        <v>2</v>
      </c>
      <c r="G72">
        <v>2</v>
      </c>
      <c r="H72">
        <v>2</v>
      </c>
      <c r="I72">
        <v>2</v>
      </c>
      <c r="J72">
        <v>2</v>
      </c>
      <c r="K72">
        <v>2</v>
      </c>
    </row>
    <row r="74" spans="1:11">
      <c r="A74" s="3"/>
    </row>
    <row r="75" spans="1:11">
      <c r="A75" s="3"/>
    </row>
    <row r="76" spans="1:11">
      <c r="A76" s="3"/>
    </row>
    <row r="77" spans="1:11">
      <c r="A77" s="3"/>
    </row>
    <row r="78" spans="1:11">
      <c r="A78" s="3"/>
    </row>
    <row r="79" spans="1:11">
      <c r="A79" s="3"/>
    </row>
    <row r="80" spans="1:11">
      <c r="A80" s="1" t="s">
        <v>26</v>
      </c>
    </row>
    <row r="81" spans="1:11" s="6" customFormat="1">
      <c r="A81" s="5" t="s">
        <v>23</v>
      </c>
      <c r="B81" s="4">
        <v>42094</v>
      </c>
      <c r="C81" s="4">
        <v>42460</v>
      </c>
      <c r="D81" s="4">
        <v>42825</v>
      </c>
      <c r="E81" s="4">
        <v>43190</v>
      </c>
      <c r="F81" s="4">
        <v>43555</v>
      </c>
      <c r="G81" s="4">
        <v>43921</v>
      </c>
      <c r="H81" s="4">
        <v>44286</v>
      </c>
      <c r="I81" s="4">
        <v>44651</v>
      </c>
      <c r="J81" s="4">
        <v>45016</v>
      </c>
      <c r="K81" s="4">
        <v>45382</v>
      </c>
    </row>
    <row r="82" spans="1:11" s="1" customFormat="1">
      <c r="A82" s="3" t="s">
        <v>17</v>
      </c>
      <c r="B82">
        <v>35531.26</v>
      </c>
      <c r="C82">
        <v>37899.54</v>
      </c>
      <c r="D82">
        <v>30199.25</v>
      </c>
      <c r="E82">
        <v>23857.42</v>
      </c>
      <c r="F82">
        <v>18890.75</v>
      </c>
      <c r="G82">
        <v>26632.94</v>
      </c>
      <c r="H82">
        <v>29000.51</v>
      </c>
      <c r="I82">
        <v>14282.83</v>
      </c>
      <c r="J82">
        <v>35388.01</v>
      </c>
      <c r="K82">
        <v>67915.360000000001</v>
      </c>
    </row>
    <row r="83" spans="1:11" s="3" customFormat="1">
      <c r="A83" s="3" t="s">
        <v>18</v>
      </c>
      <c r="B83">
        <v>-36232.35</v>
      </c>
      <c r="C83">
        <v>-36693.9</v>
      </c>
      <c r="D83">
        <v>-39571.4</v>
      </c>
      <c r="E83">
        <v>-25139.14</v>
      </c>
      <c r="F83">
        <v>-20878.07</v>
      </c>
      <c r="G83">
        <v>-33114.550000000003</v>
      </c>
      <c r="H83">
        <v>-25672.5</v>
      </c>
      <c r="I83">
        <v>-4443.66</v>
      </c>
      <c r="J83">
        <v>-15417.17</v>
      </c>
      <c r="K83">
        <v>-22781.56</v>
      </c>
    </row>
    <row r="84" spans="1:11" s="3" customFormat="1">
      <c r="A84" s="3" t="s">
        <v>19</v>
      </c>
      <c r="B84">
        <v>5201.4399999999996</v>
      </c>
      <c r="C84">
        <v>-3795.12</v>
      </c>
      <c r="D84">
        <v>6205.3</v>
      </c>
      <c r="E84">
        <v>2011.71</v>
      </c>
      <c r="F84">
        <v>8830.3700000000008</v>
      </c>
      <c r="G84">
        <v>3389.61</v>
      </c>
      <c r="H84">
        <v>9904.2000000000007</v>
      </c>
      <c r="I84">
        <v>-3380.17</v>
      </c>
      <c r="J84">
        <v>-26242.9</v>
      </c>
      <c r="K84">
        <v>-37005.99</v>
      </c>
    </row>
    <row r="85" spans="1:11" s="1" customFormat="1">
      <c r="A85" s="3" t="s">
        <v>20</v>
      </c>
      <c r="B85">
        <v>4500.3500000000004</v>
      </c>
      <c r="C85">
        <v>-2589.48</v>
      </c>
      <c r="D85">
        <v>-3166.85</v>
      </c>
      <c r="E85">
        <v>729.99</v>
      </c>
      <c r="F85">
        <v>6843.05</v>
      </c>
      <c r="G85">
        <v>-3092</v>
      </c>
      <c r="H85">
        <v>13232.21</v>
      </c>
      <c r="I85">
        <v>6459</v>
      </c>
      <c r="J85">
        <v>-6272.06</v>
      </c>
      <c r="K85">
        <v>8127.81</v>
      </c>
    </row>
    <row r="86" spans="1:11">
      <c r="A86" s="3"/>
    </row>
    <row r="87" spans="1:11">
      <c r="A87" s="3"/>
    </row>
    <row r="88" spans="1:11">
      <c r="A88" s="3"/>
    </row>
    <row r="89" spans="1:11">
      <c r="A89" s="3"/>
    </row>
    <row r="90" spans="1:11" s="1" customFormat="1">
      <c r="A90" s="1" t="s">
        <v>41</v>
      </c>
      <c r="B90">
        <v>544.37</v>
      </c>
      <c r="C90">
        <v>386.6</v>
      </c>
      <c r="D90">
        <v>465.85</v>
      </c>
      <c r="E90">
        <v>326.85000000000002</v>
      </c>
      <c r="F90">
        <v>174.25</v>
      </c>
      <c r="G90">
        <v>71.05</v>
      </c>
      <c r="H90">
        <v>301.8</v>
      </c>
      <c r="I90">
        <v>433.75</v>
      </c>
      <c r="J90">
        <v>420.8</v>
      </c>
      <c r="K90">
        <v>992.8</v>
      </c>
    </row>
    <row r="92" spans="1:11" s="1" customFormat="1">
      <c r="A92" s="1" t="s">
        <v>40</v>
      </c>
    </row>
    <row r="93" spans="1:11">
      <c r="A93" s="2" t="s">
        <v>53</v>
      </c>
      <c r="B93" s="7">
        <v>288.74</v>
      </c>
      <c r="C93" s="7">
        <v>288.72000000000003</v>
      </c>
      <c r="D93" s="7">
        <v>288.73</v>
      </c>
      <c r="E93" s="7">
        <v>288.73</v>
      </c>
      <c r="F93" s="7">
        <v>288.73</v>
      </c>
      <c r="G93" s="7">
        <v>308.89999999999998</v>
      </c>
      <c r="H93" s="7">
        <v>332.03</v>
      </c>
      <c r="I93" s="7">
        <v>332.07</v>
      </c>
      <c r="J93" s="7">
        <v>332.13</v>
      </c>
      <c r="K93" s="7">
        <v>332.37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T64"/>
  <sheetViews>
    <sheetView showGridLines="0" topLeftCell="A41" workbookViewId="0">
      <selection activeCell="H64" sqref="H64"/>
    </sheetView>
  </sheetViews>
  <sheetFormatPr defaultRowHeight="15"/>
  <sheetData>
    <row r="3" spans="1:8">
      <c r="A3" t="s">
        <v>55</v>
      </c>
      <c r="B3" t="s">
        <v>54</v>
      </c>
      <c r="D3" t="s">
        <v>56</v>
      </c>
    </row>
    <row r="5" spans="1:8">
      <c r="A5" t="s">
        <v>57</v>
      </c>
      <c r="B5" t="s">
        <v>58</v>
      </c>
      <c r="D5" s="8"/>
      <c r="E5" s="8"/>
      <c r="F5" s="8"/>
      <c r="G5" s="8"/>
      <c r="H5" s="8"/>
    </row>
    <row r="6" spans="1:8">
      <c r="B6" t="s">
        <v>59</v>
      </c>
    </row>
    <row r="8" spans="1:8">
      <c r="A8" t="s">
        <v>60</v>
      </c>
      <c r="B8" t="s">
        <v>65</v>
      </c>
    </row>
    <row r="9" spans="1:8">
      <c r="A9" t="s">
        <v>67</v>
      </c>
      <c r="D9" t="s">
        <v>68</v>
      </c>
    </row>
    <row r="10" spans="1:8">
      <c r="A10" t="s">
        <v>70</v>
      </c>
      <c r="B10" t="s">
        <v>71</v>
      </c>
      <c r="G10" t="s">
        <v>80</v>
      </c>
    </row>
    <row r="11" spans="1:8">
      <c r="A11" t="s">
        <v>73</v>
      </c>
    </row>
    <row r="12" spans="1:8">
      <c r="A12" t="s">
        <v>75</v>
      </c>
    </row>
    <row r="13" spans="1:8">
      <c r="A13" t="s">
        <v>76</v>
      </c>
      <c r="B13" t="s">
        <v>82</v>
      </c>
    </row>
    <row r="14" spans="1:8">
      <c r="A14" t="s">
        <v>87</v>
      </c>
    </row>
    <row r="15" spans="1:8">
      <c r="A15" t="s">
        <v>95</v>
      </c>
      <c r="G15" t="s">
        <v>98</v>
      </c>
    </row>
    <row r="16" spans="1:8">
      <c r="A16" t="s">
        <v>99</v>
      </c>
      <c r="B16" t="s">
        <v>100</v>
      </c>
    </row>
    <row r="17" spans="1:18">
      <c r="A17" t="s">
        <v>105</v>
      </c>
      <c r="F17" t="s">
        <v>106</v>
      </c>
      <c r="P17" s="23" t="s">
        <v>107</v>
      </c>
      <c r="Q17" s="23"/>
      <c r="R17" s="23"/>
    </row>
    <row r="18" spans="1:18">
      <c r="A18" t="s">
        <v>114</v>
      </c>
      <c r="J18" t="s">
        <v>115</v>
      </c>
    </row>
    <row r="19" spans="1:18">
      <c r="A19" t="s">
        <v>117</v>
      </c>
    </row>
    <row r="20" spans="1:18">
      <c r="A20" t="s">
        <v>118</v>
      </c>
      <c r="H20" t="s">
        <v>119</v>
      </c>
      <c r="O20" t="s">
        <v>120</v>
      </c>
    </row>
    <row r="22" spans="1:18">
      <c r="A22" t="s">
        <v>156</v>
      </c>
    </row>
    <row r="23" spans="1:18">
      <c r="A23" t="s">
        <v>157</v>
      </c>
      <c r="B23" t="s">
        <v>158</v>
      </c>
    </row>
    <row r="24" spans="1:18">
      <c r="A24" t="s">
        <v>159</v>
      </c>
      <c r="F24" t="s">
        <v>164</v>
      </c>
    </row>
    <row r="25" spans="1:18">
      <c r="F25" t="s">
        <v>165</v>
      </c>
    </row>
    <row r="26" spans="1:18">
      <c r="A26" t="s">
        <v>166</v>
      </c>
      <c r="J26" t="s">
        <v>167</v>
      </c>
    </row>
    <row r="27" spans="1:18">
      <c r="J27" t="s">
        <v>168</v>
      </c>
    </row>
    <row r="28" spans="1:18">
      <c r="A28" t="s">
        <v>169</v>
      </c>
      <c r="F28" t="s">
        <v>175</v>
      </c>
      <c r="R28" t="s">
        <v>176</v>
      </c>
    </row>
    <row r="30" spans="1:18">
      <c r="A30" t="s">
        <v>177</v>
      </c>
      <c r="D30" t="s">
        <v>186</v>
      </c>
      <c r="M30" t="s">
        <v>187</v>
      </c>
    </row>
    <row r="31" spans="1:18">
      <c r="M31" t="s">
        <v>188</v>
      </c>
    </row>
    <row r="32" spans="1:18">
      <c r="A32" t="s">
        <v>200</v>
      </c>
      <c r="J32" t="s">
        <v>201</v>
      </c>
    </row>
    <row r="34" spans="1:13">
      <c r="A34" t="s">
        <v>202</v>
      </c>
      <c r="B34" s="8"/>
      <c r="C34" s="8" t="s">
        <v>203</v>
      </c>
      <c r="D34" s="8"/>
      <c r="E34" s="8"/>
      <c r="F34" s="8"/>
      <c r="G34" s="8"/>
      <c r="H34" s="8"/>
    </row>
    <row r="36" spans="1:13">
      <c r="A36" t="s">
        <v>204</v>
      </c>
    </row>
    <row r="38" spans="1:13">
      <c r="A38" t="s">
        <v>205</v>
      </c>
    </row>
    <row r="39" spans="1:13">
      <c r="A39" t="s">
        <v>206</v>
      </c>
      <c r="I39" t="s">
        <v>207</v>
      </c>
    </row>
    <row r="40" spans="1:13">
      <c r="A40" s="33" t="s">
        <v>208</v>
      </c>
    </row>
    <row r="42" spans="1:13">
      <c r="A42" t="s">
        <v>209</v>
      </c>
      <c r="B42" t="s">
        <v>210</v>
      </c>
      <c r="G42" t="s">
        <v>211</v>
      </c>
      <c r="I42" t="s">
        <v>212</v>
      </c>
    </row>
    <row r="43" spans="1:13">
      <c r="A43" t="s">
        <v>213</v>
      </c>
      <c r="M43" t="s">
        <v>214</v>
      </c>
    </row>
    <row r="44" spans="1:13">
      <c r="M44" t="s">
        <v>215</v>
      </c>
    </row>
    <row r="46" spans="1:13">
      <c r="A46" t="s">
        <v>216</v>
      </c>
    </row>
    <row r="48" spans="1:13">
      <c r="A48" t="s">
        <v>217</v>
      </c>
    </row>
    <row r="49" spans="1:20">
      <c r="B49" t="s">
        <v>218</v>
      </c>
      <c r="P49" t="s">
        <v>219</v>
      </c>
    </row>
    <row r="50" spans="1:20">
      <c r="B50" t="s">
        <v>220</v>
      </c>
    </row>
    <row r="51" spans="1:20">
      <c r="A51" t="s">
        <v>221</v>
      </c>
    </row>
    <row r="53" spans="1:20">
      <c r="A53" t="s">
        <v>222</v>
      </c>
    </row>
    <row r="55" spans="1:20">
      <c r="A55" t="s">
        <v>224</v>
      </c>
    </row>
    <row r="57" spans="1:20">
      <c r="A57" t="s">
        <v>226</v>
      </c>
    </row>
    <row r="59" spans="1:20">
      <c r="H59" t="s">
        <v>228</v>
      </c>
    </row>
    <row r="61" spans="1:20">
      <c r="A61" t="s">
        <v>232</v>
      </c>
      <c r="K61" s="53" t="s">
        <v>233</v>
      </c>
      <c r="L61" s="53"/>
      <c r="M61" s="53"/>
      <c r="N61" s="53"/>
      <c r="O61" s="53"/>
      <c r="P61" s="53"/>
      <c r="Q61" s="53"/>
      <c r="R61" s="53"/>
      <c r="S61" s="53"/>
      <c r="T61" s="53"/>
    </row>
    <row r="62" spans="1:20">
      <c r="K62" s="53" t="s">
        <v>234</v>
      </c>
      <c r="L62" s="53"/>
      <c r="M62" s="53"/>
      <c r="N62" s="53"/>
      <c r="O62" s="53"/>
      <c r="P62" s="53"/>
      <c r="Q62" s="53"/>
      <c r="R62" s="53"/>
      <c r="S62" s="53"/>
      <c r="T62" s="53"/>
    </row>
    <row r="63" spans="1:20">
      <c r="A63" t="s">
        <v>235</v>
      </c>
    </row>
    <row r="64" spans="1:20">
      <c r="A64" t="s">
        <v>236</v>
      </c>
      <c r="H64" t="s">
        <v>237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L34"/>
  <sheetViews>
    <sheetView workbookViewId="0">
      <selection activeCell="B27" sqref="B27"/>
    </sheetView>
  </sheetViews>
  <sheetFormatPr defaultRowHeight="15"/>
  <cols>
    <col min="2" max="2" width="26.5703125" customWidth="1"/>
    <col min="3" max="12" width="11.7109375" customWidth="1"/>
  </cols>
  <sheetData>
    <row r="3" spans="2:12">
      <c r="C3" s="25">
        <v>42064</v>
      </c>
      <c r="D3" s="25">
        <v>42430</v>
      </c>
      <c r="E3" s="25">
        <v>42795</v>
      </c>
      <c r="F3" s="25">
        <v>43160</v>
      </c>
      <c r="G3" s="25">
        <v>43525</v>
      </c>
      <c r="H3" s="25">
        <v>43891</v>
      </c>
      <c r="I3" s="25">
        <v>44256</v>
      </c>
      <c r="J3" s="25">
        <v>44621</v>
      </c>
      <c r="K3" s="25">
        <v>44986</v>
      </c>
      <c r="L3" s="25">
        <v>45352</v>
      </c>
    </row>
    <row r="4" spans="2:12">
      <c r="B4" t="s">
        <v>148</v>
      </c>
      <c r="C4" s="26">
        <v>35531</v>
      </c>
      <c r="D4" s="26">
        <v>37900</v>
      </c>
      <c r="E4" s="26">
        <v>30199</v>
      </c>
      <c r="F4" s="26">
        <v>23857</v>
      </c>
      <c r="G4" s="26">
        <v>18891</v>
      </c>
      <c r="H4" s="26">
        <v>26633</v>
      </c>
      <c r="I4" s="26">
        <v>29001</v>
      </c>
      <c r="J4" s="26">
        <v>14283</v>
      </c>
      <c r="K4" s="26">
        <v>35388</v>
      </c>
      <c r="L4" s="26">
        <v>67915</v>
      </c>
    </row>
    <row r="5" spans="2:12">
      <c r="B5" t="s">
        <v>121</v>
      </c>
      <c r="C5" s="26">
        <v>43397</v>
      </c>
      <c r="D5" s="26">
        <v>38626</v>
      </c>
      <c r="E5" s="26">
        <v>28840</v>
      </c>
      <c r="F5" s="26">
        <v>33312</v>
      </c>
      <c r="G5" s="26">
        <v>28771</v>
      </c>
      <c r="H5" s="26">
        <v>23352</v>
      </c>
      <c r="I5" s="26">
        <v>31198</v>
      </c>
      <c r="J5" s="26">
        <v>26943</v>
      </c>
      <c r="K5" s="26">
        <v>41694</v>
      </c>
      <c r="L5" s="26">
        <v>65106</v>
      </c>
    </row>
    <row r="6" spans="2:12">
      <c r="B6" t="s">
        <v>42</v>
      </c>
      <c r="C6" s="26">
        <v>-3179</v>
      </c>
      <c r="D6" s="26">
        <v>-2223</v>
      </c>
      <c r="E6" s="26">
        <v>-4152</v>
      </c>
      <c r="F6" s="26">
        <v>-10688</v>
      </c>
      <c r="G6" s="26">
        <v>-9109</v>
      </c>
      <c r="H6" s="26">
        <v>9950</v>
      </c>
      <c r="I6" s="26">
        <v>-5505</v>
      </c>
      <c r="J6">
        <v>185</v>
      </c>
      <c r="K6" s="26">
        <v>-2213</v>
      </c>
      <c r="L6" s="26">
        <v>-1875</v>
      </c>
    </row>
    <row r="7" spans="2:12">
      <c r="B7" t="s">
        <v>29</v>
      </c>
      <c r="C7" s="26">
        <v>-3692</v>
      </c>
      <c r="D7" s="26">
        <v>-5743</v>
      </c>
      <c r="E7" s="26">
        <v>-6621</v>
      </c>
      <c r="F7" s="26">
        <v>-3560</v>
      </c>
      <c r="G7" s="26">
        <v>2069</v>
      </c>
      <c r="H7" s="26">
        <v>2326</v>
      </c>
      <c r="I7" s="26">
        <v>3814</v>
      </c>
      <c r="J7">
        <v>472</v>
      </c>
      <c r="K7" s="26">
        <v>-5665</v>
      </c>
      <c r="L7" s="26">
        <v>-7265</v>
      </c>
    </row>
    <row r="8" spans="2:12">
      <c r="B8" t="s">
        <v>122</v>
      </c>
      <c r="C8" s="26">
        <v>3598</v>
      </c>
      <c r="D8" s="26">
        <v>3947</v>
      </c>
      <c r="E8" s="26">
        <v>9301</v>
      </c>
      <c r="F8" s="26">
        <v>7320</v>
      </c>
      <c r="G8" s="26">
        <v>-4692</v>
      </c>
      <c r="H8" s="26">
        <v>-8085</v>
      </c>
      <c r="I8" s="26">
        <v>5748</v>
      </c>
      <c r="J8" s="26">
        <v>-7012</v>
      </c>
      <c r="K8" s="26">
        <v>6945</v>
      </c>
      <c r="L8" s="26">
        <v>13706</v>
      </c>
    </row>
    <row r="9" spans="2:12">
      <c r="B9" t="s">
        <v>123</v>
      </c>
      <c r="C9">
        <v>0</v>
      </c>
      <c r="D9">
        <v>-520</v>
      </c>
      <c r="E9">
        <v>0</v>
      </c>
      <c r="F9">
        <v>0</v>
      </c>
      <c r="G9">
        <v>0</v>
      </c>
      <c r="H9">
        <v>0</v>
      </c>
      <c r="I9">
        <v>0</v>
      </c>
      <c r="J9">
        <v>0</v>
      </c>
      <c r="K9">
        <v>0</v>
      </c>
      <c r="L9">
        <v>0</v>
      </c>
    </row>
    <row r="10" spans="2:12">
      <c r="B10" t="s">
        <v>124</v>
      </c>
      <c r="C10">
        <v>-398</v>
      </c>
      <c r="D10" s="26">
        <v>5852</v>
      </c>
      <c r="E10" s="26">
        <v>4727</v>
      </c>
      <c r="F10">
        <v>494</v>
      </c>
      <c r="G10" s="26">
        <v>4512</v>
      </c>
      <c r="H10">
        <v>875</v>
      </c>
      <c r="I10" s="26">
        <v>-4150</v>
      </c>
      <c r="J10" s="26">
        <v>-4396</v>
      </c>
      <c r="K10" s="26">
        <v>-2194</v>
      </c>
      <c r="L10" s="26">
        <v>2760</v>
      </c>
    </row>
    <row r="11" spans="2:12">
      <c r="B11" t="s">
        <v>125</v>
      </c>
      <c r="C11" s="26">
        <v>-3672</v>
      </c>
      <c r="D11" s="26">
        <v>1313</v>
      </c>
      <c r="E11" s="26">
        <v>3254</v>
      </c>
      <c r="F11" s="26">
        <v>-6434</v>
      </c>
      <c r="G11" s="26">
        <v>-7221</v>
      </c>
      <c r="H11" s="26">
        <v>5065</v>
      </c>
      <c r="I11">
        <v>-93</v>
      </c>
      <c r="J11" s="26">
        <v>-10750</v>
      </c>
      <c r="K11" s="26">
        <v>-3127</v>
      </c>
      <c r="L11" s="26">
        <v>7325</v>
      </c>
    </row>
    <row r="12" spans="2:12">
      <c r="B12" t="s">
        <v>126</v>
      </c>
      <c r="C12" s="26">
        <v>-4194</v>
      </c>
      <c r="D12" s="26">
        <v>-2040</v>
      </c>
      <c r="E12" s="26">
        <v>-1895</v>
      </c>
      <c r="F12" s="26">
        <v>-3021</v>
      </c>
      <c r="G12" s="26">
        <v>-2659</v>
      </c>
      <c r="H12" s="26">
        <v>-1785</v>
      </c>
      <c r="I12" s="26">
        <v>-2105</v>
      </c>
      <c r="J12" s="26">
        <v>-1910</v>
      </c>
      <c r="K12" s="26">
        <v>-3179</v>
      </c>
      <c r="L12" s="26">
        <v>-4516</v>
      </c>
    </row>
    <row r="13" spans="2:12">
      <c r="B13" t="s">
        <v>149</v>
      </c>
      <c r="C13" s="26">
        <v>-36232</v>
      </c>
      <c r="D13" s="26">
        <v>-36694</v>
      </c>
      <c r="E13" s="26">
        <v>-39571</v>
      </c>
      <c r="F13" s="26">
        <v>-25139</v>
      </c>
      <c r="G13" s="26">
        <v>-20878</v>
      </c>
      <c r="H13" s="26">
        <v>-33115</v>
      </c>
      <c r="I13" s="26">
        <v>-25672</v>
      </c>
      <c r="J13" s="26">
        <v>-4444</v>
      </c>
      <c r="K13" s="26">
        <v>-15417</v>
      </c>
      <c r="L13" s="26">
        <v>-22782</v>
      </c>
    </row>
    <row r="14" spans="2:12">
      <c r="B14" t="s">
        <v>127</v>
      </c>
      <c r="C14" s="26">
        <v>-31962</v>
      </c>
      <c r="D14" s="26">
        <v>-31503</v>
      </c>
      <c r="E14" s="26">
        <v>-16072</v>
      </c>
      <c r="F14" s="26">
        <v>-35079</v>
      </c>
      <c r="G14" s="26">
        <v>-35304</v>
      </c>
      <c r="H14" s="26">
        <v>-29702</v>
      </c>
      <c r="I14" s="26">
        <v>-20205</v>
      </c>
      <c r="J14" s="26">
        <v>-15168</v>
      </c>
      <c r="K14" s="26">
        <v>-19230</v>
      </c>
      <c r="L14" s="26">
        <v>-31414</v>
      </c>
    </row>
    <row r="15" spans="2:12">
      <c r="B15" t="s">
        <v>128</v>
      </c>
      <c r="C15">
        <v>74</v>
      </c>
      <c r="D15">
        <v>59</v>
      </c>
      <c r="E15">
        <v>53</v>
      </c>
      <c r="F15">
        <v>30</v>
      </c>
      <c r="G15">
        <v>67</v>
      </c>
      <c r="H15">
        <v>171</v>
      </c>
      <c r="I15">
        <v>351</v>
      </c>
      <c r="J15">
        <v>230</v>
      </c>
      <c r="K15">
        <v>285</v>
      </c>
      <c r="L15">
        <v>231</v>
      </c>
    </row>
    <row r="16" spans="2:12">
      <c r="B16" t="s">
        <v>129</v>
      </c>
      <c r="C16" s="26">
        <v>-5461</v>
      </c>
      <c r="D16" s="26">
        <v>-4728</v>
      </c>
      <c r="E16">
        <v>-6</v>
      </c>
      <c r="F16">
        <v>-329</v>
      </c>
      <c r="G16">
        <v>-130</v>
      </c>
      <c r="H16" s="26">
        <v>-1439</v>
      </c>
      <c r="I16" s="26">
        <v>-7530</v>
      </c>
      <c r="J16" s="26">
        <v>-3008</v>
      </c>
      <c r="K16">
        <v>-50</v>
      </c>
      <c r="L16">
        <v>-74</v>
      </c>
    </row>
    <row r="17" spans="2:12">
      <c r="B17" t="s">
        <v>130</v>
      </c>
      <c r="C17">
        <v>42</v>
      </c>
      <c r="D17">
        <v>89</v>
      </c>
      <c r="E17" s="26">
        <v>1965</v>
      </c>
      <c r="F17" s="26">
        <v>2381</v>
      </c>
      <c r="G17" s="26">
        <v>5644</v>
      </c>
      <c r="H17">
        <v>21</v>
      </c>
      <c r="I17">
        <v>226</v>
      </c>
      <c r="J17">
        <v>104</v>
      </c>
      <c r="K17" s="26">
        <v>6895</v>
      </c>
      <c r="L17" s="26">
        <v>10820</v>
      </c>
    </row>
    <row r="18" spans="2:12">
      <c r="B18" t="s">
        <v>131</v>
      </c>
      <c r="C18">
        <v>698</v>
      </c>
      <c r="D18">
        <v>731</v>
      </c>
      <c r="E18">
        <v>638</v>
      </c>
      <c r="F18">
        <v>690</v>
      </c>
      <c r="G18">
        <v>761</v>
      </c>
      <c r="H18" s="26">
        <v>1104</v>
      </c>
      <c r="I18">
        <v>428</v>
      </c>
      <c r="J18">
        <v>653</v>
      </c>
      <c r="K18">
        <v>973</v>
      </c>
      <c r="L18" s="26">
        <v>2493</v>
      </c>
    </row>
    <row r="19" spans="2:12">
      <c r="B19" t="s">
        <v>132</v>
      </c>
      <c r="C19">
        <v>80</v>
      </c>
      <c r="D19">
        <v>58</v>
      </c>
      <c r="E19">
        <v>620</v>
      </c>
      <c r="F19" s="26">
        <v>1797</v>
      </c>
      <c r="G19">
        <v>232</v>
      </c>
      <c r="H19">
        <v>21</v>
      </c>
      <c r="I19">
        <v>18</v>
      </c>
      <c r="J19">
        <v>32</v>
      </c>
      <c r="K19">
        <v>46</v>
      </c>
      <c r="L19">
        <v>47</v>
      </c>
    </row>
    <row r="20" spans="2:12">
      <c r="B20" t="s">
        <v>133</v>
      </c>
      <c r="C20">
        <v>-160</v>
      </c>
      <c r="D20">
        <v>0</v>
      </c>
      <c r="E20">
        <v>-107</v>
      </c>
      <c r="F20">
        <v>-4</v>
      </c>
      <c r="G20">
        <v>-9</v>
      </c>
      <c r="H20">
        <v>-606</v>
      </c>
      <c r="I20">
        <v>-10</v>
      </c>
      <c r="J20">
        <v>0</v>
      </c>
      <c r="K20">
        <v>0</v>
      </c>
      <c r="L20">
        <v>-150</v>
      </c>
    </row>
    <row r="21" spans="2:12">
      <c r="B21" t="s">
        <v>134</v>
      </c>
      <c r="C21">
        <v>0</v>
      </c>
      <c r="D21">
        <v>0</v>
      </c>
      <c r="E21">
        <v>0</v>
      </c>
      <c r="F21">
        <v>14</v>
      </c>
      <c r="G21">
        <v>533</v>
      </c>
      <c r="H21">
        <v>0</v>
      </c>
      <c r="I21">
        <v>0</v>
      </c>
      <c r="J21">
        <v>0</v>
      </c>
      <c r="K21">
        <v>19</v>
      </c>
      <c r="L21">
        <v>108</v>
      </c>
    </row>
    <row r="22" spans="2:12">
      <c r="B22" t="s">
        <v>135</v>
      </c>
      <c r="C22">
        <v>0</v>
      </c>
      <c r="D22">
        <v>-111</v>
      </c>
      <c r="E22">
        <v>0</v>
      </c>
      <c r="F22">
        <v>0</v>
      </c>
      <c r="G22">
        <v>-8</v>
      </c>
      <c r="H22">
        <v>-27</v>
      </c>
      <c r="I22">
        <v>0</v>
      </c>
      <c r="J22">
        <v>-98</v>
      </c>
      <c r="K22">
        <v>0</v>
      </c>
      <c r="L22">
        <v>0</v>
      </c>
    </row>
    <row r="23" spans="2:12">
      <c r="B23" t="s">
        <v>136</v>
      </c>
      <c r="C23">
        <v>0</v>
      </c>
      <c r="D23">
        <v>0</v>
      </c>
      <c r="E23">
        <v>0</v>
      </c>
      <c r="F23">
        <v>0</v>
      </c>
      <c r="G23">
        <v>0</v>
      </c>
      <c r="H23">
        <v>0</v>
      </c>
      <c r="I23">
        <v>0</v>
      </c>
      <c r="J23">
        <v>0</v>
      </c>
      <c r="K23">
        <v>0</v>
      </c>
      <c r="L23">
        <v>-24</v>
      </c>
    </row>
    <row r="24" spans="2:12">
      <c r="B24" t="s">
        <v>137</v>
      </c>
      <c r="C24">
        <v>456</v>
      </c>
      <c r="D24" s="26">
        <v>-1289</v>
      </c>
      <c r="E24" s="26">
        <v>-26663</v>
      </c>
      <c r="F24" s="26">
        <v>5360</v>
      </c>
      <c r="G24" s="26">
        <v>7335</v>
      </c>
      <c r="H24" s="26">
        <v>-2659</v>
      </c>
      <c r="I24" s="26">
        <v>1051</v>
      </c>
      <c r="J24" s="26">
        <v>12813</v>
      </c>
      <c r="K24" s="26">
        <v>-4357</v>
      </c>
      <c r="L24" s="26">
        <v>-4817</v>
      </c>
    </row>
    <row r="25" spans="2:12">
      <c r="B25" t="s">
        <v>150</v>
      </c>
      <c r="C25" s="26">
        <v>5201</v>
      </c>
      <c r="D25" s="26">
        <v>-3795</v>
      </c>
      <c r="E25" s="26">
        <v>6205</v>
      </c>
      <c r="F25" s="26">
        <v>2012</v>
      </c>
      <c r="G25" s="26">
        <v>8830</v>
      </c>
      <c r="H25" s="26">
        <v>3390</v>
      </c>
      <c r="I25" s="26">
        <v>9904</v>
      </c>
      <c r="J25" s="26">
        <v>-3380</v>
      </c>
      <c r="K25" s="26">
        <v>-26243</v>
      </c>
      <c r="L25" s="26">
        <v>-37006</v>
      </c>
    </row>
    <row r="26" spans="2:12">
      <c r="B26" t="s">
        <v>138</v>
      </c>
      <c r="C26">
        <v>0</v>
      </c>
      <c r="D26" s="26">
        <v>7433</v>
      </c>
      <c r="E26">
        <v>5</v>
      </c>
      <c r="F26">
        <v>0</v>
      </c>
      <c r="G26">
        <v>0</v>
      </c>
      <c r="H26" s="26">
        <v>3889</v>
      </c>
      <c r="I26" s="26">
        <v>2603</v>
      </c>
      <c r="J26">
        <v>19</v>
      </c>
      <c r="K26">
        <v>20</v>
      </c>
      <c r="L26">
        <v>82</v>
      </c>
    </row>
    <row r="27" spans="2:12">
      <c r="B27" t="s">
        <v>139</v>
      </c>
      <c r="C27">
        <v>-744</v>
      </c>
      <c r="D27">
        <v>0</v>
      </c>
      <c r="E27">
        <v>0</v>
      </c>
      <c r="F27">
        <v>0</v>
      </c>
      <c r="G27">
        <v>0</v>
      </c>
      <c r="H27">
        <v>0</v>
      </c>
      <c r="I27">
        <v>0</v>
      </c>
      <c r="J27">
        <v>0</v>
      </c>
      <c r="K27">
        <v>0</v>
      </c>
      <c r="L27">
        <v>0</v>
      </c>
    </row>
    <row r="28" spans="2:12">
      <c r="B28" t="s">
        <v>140</v>
      </c>
      <c r="C28" s="26">
        <v>36363</v>
      </c>
      <c r="D28" s="26">
        <v>19519</v>
      </c>
      <c r="E28" s="26">
        <v>33390</v>
      </c>
      <c r="F28" s="26">
        <v>37482</v>
      </c>
      <c r="G28" s="26">
        <v>51128</v>
      </c>
      <c r="H28" s="26">
        <v>38297</v>
      </c>
      <c r="I28" s="26">
        <v>46641</v>
      </c>
      <c r="J28" s="26">
        <v>46578</v>
      </c>
      <c r="K28" s="26">
        <v>43934</v>
      </c>
      <c r="L28" s="26">
        <v>18747</v>
      </c>
    </row>
    <row r="29" spans="2:12">
      <c r="B29" t="s">
        <v>141</v>
      </c>
      <c r="C29" s="26">
        <v>-23332</v>
      </c>
      <c r="D29" s="26">
        <v>-24924</v>
      </c>
      <c r="E29" s="26">
        <v>-21732</v>
      </c>
      <c r="F29" s="26">
        <v>-29964</v>
      </c>
      <c r="G29" s="26">
        <v>-35198</v>
      </c>
      <c r="H29" s="26">
        <v>-29847</v>
      </c>
      <c r="I29" s="26">
        <v>-29709</v>
      </c>
      <c r="J29" s="26">
        <v>-42816</v>
      </c>
      <c r="K29" s="26">
        <v>-62557</v>
      </c>
      <c r="L29" s="26">
        <v>-47332</v>
      </c>
    </row>
    <row r="30" spans="2:12">
      <c r="B30" t="s">
        <v>142</v>
      </c>
      <c r="C30" s="26">
        <v>-6307</v>
      </c>
      <c r="D30" s="26">
        <v>-5716</v>
      </c>
      <c r="E30" s="26">
        <v>-5336</v>
      </c>
      <c r="F30" s="26">
        <v>-5411</v>
      </c>
      <c r="G30" s="26">
        <v>-7005</v>
      </c>
      <c r="H30" s="26">
        <v>-7518</v>
      </c>
      <c r="I30" s="26">
        <v>-8123</v>
      </c>
      <c r="J30" s="26">
        <v>-9251</v>
      </c>
      <c r="K30" s="26">
        <v>-9336</v>
      </c>
      <c r="L30" s="26">
        <v>-9332</v>
      </c>
    </row>
    <row r="31" spans="2:12">
      <c r="B31" t="s">
        <v>143</v>
      </c>
      <c r="C31">
        <v>-720</v>
      </c>
      <c r="D31">
        <v>-108</v>
      </c>
      <c r="E31">
        <v>-121</v>
      </c>
      <c r="F31">
        <v>-96</v>
      </c>
      <c r="G31">
        <v>-95</v>
      </c>
      <c r="H31">
        <v>-57</v>
      </c>
      <c r="I31">
        <v>-30</v>
      </c>
      <c r="J31">
        <v>-100</v>
      </c>
      <c r="K31">
        <v>-141</v>
      </c>
      <c r="L31" s="26">
        <v>-1059</v>
      </c>
    </row>
    <row r="32" spans="2:12">
      <c r="B32" t="s">
        <v>144</v>
      </c>
      <c r="C32">
        <v>0</v>
      </c>
      <c r="D32">
        <v>0</v>
      </c>
      <c r="E32">
        <v>0</v>
      </c>
      <c r="F32">
        <v>0</v>
      </c>
      <c r="G32">
        <v>0</v>
      </c>
      <c r="H32" s="26">
        <v>-1346</v>
      </c>
      <c r="I32" s="26">
        <v>-1477</v>
      </c>
      <c r="J32" s="26">
        <v>-1559</v>
      </c>
      <c r="K32" s="26">
        <v>-1517</v>
      </c>
      <c r="L32" s="26">
        <v>-1924</v>
      </c>
    </row>
    <row r="33" spans="2:12">
      <c r="B33" t="s">
        <v>145</v>
      </c>
      <c r="C33">
        <v>-57</v>
      </c>
      <c r="D33">
        <v>0</v>
      </c>
      <c r="E33">
        <v>0</v>
      </c>
      <c r="F33">
        <v>0</v>
      </c>
      <c r="G33">
        <v>0</v>
      </c>
      <c r="H33">
        <v>-29</v>
      </c>
      <c r="I33">
        <v>0</v>
      </c>
      <c r="J33" s="26">
        <v>3750</v>
      </c>
      <c r="K33" s="26">
        <v>3355</v>
      </c>
      <c r="L33" s="26">
        <v>3812</v>
      </c>
    </row>
    <row r="34" spans="2:12">
      <c r="B34" t="s">
        <v>20</v>
      </c>
      <c r="C34" s="26">
        <v>4500</v>
      </c>
      <c r="D34" s="26">
        <v>-2589</v>
      </c>
      <c r="E34" s="26">
        <v>-3167</v>
      </c>
      <c r="F34">
        <v>730</v>
      </c>
      <c r="G34" s="26">
        <v>6843</v>
      </c>
      <c r="H34" s="26">
        <v>-3092</v>
      </c>
      <c r="I34" s="26">
        <v>13232</v>
      </c>
      <c r="J34" s="26">
        <v>6459</v>
      </c>
      <c r="K34" s="26">
        <v>-6272</v>
      </c>
      <c r="L34" s="26">
        <v>8128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20"/>
  <sheetViews>
    <sheetView showGridLines="0" tabSelected="1" workbookViewId="0">
      <selection activeCell="N22" sqref="N22"/>
    </sheetView>
  </sheetViews>
  <sheetFormatPr defaultRowHeight="15"/>
  <cols>
    <col min="1" max="1" width="2.28515625" customWidth="1"/>
    <col min="2" max="2" width="12" customWidth="1"/>
    <col min="3" max="3" width="10.42578125" customWidth="1"/>
    <col min="4" max="4" width="10.85546875" customWidth="1"/>
    <col min="5" max="5" width="13.140625" customWidth="1"/>
    <col min="6" max="6" width="2.7109375" customWidth="1"/>
    <col min="7" max="10" width="11.7109375" customWidth="1"/>
    <col min="11" max="11" width="2.7109375" customWidth="1"/>
    <col min="12" max="15" width="11.7109375" customWidth="1"/>
  </cols>
  <sheetData>
    <row r="2" spans="2:15">
      <c r="B2" s="62" t="str">
        <f>'Data Sheet'!$B$1&amp;" - "&amp;'Data Sheet'!A17&amp; " Forcasting "</f>
        <v xml:space="preserve">TATA MOTORS LTD - Sales Forcasting </v>
      </c>
      <c r="C2" s="62"/>
      <c r="D2" s="62"/>
      <c r="E2" s="62"/>
      <c r="G2" s="62" t="str">
        <f>'Data Sheet'!$B$1&amp;" - "&amp;HistoricalFS!B17&amp; " Forcasting "</f>
        <v xml:space="preserve">TATA MOTORS LTD - EBITDA Forcasting </v>
      </c>
      <c r="H2" s="62"/>
      <c r="I2" s="62"/>
      <c r="J2" s="62"/>
      <c r="L2" s="62" t="str">
        <f>'Data Sheet'!$B$1&amp;" - "&amp;HistoricalFS!B37&amp; " Forcasting "</f>
        <v xml:space="preserve">TATA MOTORS LTD - EPS Forcasting </v>
      </c>
      <c r="M2" s="62"/>
      <c r="N2" s="62"/>
      <c r="O2" s="62"/>
    </row>
    <row r="3" spans="2:15">
      <c r="B3" s="48" t="s">
        <v>230</v>
      </c>
      <c r="C3" s="49" t="s">
        <v>231</v>
      </c>
      <c r="D3" s="48" t="s">
        <v>1</v>
      </c>
      <c r="E3" s="48" t="s">
        <v>66</v>
      </c>
      <c r="G3" s="48" t="s">
        <v>230</v>
      </c>
      <c r="H3" s="49" t="s">
        <v>231</v>
      </c>
      <c r="I3" s="48" t="s">
        <v>1</v>
      </c>
      <c r="J3" s="48" t="s">
        <v>66</v>
      </c>
      <c r="L3" s="48" t="s">
        <v>230</v>
      </c>
      <c r="M3" s="49" t="s">
        <v>231</v>
      </c>
      <c r="N3" s="48" t="s">
        <v>1</v>
      </c>
      <c r="O3" s="48" t="s">
        <v>66</v>
      </c>
    </row>
    <row r="4" spans="2:15">
      <c r="B4" s="50">
        <v>1</v>
      </c>
      <c r="C4" s="51">
        <f>'Data Sheet'!$B$16</f>
        <v>42094</v>
      </c>
      <c r="D4" s="54">
        <f t="array" ref="D4:D13">TRANSPOSE('Data Sheet'!B17:K17)</f>
        <v>263158.98</v>
      </c>
      <c r="G4" s="50">
        <v>1</v>
      </c>
      <c r="H4" s="51">
        <f>C4</f>
        <v>42094</v>
      </c>
      <c r="I4" s="54">
        <f t="array" ref="I4:I13">TRANSPOSE(HistoricalFS!C17:M17)</f>
        <v>39238.64999999998</v>
      </c>
      <c r="L4" s="50">
        <v>1</v>
      </c>
      <c r="M4" s="51">
        <f>'Data Sheet'!$B$16</f>
        <v>42094</v>
      </c>
      <c r="N4" s="54">
        <f t="array" ref="N4:N13">TRANSPOSE(HistoricalFS!C37:L37)</f>
        <v>46.220198102098706</v>
      </c>
    </row>
    <row r="5" spans="2:15">
      <c r="B5" s="50">
        <f>B4+1</f>
        <v>2</v>
      </c>
      <c r="C5" s="51">
        <f>C4+365</f>
        <v>42459</v>
      </c>
      <c r="D5" s="54">
        <v>273045.59999999998</v>
      </c>
      <c r="E5" s="32">
        <f>D5/D4-1</f>
        <v>3.75690010654397E-2</v>
      </c>
      <c r="G5" s="50">
        <f>G4+1</f>
        <v>2</v>
      </c>
      <c r="H5" s="51">
        <f>H4+365</f>
        <v>42459</v>
      </c>
      <c r="I5" s="54">
        <v>38395.249999999971</v>
      </c>
      <c r="J5" s="32">
        <f>I5/I4-1</f>
        <v>-2.1494113584437979E-2</v>
      </c>
      <c r="L5" s="50">
        <f>L4+1</f>
        <v>2</v>
      </c>
      <c r="M5" s="51">
        <f>M4+365</f>
        <v>42459</v>
      </c>
      <c r="N5" s="54">
        <v>47.694444444444336</v>
      </c>
      <c r="O5" s="32">
        <f>N5/N4-1</f>
        <v>3.189614936502605E-2</v>
      </c>
    </row>
    <row r="6" spans="2:15">
      <c r="B6" s="50">
        <f t="shared" ref="B6:B18" si="0">B5+1</f>
        <v>3</v>
      </c>
      <c r="C6" s="51">
        <f t="shared" ref="C6:C18" si="1">C5+365</f>
        <v>42824</v>
      </c>
      <c r="D6" s="54">
        <v>269692.51</v>
      </c>
      <c r="E6" s="32">
        <f t="shared" ref="E6:E18" si="2">D6/D5-1</f>
        <v>-1.2280329732469508E-2</v>
      </c>
      <c r="G6" s="50">
        <f t="shared" ref="G6" si="3">G5+1</f>
        <v>3</v>
      </c>
      <c r="H6" s="51">
        <f t="shared" ref="H6:H18" si="4">H5+365</f>
        <v>42824</v>
      </c>
      <c r="I6" s="54">
        <v>29588.690000000046</v>
      </c>
      <c r="J6" s="32">
        <f t="shared" ref="J6:J18" si="5">I6/I5-1</f>
        <v>-0.22936587208052905</v>
      </c>
      <c r="L6" s="50">
        <f t="shared" ref="L6" si="6">L5+1</f>
        <v>3</v>
      </c>
      <c r="M6" s="51">
        <f t="shared" ref="M6:M18" si="7">M5+365</f>
        <v>42824</v>
      </c>
      <c r="N6" s="54">
        <v>14.527274616423808</v>
      </c>
      <c r="O6" s="32">
        <f t="shared" ref="O6:O18" si="8">N6/N5-1</f>
        <v>-0.69540950134463697</v>
      </c>
    </row>
    <row r="7" spans="2:15">
      <c r="B7" s="50">
        <f t="shared" si="0"/>
        <v>4</v>
      </c>
      <c r="C7" s="51">
        <f t="shared" si="1"/>
        <v>43189</v>
      </c>
      <c r="D7" s="54">
        <v>291550.48</v>
      </c>
      <c r="E7" s="32">
        <f t="shared" si="2"/>
        <v>8.104774581985974E-2</v>
      </c>
      <c r="G7" s="50">
        <f t="shared" ref="G7" si="9">G6+1</f>
        <v>4</v>
      </c>
      <c r="H7" s="51">
        <f t="shared" si="4"/>
        <v>43189</v>
      </c>
      <c r="I7" s="54">
        <v>31457.679999999993</v>
      </c>
      <c r="J7" s="32">
        <f t="shared" si="5"/>
        <v>6.3165689322506102E-2</v>
      </c>
      <c r="L7" s="50">
        <f t="shared" ref="L7" si="10">L6+1</f>
        <v>4</v>
      </c>
      <c r="M7" s="51">
        <f t="shared" si="7"/>
        <v>43189</v>
      </c>
      <c r="N7" s="54">
        <v>3.049111626779315</v>
      </c>
      <c r="O7" s="32">
        <f t="shared" si="8"/>
        <v>-0.79011124197155724</v>
      </c>
    </row>
    <row r="8" spans="2:15">
      <c r="B8" s="50">
        <f t="shared" si="0"/>
        <v>5</v>
      </c>
      <c r="C8" s="51">
        <f t="shared" si="1"/>
        <v>43554</v>
      </c>
      <c r="D8" s="54">
        <v>301938.40000000002</v>
      </c>
      <c r="E8" s="32">
        <f t="shared" si="2"/>
        <v>3.5629919045237157E-2</v>
      </c>
      <c r="G8" s="50">
        <f t="shared" ref="G8" si="11">G7+1</f>
        <v>5</v>
      </c>
      <c r="H8" s="51">
        <f t="shared" si="4"/>
        <v>43554</v>
      </c>
      <c r="I8" s="54">
        <v>24664.330000000024</v>
      </c>
      <c r="J8" s="32">
        <f t="shared" si="5"/>
        <v>-0.21595203460649259</v>
      </c>
      <c r="L8" s="50">
        <f t="shared" ref="L8" si="12">L7+1</f>
        <v>5</v>
      </c>
      <c r="M8" s="51">
        <f t="shared" si="7"/>
        <v>43554</v>
      </c>
      <c r="N8" s="54">
        <v>-7.7839157690575265</v>
      </c>
      <c r="O8" s="32">
        <f t="shared" si="8"/>
        <v>-3.5528470983790919</v>
      </c>
    </row>
    <row r="9" spans="2:15">
      <c r="B9" s="50">
        <f t="shared" si="0"/>
        <v>6</v>
      </c>
      <c r="C9" s="51">
        <f t="shared" si="1"/>
        <v>43919</v>
      </c>
      <c r="D9" s="54">
        <v>261067.97</v>
      </c>
      <c r="E9" s="32">
        <f t="shared" si="2"/>
        <v>-0.135360159555724</v>
      </c>
      <c r="G9" s="50">
        <f t="shared" ref="G9" si="13">G8+1</f>
        <v>6</v>
      </c>
      <c r="H9" s="51">
        <f t="shared" si="4"/>
        <v>43919</v>
      </c>
      <c r="I9" s="54">
        <v>17987.069999999963</v>
      </c>
      <c r="J9" s="32">
        <f t="shared" si="5"/>
        <v>-0.27072537547138131</v>
      </c>
      <c r="L9" s="50">
        <f t="shared" ref="L9" si="14">L8+1</f>
        <v>6</v>
      </c>
      <c r="M9" s="51">
        <f t="shared" si="7"/>
        <v>43919</v>
      </c>
      <c r="N9" s="54">
        <v>-35.859307219164904</v>
      </c>
      <c r="O9" s="32">
        <f t="shared" si="8"/>
        <v>3.6068467700681115</v>
      </c>
    </row>
    <row r="10" spans="2:15">
      <c r="B10" s="50">
        <f t="shared" si="0"/>
        <v>7</v>
      </c>
      <c r="C10" s="51">
        <f t="shared" si="1"/>
        <v>44284</v>
      </c>
      <c r="D10" s="54">
        <v>249794.75</v>
      </c>
      <c r="E10" s="32">
        <f t="shared" si="2"/>
        <v>-4.3181168490336042E-2</v>
      </c>
      <c r="G10" s="50">
        <f t="shared" ref="G10" si="15">G9+1</f>
        <v>7</v>
      </c>
      <c r="H10" s="51">
        <f t="shared" si="4"/>
        <v>44284</v>
      </c>
      <c r="I10" s="54">
        <v>32287.429999999989</v>
      </c>
      <c r="J10" s="32">
        <f t="shared" si="5"/>
        <v>0.79503554497758966</v>
      </c>
      <c r="L10" s="50">
        <f t="shared" ref="L10" si="16">L9+1</f>
        <v>7</v>
      </c>
      <c r="M10" s="51">
        <f t="shared" si="7"/>
        <v>44284</v>
      </c>
      <c r="N10" s="54">
        <v>-5.7172845827184542</v>
      </c>
      <c r="O10" s="32">
        <f t="shared" si="8"/>
        <v>-0.84056344011958861</v>
      </c>
    </row>
    <row r="11" spans="2:15">
      <c r="B11" s="50">
        <f t="shared" si="0"/>
        <v>8</v>
      </c>
      <c r="C11" s="51">
        <f t="shared" si="1"/>
        <v>44649</v>
      </c>
      <c r="D11" s="54">
        <v>278453.62</v>
      </c>
      <c r="E11" s="32">
        <f t="shared" si="2"/>
        <v>0.11472967306158344</v>
      </c>
      <c r="G11" s="50">
        <f t="shared" ref="G11" si="17">G10+1</f>
        <v>8</v>
      </c>
      <c r="H11" s="51">
        <f t="shared" si="4"/>
        <v>44649</v>
      </c>
      <c r="I11" s="54">
        <v>24720.090000000015</v>
      </c>
      <c r="J11" s="32">
        <f t="shared" si="5"/>
        <v>-0.234374182150762</v>
      </c>
      <c r="L11" s="50">
        <f t="shared" ref="L11" si="18">L10+1</f>
        <v>8</v>
      </c>
      <c r="M11" s="51">
        <f t="shared" si="7"/>
        <v>44649</v>
      </c>
      <c r="N11" s="54">
        <v>-41.132140813683833</v>
      </c>
      <c r="O11" s="32">
        <f t="shared" si="8"/>
        <v>6.194349033807641</v>
      </c>
    </row>
    <row r="12" spans="2:15">
      <c r="B12" s="50">
        <f t="shared" si="0"/>
        <v>9</v>
      </c>
      <c r="C12" s="51">
        <f t="shared" si="1"/>
        <v>45014</v>
      </c>
      <c r="D12" s="54">
        <v>345966.97</v>
      </c>
      <c r="E12" s="32">
        <f t="shared" si="2"/>
        <v>0.24245815155859707</v>
      </c>
      <c r="G12" s="50">
        <f t="shared" ref="G12" si="19">G11+1</f>
        <v>9</v>
      </c>
      <c r="H12" s="51">
        <f t="shared" si="4"/>
        <v>45014</v>
      </c>
      <c r="I12" s="54">
        <v>31815.799999999959</v>
      </c>
      <c r="J12" s="32">
        <f t="shared" si="5"/>
        <v>0.28704223973294352</v>
      </c>
      <c r="L12" s="50">
        <f t="shared" ref="L12" si="20">L11+1</f>
        <v>9</v>
      </c>
      <c r="M12" s="51">
        <f t="shared" si="7"/>
        <v>45014</v>
      </c>
      <c r="N12" s="54">
        <v>-11.965495438533218</v>
      </c>
      <c r="O12" s="32">
        <f t="shared" si="8"/>
        <v>-0.70909621522659627</v>
      </c>
    </row>
    <row r="13" spans="2:15">
      <c r="B13" s="50">
        <f t="shared" si="0"/>
        <v>10</v>
      </c>
      <c r="C13" s="51">
        <f t="shared" si="1"/>
        <v>45379</v>
      </c>
      <c r="D13" s="54">
        <v>437927.77</v>
      </c>
      <c r="E13" s="32">
        <f t="shared" si="2"/>
        <v>0.26580803363974326</v>
      </c>
      <c r="G13" s="50">
        <f t="shared" ref="G13" si="21">G12+1</f>
        <v>10</v>
      </c>
      <c r="H13" s="51">
        <f t="shared" si="4"/>
        <v>45379</v>
      </c>
      <c r="I13" s="54">
        <v>59538.34000000004</v>
      </c>
      <c r="J13" s="32">
        <f t="shared" si="5"/>
        <v>0.87134505497269021</v>
      </c>
      <c r="L13" s="50">
        <f t="shared" ref="L13" si="22">L12+1</f>
        <v>10</v>
      </c>
      <c r="M13" s="51">
        <f t="shared" si="7"/>
        <v>45379</v>
      </c>
      <c r="N13" s="54">
        <v>78.629509281824596</v>
      </c>
      <c r="O13" s="32">
        <f t="shared" si="8"/>
        <v>-7.5713542482001346</v>
      </c>
    </row>
    <row r="14" spans="2:15">
      <c r="B14" s="55">
        <f t="shared" si="0"/>
        <v>11</v>
      </c>
      <c r="C14" s="56">
        <f t="shared" si="1"/>
        <v>45744</v>
      </c>
      <c r="D14" s="57">
        <f>FORECAST(B14,$D$4:$D$13,$B$4:$B$13)</f>
        <v>362627.59266666661</v>
      </c>
      <c r="E14" s="58">
        <f t="shared" si="2"/>
        <v>-0.17194656857073354</v>
      </c>
      <c r="G14" s="55">
        <f t="shared" ref="G14" si="23">G13+1</f>
        <v>11</v>
      </c>
      <c r="H14" s="56">
        <f t="shared" si="4"/>
        <v>45744</v>
      </c>
      <c r="I14" s="57">
        <f>FORECAST(G14,$I$3:$I$13,$G$3:$G$13)</f>
        <v>36573.001333333334</v>
      </c>
      <c r="J14" s="58">
        <f t="shared" si="5"/>
        <v>-0.38572352985767977</v>
      </c>
      <c r="L14" s="55">
        <f t="shared" ref="L14" si="24">L13+1</f>
        <v>11</v>
      </c>
      <c r="M14" s="56">
        <f t="shared" si="7"/>
        <v>45744</v>
      </c>
      <c r="N14" s="57">
        <f>FORECAST(L14,$N$4:$N$13,$L$4:$L$13)</f>
        <v>-6.520675101573687</v>
      </c>
      <c r="O14" s="58">
        <f t="shared" si="8"/>
        <v>-1.082929108436913</v>
      </c>
    </row>
    <row r="15" spans="2:15">
      <c r="B15" s="55">
        <f t="shared" si="0"/>
        <v>12</v>
      </c>
      <c r="C15" s="56">
        <f t="shared" si="1"/>
        <v>46109</v>
      </c>
      <c r="D15" s="57">
        <f t="shared" ref="D15:D18" si="25">FORECAST(B15,$D$4:$D$13,$B$4:$B$13)</f>
        <v>374512.66315151507</v>
      </c>
      <c r="E15" s="58">
        <f t="shared" si="2"/>
        <v>3.2774865247977569E-2</v>
      </c>
      <c r="G15" s="55">
        <f t="shared" ref="G15" si="26">G14+1</f>
        <v>12</v>
      </c>
      <c r="H15" s="56">
        <f t="shared" si="4"/>
        <v>46109</v>
      </c>
      <c r="I15" s="57">
        <f t="shared" ref="I15:I18" si="27">FORECAST(G15,$I$3:$I$13,$G$3:$G$13)</f>
        <v>37228.213757575766</v>
      </c>
      <c r="J15" s="58">
        <f t="shared" si="5"/>
        <v>1.7915194278716795E-2</v>
      </c>
      <c r="L15" s="55">
        <f t="shared" ref="L15" si="28">L14+1</f>
        <v>12</v>
      </c>
      <c r="M15" s="56">
        <f t="shared" si="7"/>
        <v>46109</v>
      </c>
      <c r="N15" s="57">
        <f t="shared" ref="N15:N18" si="29">FORECAST(L15,$N$4:$N$13,$L$4:$L$13)</f>
        <v>-9.3001141063764052</v>
      </c>
      <c r="O15" s="58">
        <f t="shared" si="8"/>
        <v>0.42625019058715763</v>
      </c>
    </row>
    <row r="16" spans="2:15">
      <c r="B16" s="55">
        <f t="shared" si="0"/>
        <v>13</v>
      </c>
      <c r="C16" s="56">
        <f t="shared" si="1"/>
        <v>46474</v>
      </c>
      <c r="D16" s="57">
        <f t="shared" si="25"/>
        <v>386397.73363636358</v>
      </c>
      <c r="E16" s="58">
        <f t="shared" si="2"/>
        <v>3.1734762677544603E-2</v>
      </c>
      <c r="G16" s="55">
        <f t="shared" ref="G16" si="30">G15+1</f>
        <v>13</v>
      </c>
      <c r="H16" s="56">
        <f t="shared" si="4"/>
        <v>46474</v>
      </c>
      <c r="I16" s="57">
        <f t="shared" si="27"/>
        <v>37883.426181818184</v>
      </c>
      <c r="J16" s="58">
        <f t="shared" si="5"/>
        <v>1.7599888850672762E-2</v>
      </c>
      <c r="L16" s="55">
        <f t="shared" ref="L16" si="31">L15+1</f>
        <v>13</v>
      </c>
      <c r="M16" s="56">
        <f t="shared" si="7"/>
        <v>46474</v>
      </c>
      <c r="N16" s="57">
        <f t="shared" si="29"/>
        <v>-12.079553111179131</v>
      </c>
      <c r="O16" s="58">
        <f t="shared" si="8"/>
        <v>0.29886074224584713</v>
      </c>
    </row>
    <row r="17" spans="2:15">
      <c r="B17" s="55">
        <f t="shared" si="0"/>
        <v>14</v>
      </c>
      <c r="C17" s="56">
        <f t="shared" si="1"/>
        <v>46839</v>
      </c>
      <c r="D17" s="57">
        <f t="shared" si="25"/>
        <v>398282.8041212121</v>
      </c>
      <c r="E17" s="58">
        <f t="shared" si="2"/>
        <v>3.0758644397312906E-2</v>
      </c>
      <c r="G17" s="55">
        <f t="shared" ref="G17" si="32">G16+1</f>
        <v>14</v>
      </c>
      <c r="H17" s="56">
        <f t="shared" si="4"/>
        <v>46839</v>
      </c>
      <c r="I17" s="57">
        <f t="shared" si="27"/>
        <v>38538.638606060616</v>
      </c>
      <c r="J17" s="58">
        <f t="shared" si="5"/>
        <v>1.7295490146477244E-2</v>
      </c>
      <c r="L17" s="55">
        <f t="shared" ref="L17" si="33">L16+1</f>
        <v>14</v>
      </c>
      <c r="M17" s="56">
        <f t="shared" si="7"/>
        <v>46839</v>
      </c>
      <c r="N17" s="57">
        <f t="shared" si="29"/>
        <v>-14.858992115981849</v>
      </c>
      <c r="O17" s="58">
        <f t="shared" si="8"/>
        <v>0.23009452247289364</v>
      </c>
    </row>
    <row r="18" spans="2:15">
      <c r="B18" s="55">
        <f t="shared" si="0"/>
        <v>15</v>
      </c>
      <c r="C18" s="56">
        <f t="shared" si="1"/>
        <v>47204</v>
      </c>
      <c r="D18" s="57">
        <f t="shared" si="25"/>
        <v>410167.87460606056</v>
      </c>
      <c r="E18" s="58">
        <f t="shared" si="2"/>
        <v>2.9840782383442788E-2</v>
      </c>
      <c r="G18" s="55">
        <f t="shared" ref="G18" si="34">G17+1</f>
        <v>15</v>
      </c>
      <c r="H18" s="56">
        <f t="shared" si="4"/>
        <v>47204</v>
      </c>
      <c r="I18" s="57">
        <f t="shared" si="27"/>
        <v>39193.851030303042</v>
      </c>
      <c r="J18" s="58">
        <f t="shared" si="5"/>
        <v>1.7001441876034251E-2</v>
      </c>
      <c r="L18" s="55">
        <f t="shared" ref="L18" si="35">L17+1</f>
        <v>15</v>
      </c>
      <c r="M18" s="56">
        <f t="shared" si="7"/>
        <v>47204</v>
      </c>
      <c r="N18" s="57">
        <f t="shared" si="29"/>
        <v>-17.638431120784574</v>
      </c>
      <c r="O18" s="58">
        <f t="shared" si="8"/>
        <v>0.18705434279174638</v>
      </c>
    </row>
    <row r="19" spans="2:15">
      <c r="B19" s="50"/>
      <c r="C19" s="52"/>
    </row>
    <row r="20" spans="2:15">
      <c r="B20" s="50"/>
      <c r="C20" s="52"/>
    </row>
  </sheetData>
  <mergeCells count="3">
    <mergeCell ref="B2:E2"/>
    <mergeCell ref="G2:J2"/>
    <mergeCell ref="L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K26" sqref="K26"/>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Financials&gt;</vt:lpstr>
      <vt:lpstr>HistoricalFS</vt:lpstr>
      <vt:lpstr>Ratio Analysis</vt:lpstr>
      <vt:lpstr>Data Sheet</vt:lpstr>
      <vt:lpstr>cheat Sheet </vt:lpstr>
      <vt:lpstr>cashflow Statement brought </vt:lpstr>
      <vt:lpstr>Forcasting</vt:lpstr>
      <vt:lpstr>Sheet1</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Rohit Routh</cp:lastModifiedBy>
  <cp:lastPrinted>2012-12-06T18:14:13Z</cp:lastPrinted>
  <dcterms:created xsi:type="dcterms:W3CDTF">2012-08-17T09:55:37Z</dcterms:created>
  <dcterms:modified xsi:type="dcterms:W3CDTF">2025-04-14T05:46:50Z</dcterms:modified>
</cp:coreProperties>
</file>